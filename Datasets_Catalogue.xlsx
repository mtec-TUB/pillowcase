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Blatt1" sheetId="1" state="visible" r:id="rId3"/>
    <sheet name="ANPHY" sheetId="2" state="visible" r:id="rId4"/>
    <sheet name="APOE" sheetId="3" state="visible" r:id="rId5"/>
    <sheet name="BESTAIR" sheetId="4" state="visible" r:id="rId6"/>
    <sheet name="CAP" sheetId="5" state="visible" r:id="rId7"/>
    <sheet name="HOMEPAP" sheetId="6" state="visible" r:id="rId8"/>
    <sheet name="MNC" sheetId="7" state="visible" r:id="rId9"/>
    <sheet name="STAGES" sheetId="8" state="visible" r:id="rId10"/>
    <sheet name="Extra" sheetId="9" state="visible" r:id="rId11"/>
    <sheet name="ISRUC" sheetId="10" state="visible" r:id="rId12"/>
    <sheet name="Paper overview" sheetId="11" state="visible" r:id="rId13"/>
    <sheet name="Paper overview_temp" sheetId="12" state="visible" r:id="rId14"/>
    <sheet name="Paper channels" sheetId="13" state="visible" r:id="rId15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<sst xmlns="http://schemas.openxmlformats.org/spreadsheetml/2006/main" count="8257" uniqueCount="3048">
  <si>
    <t xml:space="preserve">Meta data</t>
  </si>
  <si>
    <t xml:space="preserve">dataset name</t>
  </si>
  <si>
    <t xml:space="preserve">ABC - Apnea, Bariatric surgery, and CPAP study</t>
  </si>
  <si>
    <t xml:space="preserve">year</t>
  </si>
  <si>
    <t xml:space="preserve">2011-2014</t>
  </si>
  <si>
    <t xml:space="preserve">source</t>
  </si>
  <si>
    <t xml:space="preserve">https://www.sleepdata.org/datasets/abc</t>
  </si>
  <si>
    <t xml:space="preserve">Clinical context</t>
  </si>
  <si>
    <t xml:space="preserve">study purpose</t>
  </si>
  <si>
    <t xml:space="preserve">comparing a medical versus surgical approach to the initial management of obstructive sleep apnea OSA) in the setting of obesity</t>
  </si>
  <si>
    <t xml:space="preserve">intervention e.g. CPAP, medication, ...)</t>
  </si>
  <si>
    <t xml:space="preserve">LGB laparoscopic gastric banding)</t>
  </si>
  <si>
    <t xml:space="preserve">CPAP continuous positive airway pressure)</t>
  </si>
  <si>
    <t xml:space="preserve">Demographics</t>
  </si>
  <si>
    <t xml:space="preserve">number of participants</t>
  </si>
  <si>
    <t xml:space="preserve">age range</t>
  </si>
  <si>
    <t xml:space="preserve">27-65</t>
  </si>
  <si>
    <t xml:space="preserve">gender distribution male/female)</t>
  </si>
  <si>
    <t xml:space="preserve">28 / 21</t>
  </si>
  <si>
    <t xml:space="preserve">health conditions e.g. apnea, insomnia, ...)</t>
  </si>
  <si>
    <t xml:space="preserve">class II obesity</t>
  </si>
  <si>
    <t xml:space="preserve">severe obstructive sleep apnea</t>
  </si>
  <si>
    <t xml:space="preserve">Recording</t>
  </si>
  <si>
    <t xml:space="preserve">number of recordings</t>
  </si>
  <si>
    <t xml:space="preserve">132 49 baseline, 43 month09, 40 month18)</t>
  </si>
  <si>
    <t xml:space="preserve">number of recordings per participant</t>
  </si>
  <si>
    <t xml:space="preserve">3 baseline, month09, month18)</t>
  </si>
  <si>
    <t xml:space="preserve">channels PSG &amp; EEG)</t>
  </si>
  <si>
    <t xml:space="preserve">Abdomen</t>
  </si>
  <si>
    <t xml:space="preserve">Airflow</t>
  </si>
  <si>
    <t xml:space="preserve">CPAP Flow</t>
  </si>
  <si>
    <t xml:space="preserve">CPAP Pressure</t>
  </si>
  <si>
    <t xml:space="preserve">Derived Heart Rate</t>
  </si>
  <si>
    <t xml:space="preserve">ECG ECG1</t>
  </si>
  <si>
    <t xml:space="preserve">ECG ECG2</t>
  </si>
  <si>
    <t xml:space="preserve">EEG C3</t>
  </si>
  <si>
    <t xml:space="preserve">EEG C4</t>
  </si>
  <si>
    <t xml:space="preserve">EEG F3</t>
  </si>
  <si>
    <t xml:space="preserve">EEG F4</t>
  </si>
  <si>
    <t xml:space="preserve">EEG M1</t>
  </si>
  <si>
    <t xml:space="preserve">EEG M2</t>
  </si>
  <si>
    <t xml:space="preserve">EEG O1</t>
  </si>
  <si>
    <t xml:space="preserve">EEG O2</t>
  </si>
  <si>
    <t xml:space="preserve">EMG Chin1</t>
  </si>
  <si>
    <t xml:space="preserve">EMG Chin2</t>
  </si>
  <si>
    <t xml:space="preserve">EMG Chin3</t>
  </si>
  <si>
    <t xml:space="preserve">EMG LLeg1</t>
  </si>
  <si>
    <t xml:space="preserve">EMG LLeg2</t>
  </si>
  <si>
    <t xml:space="preserve">EMG RLeg1</t>
  </si>
  <si>
    <t xml:space="preserve">EMG RLeg2</t>
  </si>
  <si>
    <t xml:space="preserve">EOG E1</t>
  </si>
  <si>
    <t xml:space="preserve">EOG E2</t>
  </si>
  <si>
    <t xml:space="preserve">Light</t>
  </si>
  <si>
    <t xml:space="preserve">Manual Pos</t>
  </si>
  <si>
    <t xml:space="preserve">Nasal Pressure</t>
  </si>
  <si>
    <t xml:space="preserve">Ox Status</t>
  </si>
  <si>
    <t xml:space="preserve">Plethismography</t>
  </si>
  <si>
    <t xml:space="preserve">Position</t>
  </si>
  <si>
    <t xml:space="preserve">Pulse</t>
  </si>
  <si>
    <t xml:space="preserve">Respiratory Rate</t>
  </si>
  <si>
    <t xml:space="preserve">Snore</t>
  </si>
  <si>
    <t xml:space="preserve">SpO2</t>
  </si>
  <si>
    <t xml:space="preserve">Sum</t>
  </si>
  <si>
    <t xml:space="preserve">Thorax</t>
  </si>
  <si>
    <t xml:space="preserve">sampling frequency</t>
  </si>
  <si>
    <t xml:space="preserve">Annotation</t>
  </si>
  <si>
    <t xml:space="preserve">scoring system R&amp;K, AASM)</t>
  </si>
  <si>
    <t xml:space="preserve">AASM</t>
  </si>
  <si>
    <t xml:space="preserve">events e.g. arousals, apneas, ...)</t>
  </si>
  <si>
    <t xml:space="preserve">Apnea event tags</t>
  </si>
  <si>
    <t xml:space="preserve">Hypopnea event tags based on AASM)</t>
  </si>
  <si>
    <t xml:space="preserve">File format e.g. EDF, H5, CSV, ...)</t>
  </si>
  <si>
    <t xml:space="preserve">EDF</t>
  </si>
  <si>
    <t xml:space="preserve">XML Profusion &amp; NSRR)</t>
  </si>
  <si>
    <t xml:space="preserve">Access</t>
  </si>
  <si>
    <t xml:space="preserve">licencing</t>
  </si>
  <si>
    <t xml:space="preserve">sharing policy</t>
  </si>
  <si>
    <t xml:space="preserve">DOI</t>
  </si>
  <si>
    <t xml:space="preserve">https://doi.org/10.25822/nx52-bc11</t>
  </si>
  <si>
    <t xml:space="preserve">Code/Dataloader</t>
  </si>
  <si>
    <t xml:space="preserve">https://github.com/nsrr/abc-data-dictionary </t>
  </si>
  <si>
    <t xml:space="preserve">ANPHY</t>
  </si>
  <si>
    <t xml:space="preserve">10.17605/OSF.IO/R26FH </t>
  </si>
  <si>
    <t xml:space="preserve">provide high-density scalp EEG sleep database from healthy adults</t>
  </si>
  <si>
    <t xml:space="preserve">-</t>
  </si>
  <si>
    <t xml:space="preserve">32.17 +- 6.3</t>
  </si>
  <si>
    <t xml:space="preserve">16/13</t>
  </si>
  <si>
    <t xml:space="preserve">healthy</t>
  </si>
  <si>
    <t xml:space="preserve">see ANPHY page</t>
  </si>
  <si>
    <t xml:space="preserve">.txt</t>
  </si>
  <si>
    <t xml:space="preserve">https://doi.org/10.1038/s41597-024-03722-1 </t>
  </si>
  <si>
    <t xml:space="preserve">ANSWERS - Assessing Nocturnal Sleep/Wake Effects on Risk of Suicide</t>
  </si>
  <si>
    <t xml:space="preserve">2020-2021</t>
  </si>
  <si>
    <t xml:space="preserve">https://www.sleepdata.org/datasets/answers</t>
  </si>
  <si>
    <t xml:space="preserve">cross-sectional survey conducted among undergraduate students to evaluate sleep continuity, timing, quality, and disorders in conjunction with general mental health and suicidal thoughts and behaviors</t>
  </si>
  <si>
    <t xml:space="preserve">18-53</t>
  </si>
  <si>
    <t xml:space="preserve"> mean: 20.6</t>
  </si>
  <si>
    <t xml:space="preserve">258/713</t>
  </si>
  <si>
    <t xml:space="preserve">Center for Epidemiologic Studies  Depression Scale</t>
  </si>
  <si>
    <t xml:space="preserve">Columbia Suicide Severity Ratings Scale</t>
  </si>
  <si>
    <t xml:space="preserve">Anxiety Disorder-7 Questionnaire</t>
  </si>
  <si>
    <t xml:space="preserve">Interpersonal Needs Questionnaire</t>
  </si>
  <si>
    <t xml:space="preserve">Short UPPS-P Impulsive Behaviour Scale</t>
  </si>
  <si>
    <t xml:space="preserve">CSV</t>
  </si>
  <si>
    <t xml:space="preserve">https://doi.org/10.25822/0vvb-6t89</t>
  </si>
  <si>
    <t xml:space="preserve">APOE - Sleep Disordered Breathing, ApoE and Lipid Metabolism</t>
  </si>
  <si>
    <t xml:space="preserve">2003-2007</t>
  </si>
  <si>
    <t xml:space="preserve">https://www.sleepdata.org/datasets/apoe </t>
  </si>
  <si>
    <t xml:space="preserve">investigation of genetic associations and clinical features in ApoE e4 positive and negative subjects with various degree of sleep apnea</t>
  </si>
  <si>
    <t xml:space="preserve">13 - 90</t>
  </si>
  <si>
    <t xml:space="preserve">mean: 45.7</t>
  </si>
  <si>
    <t xml:space="preserve">421/291</t>
  </si>
  <si>
    <t xml:space="preserve">suspected but untreated sleep disordered breathing</t>
  </si>
  <si>
    <t xml:space="preserve">see page APOE</t>
  </si>
  <si>
    <t xml:space="preserve">R&amp;K</t>
  </si>
  <si>
    <t xml:space="preserve">Hypopnea</t>
  </si>
  <si>
    <t xml:space="preserve">.STA file with annotations</t>
  </si>
  <si>
    <t xml:space="preserve">https://doi.org/10.25822/6ssj-2157</t>
  </si>
  <si>
    <t xml:space="preserve">https://github.com/nsrr/apoe-data-dictionary </t>
  </si>
  <si>
    <t xml:space="preserve">https://gitlab-scm.partners.org/zzz-public/nsrr/-/blob/master/studies/legacy/abc/sigs.alias </t>
  </si>
  <si>
    <t xml:space="preserve">APPLES - Apnea Positive Pressure Long-term Efficacy Study</t>
  </si>
  <si>
    <t xml:space="preserve">2003-2008</t>
  </si>
  <si>
    <t xml:space="preserve">https://www.sleepdata.org/datasets/apples </t>
  </si>
  <si>
    <t xml:space="preserve">evaluate the long-term efficacy of continuous positive airway pressure CPAP) in treating obstructive sleep apnea OSA), including its effects on neurocognitive function, mood, quality of life, and daytime sleepiness.</t>
  </si>
  <si>
    <t xml:space="preserve">CPAP sham and stim)</t>
  </si>
  <si>
    <t xml:space="preserve">1104 PSG data)</t>
  </si>
  <si>
    <t xml:space="preserve">1516 in total</t>
  </si>
  <si>
    <t xml:space="preserve">18-84</t>
  </si>
  <si>
    <t xml:space="preserve">mean: 50.1</t>
  </si>
  <si>
    <t xml:space="preserve">958/558</t>
  </si>
  <si>
    <t xml:space="preserve">obstructive sleep apnea syndrome OSAS)</t>
  </si>
  <si>
    <t xml:space="preserve">abdomen</t>
  </si>
  <si>
    <t xml:space="preserve">C3_M2</t>
  </si>
  <si>
    <t xml:space="preserve">C4_M1</t>
  </si>
  <si>
    <t xml:space="preserve">ECG</t>
  </si>
  <si>
    <t xml:space="preserve">EMG</t>
  </si>
  <si>
    <t xml:space="preserve">LEG</t>
  </si>
  <si>
    <t xml:space="preserve">LOC</t>
  </si>
  <si>
    <t xml:space="preserve">nasal_pres</t>
  </si>
  <si>
    <t xml:space="preserve">O1_M2</t>
  </si>
  <si>
    <t xml:space="preserve">O2_M1</t>
  </si>
  <si>
    <t xml:space="preserve">pulse</t>
  </si>
  <si>
    <t xml:space="preserve">ROC</t>
  </si>
  <si>
    <t xml:space="preserve">snore</t>
  </si>
  <si>
    <t xml:space="preserve">thermistor</t>
  </si>
  <si>
    <t xml:space="preserve">thorax</t>
  </si>
  <si>
    <t xml:space="preserve">10, 100</t>
  </si>
  <si>
    <t xml:space="preserve">200, 100</t>
  </si>
  <si>
    <t xml:space="preserve">40, 100</t>
  </si>
  <si>
    <t xml:space="preserve">40, 100, 200</t>
  </si>
  <si>
    <t xml:space="preserve">1, 10, 100</t>
  </si>
  <si>
    <t xml:space="preserve">Apneas</t>
  </si>
  <si>
    <t xml:space="preserve">Hypopneas</t>
  </si>
  <si>
    <t xml:space="preserve">Questionnaires</t>
  </si>
  <si>
    <t xml:space="preserve">           </t>
  </si>
  <si>
    <t xml:space="preserve">.annot CSV)</t>
  </si>
  <si>
    <t xml:space="preserve">https://doi.org/10.25822/63pr-a591</t>
  </si>
  <si>
    <t xml:space="preserve">https://github.com/nsrr/apples-data-dictionary </t>
  </si>
  <si>
    <t xml:space="preserve">BESTAIR - Best Apnea Interventions in Research</t>
  </si>
  <si>
    <t xml:space="preserve"> </t>
  </si>
  <si>
    <t xml:space="preserve">https://www.sleepdata.org/datasets/bestair</t>
  </si>
  <si>
    <t xml:space="preserve">evaluate alternative ways to address the potential for OSA treatment to reduce heart disease and to identify those features that would strengthen a later, large-scale randomized controlled trial.</t>
  </si>
  <si>
    <t xml:space="preserve">Conservative Medical Therapy CMT</t>
  </si>
  <si>
    <t xml:space="preserve"> Sham PAP Sham</t>
  </si>
  <si>
    <t xml:space="preserve"> Active PAP with RT Support Active-Beh</t>
  </si>
  <si>
    <t xml:space="preserve"> Active PAP with Behavioral Modification Active+Beh</t>
  </si>
  <si>
    <t xml:space="preserve">46-77</t>
  </si>
  <si>
    <t xml:space="preserve">mean: 64.3</t>
  </si>
  <si>
    <t xml:space="preserve">110/59</t>
  </si>
  <si>
    <t xml:space="preserve">Sleep apnea and cardiovascular desease CVD) or risk factors</t>
  </si>
  <si>
    <t xml:space="preserve">518 162 baseline, 93 followup, 263 nonrandomized)</t>
  </si>
  <si>
    <t xml:space="preserve">different</t>
  </si>
  <si>
    <t xml:space="preserve">see page BESTAIR</t>
  </si>
  <si>
    <t xml:space="preserve">Hypopnea tag</t>
  </si>
  <si>
    <t xml:space="preserve">https://doi.org/10.25822/f656-yg39</t>
  </si>
  <si>
    <t xml:space="preserve">https://github.com/nsrr/bestair-data-dictionary</t>
  </si>
  <si>
    <t xml:space="preserve">https://gitlab-scm.partners.org/zzz-public/nsrr/-/blob/master/studies/legacy/bestair/sigs.alias.1 </t>
  </si>
  <si>
    <t xml:space="preserve">CAPSLPDB - CAP Sleep Database</t>
  </si>
  <si>
    <t xml:space="preserve">https://physionet.org/content/capslpdb/1.0.0/</t>
  </si>
  <si>
    <t xml:space="preserve">provide dataset with annotated examples of CAP in variety of pathophysiologic contexts</t>
  </si>
  <si>
    <t xml:space="preserve">14-82, (45.19+-19.65)</t>
  </si>
  <si>
    <t xml:space="preserve">66/ 42</t>
  </si>
  <si>
    <t xml:space="preserve">No pathology (controls)</t>
  </si>
  <si>
    <t xml:space="preserve">Bruxism</t>
  </si>
  <si>
    <t xml:space="preserve">Insomnia</t>
  </si>
  <si>
    <t xml:space="preserve">Narcolepsy</t>
  </si>
  <si>
    <t xml:space="preserve">Nocturnal frontal lobe epilepsy</t>
  </si>
  <si>
    <t xml:space="preserve">Periodic leg movements</t>
  </si>
  <si>
    <t xml:space="preserve">REM behavior disorder</t>
  </si>
  <si>
    <t xml:space="preserve">Sleep-disordered breathing</t>
  </si>
  <si>
    <t xml:space="preserve">    recording name</t>
  </si>
  <si>
    <t xml:space="preserve">n1-n16</t>
  </si>
  <si>
    <t xml:space="preserve">brux1-brux2</t>
  </si>
  <si>
    <t xml:space="preserve">ins1-ins9</t>
  </si>
  <si>
    <t xml:space="preserve">narco1-narco5</t>
  </si>
  <si>
    <t xml:space="preserve">nfle1-nfle40</t>
  </si>
  <si>
    <t xml:space="preserve">plm1-plm10</t>
  </si>
  <si>
    <t xml:space="preserve">rbd1-rbd22</t>
  </si>
  <si>
    <t xml:space="preserve">sdb1-sdb4</t>
  </si>
  <si>
    <t xml:space="preserve">see CAP page</t>
  </si>
  <si>
    <t xml:space="preserve">CAP</t>
  </si>
  <si>
    <t xml:space="preserve">https://doi.org/10.13026/C2VC79</t>
  </si>
  <si>
    <t xml:space="preserve">CFS - Cleveland Family Study</t>
  </si>
  <si>
    <t xml:space="preserve">1990 - 2006</t>
  </si>
  <si>
    <t xml:space="preserve">https://www.sleepdata.org/datasets/cfs</t>
  </si>
  <si>
    <t xml:space="preserve">quantify the familial aggregation of sleep apnea</t>
  </si>
  <si>
    <t xml:space="preserve"> 7-89</t>
  </si>
  <si>
    <t xml:space="preserve">329/406</t>
  </si>
  <si>
    <t xml:space="preserve">730 only visit5)</t>
  </si>
  <si>
    <t xml:space="preserve">ABDO EFFORT</t>
  </si>
  <si>
    <t xml:space="preserve">AIRFLOW</t>
  </si>
  <si>
    <t xml:space="preserve">C3</t>
  </si>
  <si>
    <t xml:space="preserve">C4</t>
  </si>
  <si>
    <t xml:space="preserve">ECG1</t>
  </si>
  <si>
    <t xml:space="preserve">ECG2</t>
  </si>
  <si>
    <t xml:space="preserve">EMG1</t>
  </si>
  <si>
    <t xml:space="preserve">EMG2</t>
  </si>
  <si>
    <t xml:space="preserve">EMG3</t>
  </si>
  <si>
    <t xml:space="preserve">HRate</t>
  </si>
  <si>
    <t xml:space="preserve">L Leg</t>
  </si>
  <si>
    <t xml:space="preserve">M1</t>
  </si>
  <si>
    <t xml:space="preserve">M2</t>
  </si>
  <si>
    <t xml:space="preserve">Masimo</t>
  </si>
  <si>
    <t xml:space="preserve">NASAL PRES</t>
  </si>
  <si>
    <t xml:space="preserve">OX STATUS</t>
  </si>
  <si>
    <t xml:space="preserve">PAP FLOW</t>
  </si>
  <si>
    <t xml:space="preserve">PlethWV</t>
  </si>
  <si>
    <t xml:space="preserve">POSITION</t>
  </si>
  <si>
    <t xml:space="preserve">PULSE</t>
  </si>
  <si>
    <t xml:space="preserve">R Leg</t>
  </si>
  <si>
    <t xml:space="preserve">SaO2</t>
  </si>
  <si>
    <t xml:space="preserve">SNORE</t>
  </si>
  <si>
    <t xml:space="preserve">SUM</t>
  </si>
  <si>
    <t xml:space="preserve">THOR EFFORT</t>
  </si>
  <si>
    <t xml:space="preserve">32, 128</t>
  </si>
  <si>
    <t xml:space="preserve">32, 256</t>
  </si>
  <si>
    <t xml:space="preserve">128, 256</t>
  </si>
  <si>
    <t xml:space="preserve">128, 256, 512</t>
  </si>
  <si>
    <t xml:space="preserve">16, 64, 128</t>
  </si>
  <si>
    <t xml:space="preserve">8, 16, 64, 128</t>
  </si>
  <si>
    <t xml:space="preserve">1, 64</t>
  </si>
  <si>
    <t xml:space="preserve">256, 512</t>
  </si>
  <si>
    <t xml:space="preserve">Arousals</t>
  </si>
  <si>
    <t xml:space="preserve">Apnea Central and obstructive)</t>
  </si>
  <si>
    <t xml:space="preserve">https://doi.org/10.25822/jmyx-mz90</t>
  </si>
  <si>
    <t xml:space="preserve">https://gitlab-scm.partners.org/zzz-public/nsrr/-/blob/master/studies/legacy/cfs/sigs.alias </t>
  </si>
  <si>
    <t xml:space="preserve">CPS - Comprehensive Polysomnography</t>
  </si>
  <si>
    <t xml:space="preserve">2021-2022</t>
  </si>
  <si>
    <t xml:space="preserve">https://physionet.org/content/cps-dataset-sleep/1.0.0/ </t>
  </si>
  <si>
    <t xml:space="preserve">study: Computer-aided diagnostics of sleep-related arousals on the basis of pulse wave analyses,  dataset:  how Machine Learning could enhance the quality and efficiency of sleep-related arousal diagnostics, while also reducing technical demands</t>
  </si>
  <si>
    <t xml:space="preserve">patients with PAP excluded</t>
  </si>
  <si>
    <t xml:space="preserve">adults (mostly between 50-70)</t>
  </si>
  <si>
    <t xml:space="preserve"> A1</t>
  </si>
  <si>
    <t xml:space="preserve"> A1:O2</t>
  </si>
  <si>
    <t xml:space="preserve"> A2</t>
  </si>
  <si>
    <t xml:space="preserve"> C3</t>
  </si>
  <si>
    <t xml:space="preserve"> C3:A2</t>
  </si>
  <si>
    <t xml:space="preserve"> C4</t>
  </si>
  <si>
    <t xml:space="preserve"> C4:A1</t>
  </si>
  <si>
    <t xml:space="preserve"> Druck Snore</t>
  </si>
  <si>
    <t xml:space="preserve"> ECG 2</t>
  </si>
  <si>
    <t xml:space="preserve"> EMG-</t>
  </si>
  <si>
    <t xml:space="preserve"> EMG+</t>
  </si>
  <si>
    <t xml:space="preserve"> EOGl</t>
  </si>
  <si>
    <t xml:space="preserve"> EOGr:A2</t>
  </si>
  <si>
    <t xml:space="preserve"> F4:A1</t>
  </si>
  <si>
    <t xml:space="preserve"> Flow Th</t>
  </si>
  <si>
    <t xml:space="preserve"> O2:A1</t>
  </si>
  <si>
    <t xml:space="preserve"> Pleth</t>
  </si>
  <si>
    <t xml:space="preserve"> PLMl</t>
  </si>
  <si>
    <t xml:space="preserve"> Pos.</t>
  </si>
  <si>
    <t xml:space="preserve"> Pulse</t>
  </si>
  <si>
    <t xml:space="preserve"> RIP.Abdom</t>
  </si>
  <si>
    <t xml:space="preserve"> RIP.Thrx</t>
  </si>
  <si>
    <t xml:space="preserve">Akku</t>
  </si>
  <si>
    <t xml:space="preserve">Beweg.</t>
  </si>
  <si>
    <t xml:space="preserve">Druck Flow</t>
  </si>
  <si>
    <t xml:space="preserve">EOGl:A1</t>
  </si>
  <si>
    <t xml:space="preserve">EOGl:A2</t>
  </si>
  <si>
    <t xml:space="preserve">EOGr</t>
  </si>
  <si>
    <t xml:space="preserve">EOGr:A1</t>
  </si>
  <si>
    <t xml:space="preserve">F4</t>
  </si>
  <si>
    <t xml:space="preserve">Licht</t>
  </si>
  <si>
    <t xml:space="preserve">O2</t>
  </si>
  <si>
    <t xml:space="preserve">PLMr</t>
  </si>
  <si>
    <t xml:space="preserve">Schnarc</t>
  </si>
  <si>
    <t xml:space="preserve">SPO2</t>
  </si>
  <si>
    <t xml:space="preserve">Summe RIPs</t>
  </si>
  <si>
    <t xml:space="preserve">arousal, apnea</t>
  </si>
  <si>
    <t xml:space="preserve">.hea/.dat</t>
  </si>
  <si>
    <t xml:space="preserve">https://doi.org/10.13026/sxs0-h317</t>
  </si>
  <si>
    <t xml:space="preserve">DCSM - Danish Center of Sleep Medicine</t>
  </si>
  <si>
    <t xml:space="preserve">2015-2018</t>
  </si>
  <si>
    <t xml:space="preserve">https://erda.ku.dk/public/archives/db553715ecbe1f3ac66c1dc569826eef/published-archive.html </t>
  </si>
  <si>
    <t xml:space="preserve">development and benchmarking of clinically applicable sleep staging algorithms diverse cohort of Danish patients with respect to demographic characteristics, diagnostic background and sleep/non-sleep related medication usage)</t>
  </si>
  <si>
    <t xml:space="preserve">non-specific sleep related disorder </t>
  </si>
  <si>
    <t xml:space="preserve"> ABDOMEN</t>
  </si>
  <si>
    <t xml:space="preserve"> C3-M2</t>
  </si>
  <si>
    <t xml:space="preserve"> C4-M1</t>
  </si>
  <si>
    <t xml:space="preserve"> CHIN</t>
  </si>
  <si>
    <t xml:space="preserve"> E2-M2</t>
  </si>
  <si>
    <t xml:space="preserve"> ECG-II</t>
  </si>
  <si>
    <t xml:space="preserve"> F3-M2</t>
  </si>
  <si>
    <t xml:space="preserve"> F4-M1</t>
  </si>
  <si>
    <t xml:space="preserve"> LAT</t>
  </si>
  <si>
    <t xml:space="preserve"> NASAL</t>
  </si>
  <si>
    <t xml:space="preserve"> O1-M2</t>
  </si>
  <si>
    <t xml:space="preserve"> O2-M1</t>
  </si>
  <si>
    <t xml:space="preserve"> RAT</t>
  </si>
  <si>
    <t xml:space="preserve"> SNORE</t>
  </si>
  <si>
    <t xml:space="preserve"> SPO2</t>
  </si>
  <si>
    <t xml:space="preserve"> THORAX</t>
  </si>
  <si>
    <t xml:space="preserve">E1-M2</t>
  </si>
  <si>
    <t xml:space="preserve">EDF/H5</t>
  </si>
  <si>
    <t xml:space="preserve">.ids Annotations)</t>
  </si>
  <si>
    <t xml:space="preserve">https://doi.org/10.17894/ucph.282d3c1e-9b98-4c1e-886e-704afdfa9179</t>
  </si>
  <si>
    <t xml:space="preserve">extra</t>
  </si>
  <si>
    <t xml:space="preserve">Bandpass filter  0.3 Hz - 70 Hz 3dB limits)</t>
  </si>
  <si>
    <t xml:space="preserve">DOD-H - Dreem Open Dataset - Healthy</t>
  </si>
  <si>
    <t xml:space="preserve">https://ieeexplore.ieee.org/document/9146268 </t>
  </si>
  <si>
    <t xml:space="preserve">evaluate automated sleep stage classification</t>
  </si>
  <si>
    <t xml:space="preserve">18-65</t>
  </si>
  <si>
    <t xml:space="preserve">mean: 35.32</t>
  </si>
  <si>
    <t xml:space="preserve">EEG C3M2</t>
  </si>
  <si>
    <t xml:space="preserve">EEG F4M1</t>
  </si>
  <si>
    <t xml:space="preserve">EEG F3F4</t>
  </si>
  <si>
    <t xml:space="preserve">EEG F3M2</t>
  </si>
  <si>
    <t xml:space="preserve">EEG F4O2</t>
  </si>
  <si>
    <t xml:space="preserve">EEG F3O1</t>
  </si>
  <si>
    <t xml:space="preserve">EEG FP1F3</t>
  </si>
  <si>
    <t xml:space="preserve">EEG FP1M2</t>
  </si>
  <si>
    <t xml:space="preserve">EEG FP1O2</t>
  </si>
  <si>
    <t xml:space="preserve">EEG FP2F4</t>
  </si>
  <si>
    <t xml:space="preserve">EEG FP2M1</t>
  </si>
  <si>
    <t xml:space="preserve">EEG FP2O2</t>
  </si>
  <si>
    <t xml:space="preserve">EOG Left</t>
  </si>
  <si>
    <t xml:space="preserve">EOG Right</t>
  </si>
  <si>
    <t xml:space="preserve">AASM 5 human scorers)</t>
  </si>
  <si>
    <t xml:space="preserve">H5</t>
  </si>
  <si>
    <t xml:space="preserve">10.1109/TNSRE.2020.3011181</t>
  </si>
  <si>
    <t xml:space="preserve">https://github.com/Dreem-Organization/dreem-learning-open </t>
  </si>
  <si>
    <t xml:space="preserve">DOD-O - Dreem Open Dataset - Obstructive</t>
  </si>
  <si>
    <t xml:space="preserve">https://ieeexplore.ieee.org/document/9146268</t>
  </si>
  <si>
    <t xml:space="preserve">mean: 45.6</t>
  </si>
  <si>
    <t xml:space="preserve">35/20</t>
  </si>
  <si>
    <t xml:space="preserve">obstructive sleep apnea</t>
  </si>
  <si>
    <t xml:space="preserve">EEG C4M1</t>
  </si>
  <si>
    <t xml:space="preserve">EEG O1M2</t>
  </si>
  <si>
    <t xml:space="preserve">EEG O2M1</t>
  </si>
  <si>
    <t xml:space="preserve">EOG 1</t>
  </si>
  <si>
    <t xml:space="preserve">EOG 2</t>
  </si>
  <si>
    <t xml:space="preserve">DREAMT - Dataset for Real-time sleep stage EstimAtion using Multisensor wearable</t>
  </si>
  <si>
    <t xml:space="preserve">https://physionet.org/content/dreamt/1.0.0/ </t>
  </si>
  <si>
    <t xml:space="preserve">Present a large scale dataset to allow researchers and engineers to validate their wearable sleep staging algorithms against a population with diverse sleep patterns</t>
  </si>
  <si>
    <t xml:space="preserve">mean: 56.2</t>
  </si>
  <si>
    <t xml:space="preserve">diverse no selection criteria)</t>
  </si>
  <si>
    <t xml:space="preserve">ACC_X</t>
  </si>
  <si>
    <t xml:space="preserve">ACC_Y</t>
  </si>
  <si>
    <t xml:space="preserve">ACC_Z</t>
  </si>
  <si>
    <t xml:space="preserve">BVP</t>
  </si>
  <si>
    <t xml:space="preserve">EDA</t>
  </si>
  <si>
    <t xml:space="preserve">HR</t>
  </si>
  <si>
    <t xml:space="preserve">TEMP</t>
  </si>
  <si>
    <t xml:space="preserve">Obstructive_Apnea,Central_Apnea,Hypopnea,Mixed_Apnea</t>
  </si>
  <si>
    <t xml:space="preserve">https://doi.org/10.13026/62an-cb28</t>
  </si>
  <si>
    <t xml:space="preserve">FDCSR - Forced Desynchrony with and without Chronic Sleep Restriction</t>
  </si>
  <si>
    <t xml:space="preserve">2000-2016</t>
  </si>
  <si>
    <t xml:space="preserve">https://www.sleepdata.org/datasets/fdcsr </t>
  </si>
  <si>
    <t xml:space="preserve">force desynchrony betqeen circadian rhythms and sleep/wake and monitor physiological data</t>
  </si>
  <si>
    <t xml:space="preserve">forced desynchrony</t>
  </si>
  <si>
    <t xml:space="preserve">20-34</t>
  </si>
  <si>
    <t xml:space="preserve">13/15</t>
  </si>
  <si>
    <t xml:space="preserve">C3 A2</t>
  </si>
  <si>
    <t xml:space="preserve">C3 Ax</t>
  </si>
  <si>
    <t xml:space="preserve">C3 Mx</t>
  </si>
  <si>
    <t xml:space="preserve">C4 A1</t>
  </si>
  <si>
    <t xml:space="preserve">C4 Ax</t>
  </si>
  <si>
    <t xml:space="preserve">C4 Mx</t>
  </si>
  <si>
    <t xml:space="preserve">Cz Ax</t>
  </si>
  <si>
    <t xml:space="preserve">Cz Mx</t>
  </si>
  <si>
    <t xml:space="preserve">E1 Mx</t>
  </si>
  <si>
    <t xml:space="preserve">E2 Mx</t>
  </si>
  <si>
    <t xml:space="preserve">EMG sm</t>
  </si>
  <si>
    <t xml:space="preserve">Fz Ax</t>
  </si>
  <si>
    <t xml:space="preserve">Fz Mx</t>
  </si>
  <si>
    <t xml:space="preserve">LOC A2</t>
  </si>
  <si>
    <t xml:space="preserve">LOC Ax</t>
  </si>
  <si>
    <t xml:space="preserve">Marker</t>
  </si>
  <si>
    <t xml:space="preserve">O1 A2</t>
  </si>
  <si>
    <t xml:space="preserve">O2 A1</t>
  </si>
  <si>
    <t xml:space="preserve">Oz Ax</t>
  </si>
  <si>
    <t xml:space="preserve">Oz Mx</t>
  </si>
  <si>
    <t xml:space="preserve">Pz Ax</t>
  </si>
  <si>
    <t xml:space="preserve">Pz Mx</t>
  </si>
  <si>
    <t xml:space="preserve">ROC A1</t>
  </si>
  <si>
    <t xml:space="preserve">ROC Ax</t>
  </si>
  <si>
    <t xml:space="preserve">1, 16</t>
  </si>
  <si>
    <t xml:space="preserve">64, 128</t>
  </si>
  <si>
    <t xml:space="preserve">https://doi.org/10.25822/cxjt-6585</t>
  </si>
  <si>
    <t xml:space="preserve">https://github.com/nsrr/fdcsr-data-dictionary</t>
  </si>
  <si>
    <t xml:space="preserve">HEARTBEAT - Heart Biomarker Evaluation in Apnea Treatment</t>
  </si>
  <si>
    <t xml:space="preserve">2010-2012</t>
  </si>
  <si>
    <t xml:space="preserve">https://sleepdata.org/datasets/heartbeat </t>
  </si>
  <si>
    <t xml:space="preserve">effects of supplemental nocturnal oxygen or Positive Airway Pressure PAP) therapy.</t>
  </si>
  <si>
    <t xml:space="preserve">supplemental nocturnal oxygen, PAP</t>
  </si>
  <si>
    <t xml:space="preserve">45-76</t>
  </si>
  <si>
    <t xml:space="preserve">234/84</t>
  </si>
  <si>
    <t xml:space="preserve">history or symptoms of heart disease and sleep apnea or snoring</t>
  </si>
  <si>
    <t xml:space="preserve">2 month follow-up</t>
  </si>
  <si>
    <t xml:space="preserve"> 0-1v DC</t>
  </si>
  <si>
    <t xml:space="preserve"> Abdomen</t>
  </si>
  <si>
    <t xml:space="preserve"> Abdomen_EG</t>
  </si>
  <si>
    <t xml:space="preserve"> Activity</t>
  </si>
  <si>
    <t xml:space="preserve"> Activity_EG</t>
  </si>
  <si>
    <t xml:space="preserve"> CPAP_PDS</t>
  </si>
  <si>
    <t xml:space="preserve"> Differential Pre</t>
  </si>
  <si>
    <t xml:space="preserve"> EKG</t>
  </si>
  <si>
    <t xml:space="preserve"> EKG_EG</t>
  </si>
  <si>
    <t xml:space="preserve"> Elevation</t>
  </si>
  <si>
    <t xml:space="preserve"> Flattening</t>
  </si>
  <si>
    <t xml:space="preserve"> Flow</t>
  </si>
  <si>
    <t xml:space="preserve"> Flow_EG</t>
  </si>
  <si>
    <t xml:space="preserve"> Gravity X</t>
  </si>
  <si>
    <t xml:space="preserve"> Gravity Y</t>
  </si>
  <si>
    <t xml:space="preserve"> Nasal</t>
  </si>
  <si>
    <t xml:space="preserve"> Nasal_EG</t>
  </si>
  <si>
    <t xml:space="preserve"> Phase</t>
  </si>
  <si>
    <t xml:space="preserve"> Position</t>
  </si>
  <si>
    <t xml:space="preserve"> Position_EG</t>
  </si>
  <si>
    <t xml:space="preserve"> Pulse_EG</t>
  </si>
  <si>
    <t xml:space="preserve"> RD-Pleth</t>
  </si>
  <si>
    <t xml:space="preserve"> RD-Pleth_EG</t>
  </si>
  <si>
    <t xml:space="preserve"> RD-Quality</t>
  </si>
  <si>
    <t xml:space="preserve"> RMI</t>
  </si>
  <si>
    <t xml:space="preserve"> RR</t>
  </si>
  <si>
    <t xml:space="preserve"> Snore</t>
  </si>
  <si>
    <t xml:space="preserve"> Snore_EG</t>
  </si>
  <si>
    <t xml:space="preserve"> SpO2</t>
  </si>
  <si>
    <t xml:space="preserve"> SpO2_EG</t>
  </si>
  <si>
    <t xml:space="preserve"> SpO2-BB</t>
  </si>
  <si>
    <t xml:space="preserve"> SpO2-Quality</t>
  </si>
  <si>
    <t xml:space="preserve"> SpO2-Quality_EG</t>
  </si>
  <si>
    <t xml:space="preserve"> Thermistor</t>
  </si>
  <si>
    <t xml:space="preserve"> Thermistor_EG</t>
  </si>
  <si>
    <t xml:space="preserve"> Thorax</t>
  </si>
  <si>
    <t xml:space="preserve"> Thorax_EG</t>
  </si>
  <si>
    <t xml:space="preserve"> XFlow</t>
  </si>
  <si>
    <t xml:space="preserve"> XFlow_EG</t>
  </si>
  <si>
    <t xml:space="preserve"> XSum</t>
  </si>
  <si>
    <t xml:space="preserve"> XSum_EG</t>
  </si>
  <si>
    <t xml:space="preserve">Tidal Volume</t>
  </si>
  <si>
    <t xml:space="preserve">no sleep stage scoring</t>
  </si>
  <si>
    <t xml:space="preserve">Hypopnea, Mixed Apnea</t>
  </si>
  <si>
    <t xml:space="preserve">https://doi.org/10.25822/njzh-dk37</t>
  </si>
  <si>
    <t xml:space="preserve">https://github.com/nsrr/heartbeat-data-dictionary </t>
  </si>
  <si>
    <t xml:space="preserve">https://gitlab-scm.partners.org/zzz-eartbeat/sigs.alias </t>
  </si>
  <si>
    <t xml:space="preserve">HMC - Haaglanden Medisch Centrum sleep staging database</t>
  </si>
  <si>
    <t xml:space="preserve">https://physionet.org/content/hmc-sleep-staging/1.1/ </t>
  </si>
  <si>
    <t xml:space="preserve">evaluating the generalization performance of an automatic sleep scoring algorithm across multiple heterogeneous datasets</t>
  </si>
  <si>
    <t xml:space="preserve">53.9 +-15.4</t>
  </si>
  <si>
    <t xml:space="preserve">85/66</t>
  </si>
  <si>
    <t xml:space="preserve">different sleep disorders</t>
  </si>
  <si>
    <t xml:space="preserve">E2-M2</t>
  </si>
  <si>
    <t xml:space="preserve">EMG Chin</t>
  </si>
  <si>
    <t xml:space="preserve">F4_M1</t>
  </si>
  <si>
    <t xml:space="preserve">EDF, txt</t>
  </si>
  <si>
    <t xml:space="preserve">https://doi.org/10.13026/t4w7-3k21</t>
  </si>
  <si>
    <t xml:space="preserve">HOMEPAP - Home Positive Airway Pressure</t>
  </si>
  <si>
    <t xml:space="preserve">2008-2010</t>
  </si>
  <si>
    <t xml:space="preserve">https://sleepdata.org/datasets/homepap </t>
  </si>
  <si>
    <t xml:space="preserve">test the utility of an integrated clinical pathway for obstructive sleep apnea OSA) diagnosis and continuous positive airway pressure CPAP) treatment using portable monitoring devices</t>
  </si>
  <si>
    <t xml:space="preserve">CPAP</t>
  </si>
  <si>
    <t xml:space="preserve">373?</t>
  </si>
  <si>
    <t xml:space="preserve">20-80</t>
  </si>
  <si>
    <t xml:space="preserve">225/148</t>
  </si>
  <si>
    <t xml:space="preserve">moderate to severe OSA</t>
  </si>
  <si>
    <t xml:space="preserve">414 but only 247 with sleep scoring</t>
  </si>
  <si>
    <t xml:space="preserve">see page HOMEPAP</t>
  </si>
  <si>
    <t xml:space="preserve">arousal, apneas, SpO2 desaturation</t>
  </si>
  <si>
    <t xml:space="preserve">https://doi.org/10.25822/xmwv-yz91</t>
  </si>
  <si>
    <t xml:space="preserve">https://github.com/nsrr/homepap-data-dictionary </t>
  </si>
  <si>
    <t xml:space="preserve">ISRUC</t>
  </si>
  <si>
    <t xml:space="preserve">2009-2013</t>
  </si>
  <si>
    <t xml:space="preserve">https://doi.org/10.1016/j.cmpb.2015.10.013</t>
  </si>
  <si>
    <t xml:space="preserve">facilitate sleep patterns analysis by introduce open-access  sleep dataset</t>
  </si>
  <si>
    <t xml:space="preserve">some patients were under effect of medication but not as part of the study</t>
  </si>
  <si>
    <t xml:space="preserve">three subgroups)</t>
  </si>
  <si>
    <t xml:space="preserve">20-85 mean 51)</t>
  </si>
  <si>
    <t xml:space="preserve">26-79 mean 46.87)</t>
  </si>
  <si>
    <t xml:space="preserve">30-58 mean 40)</t>
  </si>
  <si>
    <t xml:space="preserve">55/45</t>
  </si>
  <si>
    <t xml:space="preserve">6 male)/2</t>
  </si>
  <si>
    <t xml:space="preserve">9 male) / 1</t>
  </si>
  <si>
    <t xml:space="preserve">apnea</t>
  </si>
  <si>
    <t xml:space="preserve">C3-A2</t>
  </si>
  <si>
    <t xml:space="preserve">C4-A1</t>
  </si>
  <si>
    <t xml:space="preserve">DC3 Flow2)</t>
  </si>
  <si>
    <t xml:space="preserve">DC8 Body Position)</t>
  </si>
  <si>
    <t xml:space="preserve">F3-A2</t>
  </si>
  <si>
    <t xml:space="preserve">F4-A1</t>
  </si>
  <si>
    <t xml:space="preserve">LOC-A2</t>
  </si>
  <si>
    <t xml:space="preserve">O1-A2</t>
  </si>
  <si>
    <t xml:space="preserve">O2-A1</t>
  </si>
  <si>
    <t xml:space="preserve">ROC-A1</t>
  </si>
  <si>
    <t xml:space="preserve">X1 Chin EMG)</t>
  </si>
  <si>
    <t xml:space="preserve">X2 ECG)</t>
  </si>
  <si>
    <t xml:space="preserve">X3 Leg1 EMG)</t>
  </si>
  <si>
    <t xml:space="preserve">X4 Leg2 EMG)</t>
  </si>
  <si>
    <t xml:space="preserve">X5 Snore)</t>
  </si>
  <si>
    <t xml:space="preserve">X6 Flow1)</t>
  </si>
  <si>
    <t xml:space="preserve">X7 Abdominal)</t>
  </si>
  <si>
    <t xml:space="preserve">X8 Abdominal)</t>
  </si>
  <si>
    <t xml:space="preserve">AASM two scorers)</t>
  </si>
  <si>
    <t xml:space="preserve">txt</t>
  </si>
  <si>
    <t xml:space="preserve">MMASH - Multilevel Monitoring of Activity and Sleep in Healthy People</t>
  </si>
  <si>
    <t xml:space="preserve">https://doi.org/10.13026/cerq-fc86</t>
  </si>
  <si>
    <t xml:space="preserve">Provide a 24h actigraphy and heart rate database</t>
  </si>
  <si>
    <t xml:space="preserve">acceleration</t>
  </si>
  <si>
    <t xml:space="preserve">heart rate</t>
  </si>
  <si>
    <t xml:space="preserve">bio-markers</t>
  </si>
  <si>
    <t xml:space="preserve">https://doi.org/10.3390/data5040091</t>
  </si>
  <si>
    <t xml:space="preserve">MESA - Multi-Ethnic Study of Atherosclerosis</t>
  </si>
  <si>
    <t xml:space="preserve">https://sleepdata.org/datasets/mesa </t>
  </si>
  <si>
    <t xml:space="preserve">how do sleep and sleep disorders vary across gender and ethnic group and relate to measures of subclinical atherosclerosis</t>
  </si>
  <si>
    <t xml:space="preserve">54-90 mean 69.6</t>
  </si>
  <si>
    <t xml:space="preserve">1039/1198</t>
  </si>
  <si>
    <t xml:space="preserve">cardiovascular diseases</t>
  </si>
  <si>
    <t xml:space="preserve"> Abdo</t>
  </si>
  <si>
    <t xml:space="preserve"> Aux_AC</t>
  </si>
  <si>
    <t xml:space="preserve"> DHR</t>
  </si>
  <si>
    <t xml:space="preserve"> EEG1</t>
  </si>
  <si>
    <t xml:space="preserve"> EEG1_Off</t>
  </si>
  <si>
    <t xml:space="preserve"> EEG2</t>
  </si>
  <si>
    <t xml:space="preserve"> EEG2_Off</t>
  </si>
  <si>
    <t xml:space="preserve"> EEG3</t>
  </si>
  <si>
    <t xml:space="preserve"> EEG3_Off</t>
  </si>
  <si>
    <t xml:space="preserve"> EKG_Off</t>
  </si>
  <si>
    <t xml:space="preserve"> EMG</t>
  </si>
  <si>
    <t xml:space="preserve"> EMG_Off</t>
  </si>
  <si>
    <t xml:space="preserve"> EOG-L_Off</t>
  </si>
  <si>
    <t xml:space="preserve"> EOG-R</t>
  </si>
  <si>
    <t xml:space="preserve"> EOG-R_Off</t>
  </si>
  <si>
    <t xml:space="preserve"> HR</t>
  </si>
  <si>
    <t xml:space="preserve"> Leg</t>
  </si>
  <si>
    <t xml:space="preserve"> OxStatus</t>
  </si>
  <si>
    <t xml:space="preserve"> Pos</t>
  </si>
  <si>
    <t xml:space="preserve"> Pres</t>
  </si>
  <si>
    <t xml:space="preserve"> PTT</t>
  </si>
  <si>
    <t xml:space="preserve"> Therm</t>
  </si>
  <si>
    <t xml:space="preserve"> Thor</t>
  </si>
  <si>
    <t xml:space="preserve">EOG-L</t>
  </si>
  <si>
    <t xml:space="preserve">https://doi.org/10.25822/n7hq-c406</t>
  </si>
  <si>
    <t xml:space="preserve">10.5665/sleep.4732 </t>
  </si>
  <si>
    <t xml:space="preserve">https://github.com/nsrr/mesa-data-dictionary </t>
  </si>
  <si>
    <t xml:space="preserve">https://gitlab-scm.partners.org/zzz-public/nsrr/-/blob/master/studies/legacy/mesa/sigs.alias </t>
  </si>
  <si>
    <t xml:space="preserve">MITBIH - Polysomnographic Database</t>
  </si>
  <si>
    <t xml:space="preserve">https://physionet.org/content/slpdb/1.0.0/</t>
  </si>
  <si>
    <t xml:space="preserve">evaluation of chronic obstructive sleep apnea syndrome and testing effects of constant CPAP</t>
  </si>
  <si>
    <t xml:space="preserve">32-56, mean: 43</t>
  </si>
  <si>
    <t xml:space="preserve">16/ 0</t>
  </si>
  <si>
    <t xml:space="preserve">1 (except slp01a/b and slp02a/b)</t>
  </si>
  <si>
    <t xml:space="preserve">BP</t>
  </si>
  <si>
    <t xml:space="preserve">EEG (C3-O1)</t>
  </si>
  <si>
    <t xml:space="preserve">Resp (chest)</t>
  </si>
  <si>
    <t xml:space="preserve">Resp (nasal)</t>
  </si>
  <si>
    <t xml:space="preserve">SO2</t>
  </si>
  <si>
    <t xml:space="preserve">SV</t>
  </si>
  <si>
    <t xml:space="preserve">Apneas, Movements, Arousals</t>
  </si>
  <si>
    <t xml:space="preserve">.st</t>
  </si>
  <si>
    <t xml:space="preserve">https://doi.org/10.13026/C23K5S</t>
  </si>
  <si>
    <t xml:space="preserve">MNC - Mignot Nature Communications</t>
  </si>
  <si>
    <t xml:space="preserve">1988-2018</t>
  </si>
  <si>
    <t xml:space="preserve">https://sleepdata.org/datasets/mnc </t>
  </si>
  <si>
    <t xml:space="preserve">automated sleep staging project using neural networks</t>
  </si>
  <si>
    <t xml:space="preserve">cohort</t>
  </si>
  <si>
    <t xml:space="preserve">SSC</t>
  </si>
  <si>
    <t xml:space="preserve">DHC</t>
  </si>
  <si>
    <t xml:space="preserve">CNC</t>
  </si>
  <si>
    <t xml:space="preserve">45.4 ± 13.8</t>
  </si>
  <si>
    <t xml:space="preserve">33.4 ± 14.8</t>
  </si>
  <si>
    <t xml:space="preserve">28.5 ± 16.9</t>
  </si>
  <si>
    <t xml:space="preserve">59.4% male</t>
  </si>
  <si>
    <t xml:space="preserve">50% male</t>
  </si>
  <si>
    <t xml:space="preserve">51.3% male</t>
  </si>
  <si>
    <t xml:space="preserve">healthy, sleep disorder, excessive daytime sleepiness, narcolepsy, T1N</t>
  </si>
  <si>
    <t xml:space="preserve">T1N and unknown</t>
  </si>
  <si>
    <t xml:space="preserve">see MNC page</t>
  </si>
  <si>
    <t xml:space="preserve">.eannot (.txt)</t>
  </si>
  <si>
    <t xml:space="preserve">https://doi.org/10.25822/00tc-zz78</t>
  </si>
  <si>
    <t xml:space="preserve">https://doi.org/10.1038/s41467-018-07229-3 </t>
  </si>
  <si>
    <t xml:space="preserve">https://gitlab-scm.partners.org/zzz-public/nsrr/-/blob/master/studies/legacy/mnc/sigs.alias </t>
  </si>
  <si>
    <t xml:space="preserve">https://github.com/nsrr/mnc-documentation </t>
  </si>
  <si>
    <t xml:space="preserve">Motion and heart rate from a wrist-worn wearable and labeled sleep from polysomnography</t>
  </si>
  <si>
    <t xml:space="preserve">https://physionet.org/content/sleep-accel/1.0.0/ </t>
  </si>
  <si>
    <t xml:space="preserve">Check the ability of motion and heart rate measured with a  wearable to score sleep </t>
  </si>
  <si>
    <t xml:space="preserve">19-55 (mean: 29.42)</t>
  </si>
  <si>
    <t xml:space="preserve">10/21</t>
  </si>
  <si>
    <t xml:space="preserve">healthy (no sleep disorders)</t>
  </si>
  <si>
    <t xml:space="preserve">Acceleration</t>
  </si>
  <si>
    <t xml:space="preserve">Heart Rate</t>
  </si>
  <si>
    <t xml:space="preserve">Steps</t>
  </si>
  <si>
    <t xml:space="preserve">there is no common sampling rate but given timestamps</t>
  </si>
  <si>
    <t xml:space="preserve">https://doi.org/10.1093/sleep/zsz180 </t>
  </si>
  <si>
    <t xml:space="preserve">https://doi.org/10.13026/hmhs-py35 </t>
  </si>
  <si>
    <t xml:space="preserve">MROS MrOS Sleep Study</t>
  </si>
  <si>
    <t xml:space="preserve">2003-2005, 2009-2012</t>
  </si>
  <si>
    <t xml:space="preserve">https://sleepdata.org/datasets/mros </t>
  </si>
  <si>
    <t xml:space="preserve">Ancillary study that focuses on understanding the relationship between sleep disorders and falls, fractures, mortality, and vascular disease</t>
  </si>
  <si>
    <t xml:space="preserve">none</t>
  </si>
  <si>
    <t xml:space="preserve">&gt;65</t>
  </si>
  <si>
    <t xml:space="preserve">2909/0</t>
  </si>
  <si>
    <t xml:space="preserve">random</t>
  </si>
  <si>
    <t xml:space="preserve">2903 visit1) + 1027 visit2)</t>
  </si>
  <si>
    <t xml:space="preserve"> ABD</t>
  </si>
  <si>
    <t xml:space="preserve"> Abdominal</t>
  </si>
  <si>
    <t xml:space="preserve"> Airflow</t>
  </si>
  <si>
    <t xml:space="preserve"> Cannula Flow</t>
  </si>
  <si>
    <t xml:space="preserve"> CannulaFlow</t>
  </si>
  <si>
    <t xml:space="preserve"> CH36</t>
  </si>
  <si>
    <t xml:space="preserve"> CH37</t>
  </si>
  <si>
    <t xml:space="preserve"> Chest</t>
  </si>
  <si>
    <t xml:space="preserve"> E1</t>
  </si>
  <si>
    <t xml:space="preserve"> E2</t>
  </si>
  <si>
    <t xml:space="preserve"> ECG L</t>
  </si>
  <si>
    <t xml:space="preserve"> ECG R</t>
  </si>
  <si>
    <t xml:space="preserve"> ECGL</t>
  </si>
  <si>
    <t xml:space="preserve"> ECGR</t>
  </si>
  <si>
    <t xml:space="preserve"> L Chin</t>
  </si>
  <si>
    <t xml:space="preserve"> LChin</t>
  </si>
  <si>
    <t xml:space="preserve"> Leg L</t>
  </si>
  <si>
    <t xml:space="preserve"> Leg R</t>
  </si>
  <si>
    <t xml:space="preserve"> LegL</t>
  </si>
  <si>
    <t xml:space="preserve"> LegR</t>
  </si>
  <si>
    <t xml:space="preserve"> LOC</t>
  </si>
  <si>
    <t xml:space="preserve"> M1</t>
  </si>
  <si>
    <t xml:space="preserve"> M2</t>
  </si>
  <si>
    <t xml:space="preserve"> R Chin</t>
  </si>
  <si>
    <t xml:space="preserve"> RChin</t>
  </si>
  <si>
    <t xml:space="preserve"> ROC</t>
  </si>
  <si>
    <t xml:space="preserve"> SaO2</t>
  </si>
  <si>
    <t xml:space="preserve"> STAT</t>
  </si>
  <si>
    <t xml:space="preserve"> SUM</t>
  </si>
  <si>
    <t xml:space="preserve"> Thoracic</t>
  </si>
  <si>
    <t xml:space="preserve">XML (Profusion &amp; NSRR)</t>
  </si>
  <si>
    <t xml:space="preserve">https://doi.org/10.25822/kc27-0425</t>
  </si>
  <si>
    <t xml:space="preserve">10.1111/j.1532-5415.2011.03731.x </t>
  </si>
  <si>
    <t xml:space="preserve">MSP - Maternal Sleep in Pregnancy and the Fetus</t>
  </si>
  <si>
    <t xml:space="preserve">?</t>
  </si>
  <si>
    <t xml:space="preserve">https://sleepdata.org/datasets/msp </t>
  </si>
  <si>
    <t xml:space="preserve">influence of maternal sleep disordered breathing on the fetus heart rate</t>
  </si>
  <si>
    <t xml:space="preserve">18-42 mean 26.9)</t>
  </si>
  <si>
    <t xml:space="preserve">0/106</t>
  </si>
  <si>
    <t xml:space="preserve">obesity, 36th week of pregnancy</t>
  </si>
  <si>
    <t xml:space="preserve">F3_M2</t>
  </si>
  <si>
    <t xml:space="preserve">fetal_HR</t>
  </si>
  <si>
    <t xml:space="preserve">LAT</t>
  </si>
  <si>
    <t xml:space="preserve">RAT</t>
  </si>
  <si>
    <t xml:space="preserve">o2 desaturation, apnea</t>
  </si>
  <si>
    <t xml:space="preserve">https://doi.org/10.25822/gc7q-g526</t>
  </si>
  <si>
    <t xml:space="preserve">https://doi.org/10.1002/dev.22118 </t>
  </si>
  <si>
    <t xml:space="preserve">MWT - Maintenance of Wakefulness Test</t>
  </si>
  <si>
    <t xml:space="preserve">https://zenodo.org/records/3251716 </t>
  </si>
  <si>
    <t xml:space="preserve">explore the borderland between wakefulness and sleep</t>
  </si>
  <si>
    <t xml:space="preserve">18-81.3 (mean 45.6)</t>
  </si>
  <si>
    <t xml:space="preserve">50/26</t>
  </si>
  <si>
    <t xml:space="preserve">excessive daytime sleepiness</t>
  </si>
  <si>
    <t xml:space="preserve">E1</t>
  </si>
  <si>
    <t xml:space="preserve">E2</t>
  </si>
  <si>
    <t xml:space="preserve">eeg_O1</t>
  </si>
  <si>
    <t xml:space="preserve">eeg_O2</t>
  </si>
  <si>
    <t xml:space="preserve">BERN Scoring (Micro-Sleep-Events)</t>
  </si>
  <si>
    <t xml:space="preserve">.mat</t>
  </si>
  <si>
    <t xml:space="preserve">https://doi.org/10.5281/zenodo.3251715 </t>
  </si>
  <si>
    <t xml:space="preserve">NCHSDB - NCH Sleep DataBank</t>
  </si>
  <si>
    <t xml:space="preserve">2017-2019</t>
  </si>
  <si>
    <t xml:space="preserve">https://sleepdata.org/datasets/nchsdb </t>
  </si>
  <si>
    <t xml:space="preserve">large sleep dataset with focus on pediatric patients</t>
  </si>
  <si>
    <t xml:space="preserve">0-58 (8.8+-5.9)</t>
  </si>
  <si>
    <t xml:space="preserve">see NCHSDB page</t>
  </si>
  <si>
    <t xml:space="preserve">https://doi.org/10.25822/jpdr-vz50</t>
  </si>
  <si>
    <t xml:space="preserve">https://doi.org/10.1038/s41597-022-01545-6 </t>
  </si>
  <si>
    <t xml:space="preserve">https://github.com/liboyue/sleep_study </t>
  </si>
  <si>
    <t xml:space="preserve">Physio2018 - PhysioNet Challenge 2018</t>
  </si>
  <si>
    <t xml:space="preserve">2018 paper)</t>
  </si>
  <si>
    <t xml:space="preserve">https://physionet.org/content/challenge-2018/1.0.0/ </t>
  </si>
  <si>
    <t xml:space="preserve">develop CAISR Complete AI Sleep Report), a collection of deep neural networks,  rule-based algorithms, and signal processing approaches designed to provide better-than-human detection of conventional PSG scoring metrics, including sleep stages, arousals, apnea and hypopnea events and their subtypes, and periodic limb movements</t>
  </si>
  <si>
    <t xml:space="preserve">unknown</t>
  </si>
  <si>
    <t xml:space="preserve">55 mean</t>
  </si>
  <si>
    <t xml:space="preserve">65% male</t>
  </si>
  <si>
    <t xml:space="preserve">1983 994 with scoring)</t>
  </si>
  <si>
    <t xml:space="preserve">ABD</t>
  </si>
  <si>
    <t xml:space="preserve">C3-M2</t>
  </si>
  <si>
    <t xml:space="preserve">C4-M1</t>
  </si>
  <si>
    <t xml:space="preserve">CHEST</t>
  </si>
  <si>
    <t xml:space="preserve">Chin1-Chin2</t>
  </si>
  <si>
    <t xml:space="preserve">F3-M2</t>
  </si>
  <si>
    <t xml:space="preserve">F4-M1</t>
  </si>
  <si>
    <t xml:space="preserve">O1-M2</t>
  </si>
  <si>
    <t xml:space="preserve">O2-M1</t>
  </si>
  <si>
    <t xml:space="preserve">.hea/.mat</t>
  </si>
  <si>
    <t xml:space="preserve">.arousal (txt)</t>
  </si>
  <si>
    <t xml:space="preserve">https://bdsp.io/content/hsp/2.0/ </t>
  </si>
  <si>
    <t xml:space="preserve">SHHS - Sleep Heart Health Study</t>
  </si>
  <si>
    <t xml:space="preserve">1995-1998, 2001-2003</t>
  </si>
  <si>
    <t xml:space="preserve">https://sleepdata.org/datasets/shhs </t>
  </si>
  <si>
    <t xml:space="preserve">It tests whether sleep-related breathing is associated with an increased risk of coronary heart disease, stroke, all cause mortality, and hypertension</t>
  </si>
  <si>
    <t xml:space="preserve">&gt;40</t>
  </si>
  <si>
    <t xml:space="preserve">5519/6067</t>
  </si>
  <si>
    <t xml:space="preserve">8444 5793 + 2651)</t>
  </si>
  <si>
    <t xml:space="preserve">1-2</t>
  </si>
  <si>
    <t xml:space="preserve"> ABDO RES</t>
  </si>
  <si>
    <t xml:space="preserve"> AIRFLOW</t>
  </si>
  <si>
    <t xml:space="preserve"> AUX</t>
  </si>
  <si>
    <t xml:space="preserve"> CPAP</t>
  </si>
  <si>
    <t xml:space="preserve"> ECG</t>
  </si>
  <si>
    <t xml:space="preserve"> EEG</t>
  </si>
  <si>
    <t xml:space="preserve"> EEG 2</t>
  </si>
  <si>
    <t xml:space="preserve"> EEG sec</t>
  </si>
  <si>
    <t xml:space="preserve"> EEG(SEC)</t>
  </si>
  <si>
    <t xml:space="preserve"> EEG(sec)</t>
  </si>
  <si>
    <t xml:space="preserve"> EOG(L)</t>
  </si>
  <si>
    <t xml:space="preserve"> EOG(R)</t>
  </si>
  <si>
    <t xml:space="preserve"> EPMS</t>
  </si>
  <si>
    <t xml:space="preserve"> epms</t>
  </si>
  <si>
    <t xml:space="preserve"> H.R.</t>
  </si>
  <si>
    <t xml:space="preserve"> LEG(L)</t>
  </si>
  <si>
    <t xml:space="preserve"> LEG(R)</t>
  </si>
  <si>
    <t xml:space="preserve"> LIGHT</t>
  </si>
  <si>
    <t xml:space="preserve"> New A/F</t>
  </si>
  <si>
    <t xml:space="preserve"> NEW AIR</t>
  </si>
  <si>
    <t xml:space="preserve"> New AIR</t>
  </si>
  <si>
    <t xml:space="preserve"> New Air</t>
  </si>
  <si>
    <t xml:space="preserve"> new air</t>
  </si>
  <si>
    <t xml:space="preserve"> NEWAIR</t>
  </si>
  <si>
    <t xml:space="preserve"> OX STAT</t>
  </si>
  <si>
    <t xml:space="preserve"> OX stat</t>
  </si>
  <si>
    <t xml:space="preserve"> POSITION</t>
  </si>
  <si>
    <t xml:space="preserve"> PR</t>
  </si>
  <si>
    <t xml:space="preserve"> SOUND</t>
  </si>
  <si>
    <t xml:space="preserve"> THOR RES</t>
  </si>
  <si>
    <t xml:space="preserve">8, 10</t>
  </si>
  <si>
    <t xml:space="preserve">1, 5, 10</t>
  </si>
  <si>
    <t xml:space="preserve">50, 125, 250</t>
  </si>
  <si>
    <t xml:space="preserve">125, 128, 256</t>
  </si>
  <si>
    <t xml:space="preserve">125, 128</t>
  </si>
  <si>
    <t xml:space="preserve">32, 50</t>
  </si>
  <si>
    <t xml:space="preserve">1, 25</t>
  </si>
  <si>
    <t xml:space="preserve">5, 50</t>
  </si>
  <si>
    <t xml:space="preserve">1, 5</t>
  </si>
  <si>
    <t xml:space="preserve">1, 8</t>
  </si>
  <si>
    <t xml:space="preserve">https://doi.org/10.25822/ghy8-ks59</t>
  </si>
  <si>
    <t xml:space="preserve">https://pubmed.ncbi.nlm.nih.gov/9493915/ </t>
  </si>
  <si>
    <t xml:space="preserve">Sleep-EDFX - Sleep-EDF Expanded</t>
  </si>
  <si>
    <t xml:space="preserve">2018 (Study from 1987-19991 and 1994)</t>
  </si>
  <si>
    <t xml:space="preserve">https://www.physionet.org/content/sleep-edfx/1.0.0/ </t>
  </si>
  <si>
    <t xml:space="preserve">Sleep Cassette</t>
  </si>
  <si>
    <t xml:space="preserve">Sleep Telemetry</t>
  </si>
  <si>
    <t xml:space="preserve">study age effects on sleep</t>
  </si>
  <si>
    <t xml:space="preserve">study effects of Temazepam</t>
  </si>
  <si>
    <t xml:space="preserve">Temazepam/Placebo</t>
  </si>
  <si>
    <t xml:space="preserve">25-101 (59 +- 22)</t>
  </si>
  <si>
    <t xml:space="preserve">37/41</t>
  </si>
  <si>
    <t xml:space="preserve">22/22</t>
  </si>
  <si>
    <t xml:space="preserve">mild difficulty falling asleep</t>
  </si>
  <si>
    <t xml:space="preserve">EEG Fpz-Cz</t>
  </si>
  <si>
    <t xml:space="preserve">EEG Pz-Oz</t>
  </si>
  <si>
    <t xml:space="preserve">EMG submental</t>
  </si>
  <si>
    <t xml:space="preserve">EOG horizontal</t>
  </si>
  <si>
    <t xml:space="preserve">Event marker</t>
  </si>
  <si>
    <t xml:space="preserve">Resp oro-nasal</t>
  </si>
  <si>
    <t xml:space="preserve">Temp rectal</t>
  </si>
  <si>
    <t xml:space="preserve">https://doi.org/10.13026/C2X676</t>
  </si>
  <si>
    <t xml:space="preserve">SLEEPBRL - Sleep Bioradiolocation Database</t>
  </si>
  <si>
    <t xml:space="preserve">https://physionet.org/content/sleepbrl/1.0.0/ </t>
  </si>
  <si>
    <t xml:space="preserve">classify sleep stage based on measurements of a bioradar</t>
  </si>
  <si>
    <t xml:space="preserve">22-67 (44.22+-15.44)</t>
  </si>
  <si>
    <t xml:space="preserve">12/20</t>
  </si>
  <si>
    <t xml:space="preserve">no sleep-disordered breathing or sleep related movement disorders (but 4 subjects with insomnia)</t>
  </si>
  <si>
    <t xml:space="preserve">S1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</si>
  <si>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</si>
  <si>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</si>
  <si>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</si>
  <si>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</si>
  <si>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</si>
  <si>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</si>
  <si>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</si>
  <si>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</si>
  <si>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</si>
  <si>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</si>
  <si>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</si>
  <si>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</si>
  <si>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</si>
  <si>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</si>
  <si>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</si>
  <si>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.atr (wfdb)</t>
  </si>
  <si>
    <t xml:space="preserve">https://doi.org/10.13026/C29H4K</t>
  </si>
  <si>
    <t xml:space="preserve">10.1109/EMBC.2016.7591321 </t>
  </si>
  <si>
    <t xml:space="preserve">SOF - Study of Osteoporotic Fractures</t>
  </si>
  <si>
    <t xml:space="preserve">2002-2003</t>
  </si>
  <si>
    <t xml:space="preserve">https://sleepdata.org/datasets/sof </t>
  </si>
  <si>
    <t xml:space="preserve">findings about osteoporosis and aging in woman age 65 or older</t>
  </si>
  <si>
    <t xml:space="preserve">65-90 older participants included in 90)</t>
  </si>
  <si>
    <t xml:space="preserve">mean 82.9</t>
  </si>
  <si>
    <t xml:space="preserve">0/453</t>
  </si>
  <si>
    <t xml:space="preserve">no information</t>
  </si>
  <si>
    <t xml:space="preserve">453 data loss of 8 subjects)</t>
  </si>
  <si>
    <t xml:space="preserve">A1</t>
  </si>
  <si>
    <t xml:space="preserve">A2</t>
  </si>
  <si>
    <t xml:space="preserve">Abdominal</t>
  </si>
  <si>
    <t xml:space="preserve">Cannula Flow</t>
  </si>
  <si>
    <t xml:space="preserve">CH30</t>
  </si>
  <si>
    <t xml:space="preserve">DHR</t>
  </si>
  <si>
    <t xml:space="preserve">EMG/L</t>
  </si>
  <si>
    <t xml:space="preserve">EMG/R</t>
  </si>
  <si>
    <t xml:space="preserve">L Chin</t>
  </si>
  <si>
    <t xml:space="preserve">Leg/L</t>
  </si>
  <si>
    <t xml:space="preserve">Leg/R</t>
  </si>
  <si>
    <t xml:space="preserve">NASAL PRESSURE</t>
  </si>
  <si>
    <t xml:space="preserve">O1</t>
  </si>
  <si>
    <t xml:space="preserve">R Chin</t>
  </si>
  <si>
    <t xml:space="preserve">SAO2</t>
  </si>
  <si>
    <t xml:space="preserve">STAT</t>
  </si>
  <si>
    <t xml:space="preserve">Thoracic</t>
  </si>
  <si>
    <t xml:space="preserve">16, 64</t>
  </si>
  <si>
    <t xml:space="preserve">4, 64</t>
  </si>
  <si>
    <t xml:space="preserve">10.1111/j.1532-5415.2007.01506.x </t>
  </si>
  <si>
    <t xml:space="preserve">https://doi.org/10.25822/e1cf-rx65</t>
  </si>
  <si>
    <t xml:space="preserve">STAGES - Stanford Technology Analytic and Genomics in Sleep</t>
  </si>
  <si>
    <t xml:space="preserve">https://sleepdata.org/datasets/stages </t>
  </si>
  <si>
    <t xml:space="preserve">aims to create a database containing sleep related data on 30,000 sleep clinic patients (age 13 and over) including genetic and phenotypic data to obtain a better understanding of the genetic architecture of sleep, and to improve detection, treatmentand prevention of sleep disorders</t>
  </si>
  <si>
    <t xml:space="preserve">13-84 (45.9+-15.2)</t>
  </si>
  <si>
    <t xml:space="preserve">868/991</t>
  </si>
  <si>
    <t xml:space="preserve">sleep disorder (apnea, restless leg syndrome, imnomnia etc.)</t>
  </si>
  <si>
    <t xml:space="preserve">see STAGES Page</t>
  </si>
  <si>
    <t xml:space="preserve">Arousal, Apnea, Snoring, Teeth gritting</t>
  </si>
  <si>
    <t xml:space="preserve">https://doi.org/10.25822/me0d-xs45</t>
  </si>
  <si>
    <t xml:space="preserve">UCDDB - St. Vincent's University Hospital, University College Dublin Sleep Apnea Database</t>
  </si>
  <si>
    <t xml:space="preserve">https://physionet.org/content/ucddb/1.0.0/ </t>
  </si>
  <si>
    <t xml:space="preserve">no specific purpose</t>
  </si>
  <si>
    <t xml:space="preserve">28-68 (50+-10)</t>
  </si>
  <si>
    <t xml:space="preserve">21/4</t>
  </si>
  <si>
    <t xml:space="preserve">possible diagnosis of obstructive apnea, autonomic dysfunction</t>
  </si>
  <si>
    <t xml:space="preserve">abdo</t>
  </si>
  <si>
    <t xml:space="preserve">BodyPos</t>
  </si>
  <si>
    <t xml:space="preserve">C3A2</t>
  </si>
  <si>
    <t xml:space="preserve">C4A1</t>
  </si>
  <si>
    <t xml:space="preserve">Flow</t>
  </si>
  <si>
    <t xml:space="preserve">Left leg</t>
  </si>
  <si>
    <t xml:space="preserve">Lefteye</t>
  </si>
  <si>
    <t xml:space="preserve">ribcage</t>
  </si>
  <si>
    <t xml:space="preserve">Right leg</t>
  </si>
  <si>
    <t xml:space="preserve">RightEye</t>
  </si>
  <si>
    <t xml:space="preserve">Soud</t>
  </si>
  <si>
    <t xml:space="preserve">Sound</t>
  </si>
  <si>
    <t xml:space="preserve">Hypopnea, Central/Obstructive/Mixed Apnea</t>
  </si>
  <si>
    <t xml:space="preserve">https://doi.org/10.13026/C26C7D</t>
  </si>
  <si>
    <t xml:space="preserve">WSC - Wisocnsin Sleep Cohort</t>
  </si>
  <si>
    <t xml:space="preserve">2000-2015</t>
  </si>
  <si>
    <t xml:space="preserve">https://www.sleepdata.org/datasets/wsc </t>
  </si>
  <si>
    <t xml:space="preserve">study of the causes, consequences, and natural history of sleep disorders, particularly sleep apnea</t>
  </si>
  <si>
    <t xml:space="preserve">37-82 mean 56,4) - first visit</t>
  </si>
  <si>
    <t xml:space="preserve">608/515</t>
  </si>
  <si>
    <t xml:space="preserve">high risk of sleep disorded breathing or other sleep disorders</t>
  </si>
  <si>
    <t xml:space="preserve">up to 5</t>
  </si>
  <si>
    <t xml:space="preserve">C3_AVG</t>
  </si>
  <si>
    <t xml:space="preserve">C3_M1</t>
  </si>
  <si>
    <t xml:space="preserve">C4_AVG</t>
  </si>
  <si>
    <t xml:space="preserve">C4_M2</t>
  </si>
  <si>
    <t xml:space="preserve">cchin_l</t>
  </si>
  <si>
    <t xml:space="preserve">cchin_r</t>
  </si>
  <si>
    <t xml:space="preserve">chin</t>
  </si>
  <si>
    <t xml:space="preserve">Cz_AVG</t>
  </si>
  <si>
    <t xml:space="preserve">Cz_M1</t>
  </si>
  <si>
    <t xml:space="preserve">Cz_M2</t>
  </si>
  <si>
    <t xml:space="preserve">F3_AVG</t>
  </si>
  <si>
    <t xml:space="preserve">F3_M1</t>
  </si>
  <si>
    <t xml:space="preserve">F4_AVG</t>
  </si>
  <si>
    <t xml:space="preserve">F4_M2</t>
  </si>
  <si>
    <t xml:space="preserve">flow</t>
  </si>
  <si>
    <t xml:space="preserve">Fz_AVG</t>
  </si>
  <si>
    <t xml:space="preserve">Fz_M1</t>
  </si>
  <si>
    <t xml:space="preserve">Fz_M2</t>
  </si>
  <si>
    <t xml:space="preserve">lleg_r</t>
  </si>
  <si>
    <t xml:space="preserve">lleg1_2</t>
  </si>
  <si>
    <t xml:space="preserve">nas_pres</t>
  </si>
  <si>
    <t xml:space="preserve">nasalflow</t>
  </si>
  <si>
    <t xml:space="preserve">O1_AVG</t>
  </si>
  <si>
    <t xml:space="preserve">O1_M1</t>
  </si>
  <si>
    <t xml:space="preserve">O2_M2</t>
  </si>
  <si>
    <t xml:space="preserve">oralflow</t>
  </si>
  <si>
    <t xml:space="preserve">pap_flow</t>
  </si>
  <si>
    <t xml:space="preserve">pap_pres</t>
  </si>
  <si>
    <t xml:space="preserve">position</t>
  </si>
  <si>
    <t xml:space="preserve">Pz_AVG</t>
  </si>
  <si>
    <t xml:space="preserve">Pz_Cz</t>
  </si>
  <si>
    <t xml:space="preserve">Pz_M2</t>
  </si>
  <si>
    <t xml:space="preserve">rchin_l</t>
  </si>
  <si>
    <t xml:space="preserve">rleg1_2</t>
  </si>
  <si>
    <t xml:space="preserve">spo2</t>
  </si>
  <si>
    <t xml:space="preserve">sum</t>
  </si>
  <si>
    <t xml:space="preserve">100, 128, 200</t>
  </si>
  <si>
    <t xml:space="preserve">100, 200</t>
  </si>
  <si>
    <t xml:space="preserve">100, 128</t>
  </si>
  <si>
    <t xml:space="preserve">https://doi.org/10.25822/js0k-yh52</t>
  </si>
  <si>
    <t xml:space="preserve">ANPHY channel</t>
  </si>
  <si>
    <t xml:space="preserve">Freq</t>
  </si>
  <si>
    <t xml:space="preserve">AF3</t>
  </si>
  <si>
    <t xml:space="preserve">AF3-Ref</t>
  </si>
  <si>
    <t xml:space="preserve">AF4</t>
  </si>
  <si>
    <t xml:space="preserve">AF4-Ref</t>
  </si>
  <si>
    <t xml:space="preserve">AF7</t>
  </si>
  <si>
    <t xml:space="preserve">AF7-Ref</t>
  </si>
  <si>
    <t xml:space="preserve">AF8</t>
  </si>
  <si>
    <t xml:space="preserve">AF8-Ref</t>
  </si>
  <si>
    <t xml:space="preserve">AFZ</t>
  </si>
  <si>
    <t xml:space="preserve">AFZ-Ref</t>
  </si>
  <si>
    <t xml:space="preserve">C1</t>
  </si>
  <si>
    <t xml:space="preserve">C1-</t>
  </si>
  <si>
    <t xml:space="preserve">C1-Ref</t>
  </si>
  <si>
    <t xml:space="preserve">C2</t>
  </si>
  <si>
    <t xml:space="preserve">C3-Ref</t>
  </si>
  <si>
    <t xml:space="preserve">C4-Ref</t>
  </si>
  <si>
    <t xml:space="preserve">C5</t>
  </si>
  <si>
    <t xml:space="preserve">C5-Ref</t>
  </si>
  <si>
    <t xml:space="preserve">C6</t>
  </si>
  <si>
    <t xml:space="preserve">C6-Ref</t>
  </si>
  <si>
    <t xml:space="preserve">ChEMG1</t>
  </si>
  <si>
    <t xml:space="preserve">ChEMG2</t>
  </si>
  <si>
    <t xml:space="preserve">CP1</t>
  </si>
  <si>
    <t xml:space="preserve">CP1-Ref</t>
  </si>
  <si>
    <t xml:space="preserve">CP2</t>
  </si>
  <si>
    <t xml:space="preserve">CP2-Ref</t>
  </si>
  <si>
    <t xml:space="preserve">CP3</t>
  </si>
  <si>
    <t xml:space="preserve">CP4</t>
  </si>
  <si>
    <t xml:space="preserve">CP4-Ref</t>
  </si>
  <si>
    <t xml:space="preserve">CP5</t>
  </si>
  <si>
    <t xml:space="preserve">CP6</t>
  </si>
  <si>
    <t xml:space="preserve">CP6-Ref</t>
  </si>
  <si>
    <t xml:space="preserve">CPZ</t>
  </si>
  <si>
    <t xml:space="preserve">CPZ-Ref</t>
  </si>
  <si>
    <t xml:space="preserve">CZ</t>
  </si>
  <si>
    <t xml:space="preserve">CZ-Ref</t>
  </si>
  <si>
    <t xml:space="preserve">EOG1</t>
  </si>
  <si>
    <t xml:space="preserve">EOG2</t>
  </si>
  <si>
    <t xml:space="preserve">F1</t>
  </si>
  <si>
    <t xml:space="preserve">F10</t>
  </si>
  <si>
    <t xml:space="preserve">F10-Ref</t>
  </si>
  <si>
    <t xml:space="preserve">F11</t>
  </si>
  <si>
    <t xml:space="preserve">F12</t>
  </si>
  <si>
    <t xml:space="preserve">F1-Ref</t>
  </si>
  <si>
    <t xml:space="preserve">F2</t>
  </si>
  <si>
    <t xml:space="preserve">F2-Ref</t>
  </si>
  <si>
    <t xml:space="preserve">F3</t>
  </si>
  <si>
    <t xml:space="preserve">F3-Ref</t>
  </si>
  <si>
    <t xml:space="preserve">F4-</t>
  </si>
  <si>
    <t xml:space="preserve">F5</t>
  </si>
  <si>
    <t xml:space="preserve">F5-Ref</t>
  </si>
  <si>
    <t xml:space="preserve">F6</t>
  </si>
  <si>
    <t xml:space="preserve">F6-Ref</t>
  </si>
  <si>
    <t xml:space="preserve">F7</t>
  </si>
  <si>
    <t xml:space="preserve">F7-Ref</t>
  </si>
  <si>
    <t xml:space="preserve">F8</t>
  </si>
  <si>
    <t xml:space="preserve">F8-Ref</t>
  </si>
  <si>
    <t xml:space="preserve">F9</t>
  </si>
  <si>
    <t xml:space="preserve">F9-Ref</t>
  </si>
  <si>
    <t xml:space="preserve">FC1</t>
  </si>
  <si>
    <t xml:space="preserve">FC1-Ref</t>
  </si>
  <si>
    <t xml:space="preserve">FC2</t>
  </si>
  <si>
    <t xml:space="preserve">FC3</t>
  </si>
  <si>
    <t xml:space="preserve">FC3-Ref</t>
  </si>
  <si>
    <t xml:space="preserve">FC4</t>
  </si>
  <si>
    <t xml:space="preserve">FC4-Ref</t>
  </si>
  <si>
    <t xml:space="preserve">FC5</t>
  </si>
  <si>
    <t xml:space="preserve">FC5-Ref</t>
  </si>
  <si>
    <t xml:space="preserve">FC6</t>
  </si>
  <si>
    <t xml:space="preserve">FC6-Ref</t>
  </si>
  <si>
    <t xml:space="preserve">FCZ</t>
  </si>
  <si>
    <t xml:space="preserve">FCZ-Ref</t>
  </si>
  <si>
    <t xml:space="preserve">Fp1</t>
  </si>
  <si>
    <t xml:space="preserve">Fp2</t>
  </si>
  <si>
    <t xml:space="preserve">Fp2-Ref</t>
  </si>
  <si>
    <t xml:space="preserve">FPZ</t>
  </si>
  <si>
    <t xml:space="preserve">FPZ-Ref</t>
  </si>
  <si>
    <t xml:space="preserve">FT10-Ref</t>
  </si>
  <si>
    <t xml:space="preserve">FT11</t>
  </si>
  <si>
    <t xml:space="preserve">FT12</t>
  </si>
  <si>
    <t xml:space="preserve">FT7</t>
  </si>
  <si>
    <t xml:space="preserve">FT7-Ref</t>
  </si>
  <si>
    <t xml:space="preserve">FT8</t>
  </si>
  <si>
    <t xml:space="preserve">FT8-Ref</t>
  </si>
  <si>
    <t xml:space="preserve">FT9</t>
  </si>
  <si>
    <t xml:space="preserve">FT9-Ref</t>
  </si>
  <si>
    <t xml:space="preserve">FZ</t>
  </si>
  <si>
    <t xml:space="preserve">FZ-Ref</t>
  </si>
  <si>
    <t xml:space="preserve">LLEG-</t>
  </si>
  <si>
    <t xml:space="preserve">LLEG+</t>
  </si>
  <si>
    <t xml:space="preserve">O1-Ref</t>
  </si>
  <si>
    <t xml:space="preserve">O2-Ref</t>
  </si>
  <si>
    <t xml:space="preserve">OZ</t>
  </si>
  <si>
    <t xml:space="preserve">OZ-Ref</t>
  </si>
  <si>
    <t xml:space="preserve">P1</t>
  </si>
  <si>
    <t xml:space="preserve">P10</t>
  </si>
  <si>
    <t xml:space="preserve">P11</t>
  </si>
  <si>
    <t xml:space="preserve">P12</t>
  </si>
  <si>
    <t xml:space="preserve">P1-Ref</t>
  </si>
  <si>
    <t xml:space="preserve">P2</t>
  </si>
  <si>
    <t xml:space="preserve">P2-Ref</t>
  </si>
  <si>
    <t xml:space="preserve">P3</t>
  </si>
  <si>
    <t xml:space="preserve">P3-Ref</t>
  </si>
  <si>
    <t xml:space="preserve">P4</t>
  </si>
  <si>
    <t xml:space="preserve">P4-Ref</t>
  </si>
  <si>
    <t xml:space="preserve">P5</t>
  </si>
  <si>
    <t xml:space="preserve">P5-Ref</t>
  </si>
  <si>
    <t xml:space="preserve">P6</t>
  </si>
  <si>
    <t xml:space="preserve">P6-Ref</t>
  </si>
  <si>
    <t xml:space="preserve">P9</t>
  </si>
  <si>
    <t xml:space="preserve">P9-Ref</t>
  </si>
  <si>
    <t xml:space="preserve">PO3-Ref</t>
  </si>
  <si>
    <t xml:space="preserve">PO4</t>
  </si>
  <si>
    <t xml:space="preserve">PO4-Ref</t>
  </si>
  <si>
    <t xml:space="preserve">PO7</t>
  </si>
  <si>
    <t xml:space="preserve">PO7-Ref</t>
  </si>
  <si>
    <t xml:space="preserve">PO8</t>
  </si>
  <si>
    <t xml:space="preserve">PO8-Ref</t>
  </si>
  <si>
    <t xml:space="preserve">POZ</t>
  </si>
  <si>
    <t xml:space="preserve">POZ-Ref</t>
  </si>
  <si>
    <t xml:space="preserve">PZ</t>
  </si>
  <si>
    <t xml:space="preserve">PZ-Ref</t>
  </si>
  <si>
    <t xml:space="preserve">RLEG+</t>
  </si>
  <si>
    <t xml:space="preserve">SO1</t>
  </si>
  <si>
    <t xml:space="preserve">SO1-Ref</t>
  </si>
  <si>
    <t xml:space="preserve">SO2-Ref</t>
  </si>
  <si>
    <t xml:space="preserve">T10</t>
  </si>
  <si>
    <t xml:space="preserve">T10-Ref</t>
  </si>
  <si>
    <t xml:space="preserve">T3</t>
  </si>
  <si>
    <t xml:space="preserve">T3-Ref</t>
  </si>
  <si>
    <t xml:space="preserve">T4</t>
  </si>
  <si>
    <t xml:space="preserve">T4-Ref</t>
  </si>
  <si>
    <t xml:space="preserve">T5</t>
  </si>
  <si>
    <t xml:space="preserve">T5-Ref</t>
  </si>
  <si>
    <t xml:space="preserve">T6</t>
  </si>
  <si>
    <t xml:space="preserve">T9</t>
  </si>
  <si>
    <t xml:space="preserve">T9-Ref</t>
  </si>
  <si>
    <t xml:space="preserve">TP10</t>
  </si>
  <si>
    <t xml:space="preserve">TP10-Ref</t>
  </si>
  <si>
    <t xml:space="preserve">TP11</t>
  </si>
  <si>
    <t xml:space="preserve">TP12</t>
  </si>
  <si>
    <t xml:space="preserve">TP7</t>
  </si>
  <si>
    <t xml:space="preserve">TP7-Ref</t>
  </si>
  <si>
    <t xml:space="preserve">TP8</t>
  </si>
  <si>
    <t xml:space="preserve">TP8-Ref</t>
  </si>
  <si>
    <t xml:space="preserve">TP9</t>
  </si>
  <si>
    <t xml:space="preserve">TP9-Ref</t>
  </si>
  <si>
    <t xml:space="preserve">ZY2</t>
  </si>
  <si>
    <t xml:space="preserve">APOE channels</t>
  </si>
  <si>
    <t xml:space="preserve">01-A2</t>
  </si>
  <si>
    <t xml:space="preserve">Abdmn</t>
  </si>
  <si>
    <t xml:space="preserve">64,16</t>
  </si>
  <si>
    <t xml:space="preserve">ABDOM</t>
  </si>
  <si>
    <t xml:space="preserve">16,64</t>
  </si>
  <si>
    <t xml:space="preserve">Arm</t>
  </si>
  <si>
    <t xml:space="preserve">ARM</t>
  </si>
  <si>
    <t xml:space="preserve">Arms</t>
  </si>
  <si>
    <t xml:space="preserve">Bar</t>
  </si>
  <si>
    <t xml:space="preserve">blood pressure</t>
  </si>
  <si>
    <t xml:space="preserve">C3/A2</t>
  </si>
  <si>
    <t xml:space="preserve">C3-A1</t>
  </si>
  <si>
    <t xml:space="preserve">128,64</t>
  </si>
  <si>
    <t xml:space="preserve">C3-O1</t>
  </si>
  <si>
    <t xml:space="preserve">C4/A1</t>
  </si>
  <si>
    <t xml:space="preserve">C4-A2</t>
  </si>
  <si>
    <t xml:space="preserve">128,256,64</t>
  </si>
  <si>
    <t xml:space="preserve">Cannula</t>
  </si>
  <si>
    <t xml:space="preserve">32,16,64,256</t>
  </si>
  <si>
    <t xml:space="preserve">CANNULA</t>
  </si>
  <si>
    <t xml:space="preserve">Chest</t>
  </si>
  <si>
    <t xml:space="preserve">16,256,64</t>
  </si>
  <si>
    <t xml:space="preserve">CHEST #1</t>
  </si>
  <si>
    <t xml:space="preserve">Chin EMG</t>
  </si>
  <si>
    <t xml:space="preserve">Chin2 EMG</t>
  </si>
  <si>
    <t xml:space="preserve">Chin-Ctr</t>
  </si>
  <si>
    <t xml:space="preserve">Chin-L</t>
  </si>
  <si>
    <t xml:space="preserve">Chin-R</t>
  </si>
  <si>
    <t xml:space="preserve">EKG</t>
  </si>
  <si>
    <t xml:space="preserve">256,512,</t>
  </si>
  <si>
    <t xml:space="preserve">Esophageal Press</t>
  </si>
  <si>
    <t xml:space="preserve">16,32,64</t>
  </si>
  <si>
    <t xml:space="preserve">EtCO2</t>
  </si>
  <si>
    <t xml:space="preserve">32,16,64,4</t>
  </si>
  <si>
    <t xml:space="preserve">F1-A2</t>
  </si>
  <si>
    <t xml:space="preserve">F2-C4</t>
  </si>
  <si>
    <t xml:space="preserve">F2-T4</t>
  </si>
  <si>
    <t xml:space="preserve">F3/A2</t>
  </si>
  <si>
    <t xml:space="preserve">F4/A1</t>
  </si>
  <si>
    <t xml:space="preserve">FLOW</t>
  </si>
  <si>
    <t xml:space="preserve">Flow II</t>
  </si>
  <si>
    <t xml:space="preserve">FP-?</t>
  </si>
  <si>
    <t xml:space="preserve">Fp1-C3</t>
  </si>
  <si>
    <t xml:space="preserve">FP1-C3</t>
  </si>
  <si>
    <t xml:space="preserve">FP1-T3</t>
  </si>
  <si>
    <t xml:space="preserve">FP2-C4</t>
  </si>
  <si>
    <t xml:space="preserve">Fp2-C4</t>
  </si>
  <si>
    <t xml:space="preserve">Fz-A1</t>
  </si>
  <si>
    <t xml:space="preserve">128,64,</t>
  </si>
  <si>
    <t xml:space="preserve">Fz-A2</t>
  </si>
  <si>
    <t xml:space="preserve">JAWAC Sensor</t>
  </si>
  <si>
    <t xml:space="preserve">L/RAT</t>
  </si>
  <si>
    <t xml:space="preserve">LAT-L</t>
  </si>
  <si>
    <t xml:space="preserve">LAT-U</t>
  </si>
  <si>
    <t xml:space="preserve">L-EOG</t>
  </si>
  <si>
    <t xml:space="preserve">Line</t>
  </si>
  <si>
    <t xml:space="preserve">LOC/A2</t>
  </si>
  <si>
    <t xml:space="preserve">Mic</t>
  </si>
  <si>
    <t xml:space="preserve">MIC1</t>
  </si>
  <si>
    <t xml:space="preserve">MIC2</t>
  </si>
  <si>
    <t xml:space="preserve">64,16,256</t>
  </si>
  <si>
    <t xml:space="preserve">Nasal-Left</t>
  </si>
  <si>
    <t xml:space="preserve">Nasal-Right</t>
  </si>
  <si>
    <t xml:space="preserve">Nasal-Sum</t>
  </si>
  <si>
    <t xml:space="preserve">O1/A2</t>
  </si>
  <si>
    <t xml:space="preserve">O1-x</t>
  </si>
  <si>
    <t xml:space="preserve">O2/A1</t>
  </si>
  <si>
    <t xml:space="preserve">O2-x</t>
  </si>
  <si>
    <t xml:space="preserve">Oral Thermistor</t>
  </si>
  <si>
    <t xml:space="preserve">Oral2</t>
  </si>
  <si>
    <t xml:space="preserve">PAP Flow</t>
  </si>
  <si>
    <t xml:space="preserve">PAP Leak</t>
  </si>
  <si>
    <t xml:space="preserve">64,1,4</t>
  </si>
  <si>
    <t xml:space="preserve">PAP Patient Flow</t>
  </si>
  <si>
    <t xml:space="preserve">PAP Pressure</t>
  </si>
  <si>
    <t xml:space="preserve">64,4</t>
  </si>
  <si>
    <t xml:space="preserve">PAP Tidal Volume</t>
  </si>
  <si>
    <t xml:space="preserve">PES</t>
  </si>
  <si>
    <t xml:space="preserve">Pressure</t>
  </si>
  <si>
    <t xml:space="preserve">Pulse Rate</t>
  </si>
  <si>
    <t xml:space="preserve">Pulse Transit Ti</t>
  </si>
  <si>
    <t xml:space="preserve">RAT-L</t>
  </si>
  <si>
    <t xml:space="preserve">RAT-U</t>
  </si>
  <si>
    <t xml:space="preserve">R-EOG</t>
  </si>
  <si>
    <t xml:space="preserve">RIC</t>
  </si>
  <si>
    <t xml:space="preserve">RIC-L</t>
  </si>
  <si>
    <t xml:space="preserve">RIC-U</t>
  </si>
  <si>
    <t xml:space="preserve">ROC/A1</t>
  </si>
  <si>
    <t xml:space="preserve">Snore2</t>
  </si>
  <si>
    <t xml:space="preserve">T3-O1</t>
  </si>
  <si>
    <t xml:space="preserve">T4-O2</t>
  </si>
  <si>
    <t xml:space="preserve">TcCO2</t>
  </si>
  <si>
    <t xml:space="preserve">TcpCO2</t>
  </si>
  <si>
    <t xml:space="preserve">THOR</t>
  </si>
  <si>
    <t xml:space="preserve">VPW</t>
  </si>
  <si>
    <t xml:space="preserve">BESTAIR Channels</t>
  </si>
  <si>
    <t xml:space="preserve">ABDOMEN</t>
  </si>
  <si>
    <t xml:space="preserve">Activity</t>
  </si>
  <si>
    <t xml:space="preserve">Battery</t>
  </si>
  <si>
    <t xml:space="preserve">Body</t>
  </si>
  <si>
    <t xml:space="preserve">BODY</t>
  </si>
  <si>
    <t xml:space="preserve">CFLOW</t>
  </si>
  <si>
    <t xml:space="preserve">CFlow</t>
  </si>
  <si>
    <t xml:space="preserve">CHIN</t>
  </si>
  <si>
    <t xml:space="preserve">Chin</t>
  </si>
  <si>
    <t xml:space="preserve">CHIN 2</t>
  </si>
  <si>
    <t xml:space="preserve">CHIN2</t>
  </si>
  <si>
    <t xml:space="preserve">DC01</t>
  </si>
  <si>
    <t xml:space="preserve">DC02</t>
  </si>
  <si>
    <t xml:space="preserve">DC03</t>
  </si>
  <si>
    <t xml:space="preserve">DC04</t>
  </si>
  <si>
    <t xml:space="preserve">DC05</t>
  </si>
  <si>
    <t xml:space="preserve">DC07</t>
  </si>
  <si>
    <t xml:space="preserve">200, 25</t>
  </si>
  <si>
    <t xml:space="preserve">Differential Pre</t>
  </si>
  <si>
    <t xml:space="preserve">1, 3</t>
  </si>
  <si>
    <t xml:space="preserve">EEG C3-M2</t>
  </si>
  <si>
    <t xml:space="preserve">EEG C4-M1</t>
  </si>
  <si>
    <t xml:space="preserve">EEG F3-M2</t>
  </si>
  <si>
    <t xml:space="preserve">EEG F4-M1</t>
  </si>
  <si>
    <t xml:space="preserve">EEG M1-M2</t>
  </si>
  <si>
    <t xml:space="preserve">EEG O1-M2</t>
  </si>
  <si>
    <t xml:space="preserve">EEG O2-M1</t>
  </si>
  <si>
    <t xml:space="preserve">Effort Abd</t>
  </si>
  <si>
    <t xml:space="preserve">Effort Tho</t>
  </si>
  <si>
    <t xml:space="preserve">Elevation</t>
  </si>
  <si>
    <t xml:space="preserve">EMG Chin 1</t>
  </si>
  <si>
    <t xml:space="preserve">EMG Chin 2</t>
  </si>
  <si>
    <t xml:space="preserve">Flow Patient 1</t>
  </si>
  <si>
    <t xml:space="preserve">Flow Patient 2</t>
  </si>
  <si>
    <t xml:space="preserve">Flow Patient 3</t>
  </si>
  <si>
    <t xml:space="preserve">25, 200</t>
  </si>
  <si>
    <t xml:space="preserve">Gravity X</t>
  </si>
  <si>
    <t xml:space="preserve">Gravity Y</t>
  </si>
  <si>
    <t xml:space="preserve">Leak</t>
  </si>
  <si>
    <t xml:space="preserve">Leg L-LEG</t>
  </si>
  <si>
    <t xml:space="preserve">L-LEG</t>
  </si>
  <si>
    <t xml:space="preserve">L-Leg</t>
  </si>
  <si>
    <t xml:space="preserve">M1-C4</t>
  </si>
  <si>
    <t xml:space="preserve">M1-F4</t>
  </si>
  <si>
    <t xml:space="preserve">M1-O2</t>
  </si>
  <si>
    <t xml:space="preserve">M1-PG2</t>
  </si>
  <si>
    <t xml:space="preserve">M1-X1</t>
  </si>
  <si>
    <t xml:space="preserve">M1-X4</t>
  </si>
  <si>
    <t xml:space="preserve">M2-C3</t>
  </si>
  <si>
    <t xml:space="preserve">M2-F3</t>
  </si>
  <si>
    <t xml:space="preserve">M2-O1</t>
  </si>
  <si>
    <t xml:space="preserve">M2-PG1</t>
  </si>
  <si>
    <t xml:space="preserve">M2-X2</t>
  </si>
  <si>
    <t xml:space="preserve">M2-X3</t>
  </si>
  <si>
    <t xml:space="preserve">NAF</t>
  </si>
  <si>
    <t xml:space="preserve">200, 50</t>
  </si>
  <si>
    <t xml:space="preserve">Nasal</t>
  </si>
  <si>
    <t xml:space="preserve">Phase</t>
  </si>
  <si>
    <t xml:space="preserve">RD-Pleth</t>
  </si>
  <si>
    <t xml:space="preserve">RD-Quality</t>
  </si>
  <si>
    <t xml:space="preserve">R-LEG</t>
  </si>
  <si>
    <t xml:space="preserve">R-Leg</t>
  </si>
  <si>
    <t xml:space="preserve">RMI</t>
  </si>
  <si>
    <t xml:space="preserve">RR</t>
  </si>
  <si>
    <t xml:space="preserve">R-R</t>
  </si>
  <si>
    <t xml:space="preserve">SAO2W</t>
  </si>
  <si>
    <t xml:space="preserve">SpO2-BB</t>
  </si>
  <si>
    <t xml:space="preserve">SpO2-Quality</t>
  </si>
  <si>
    <t xml:space="preserve">T2-T1</t>
  </si>
  <si>
    <t xml:space="preserve">Thermistor</t>
  </si>
  <si>
    <t xml:space="preserve">THO</t>
  </si>
  <si>
    <t xml:space="preserve">THORAX</t>
  </si>
  <si>
    <t xml:space="preserve">X1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</si>
  <si>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</si>
  <si>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</si>
  <si>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</si>
  <si>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</si>
  <si>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</si>
  <si>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</t>
  </si>
  <si>
    <t xml:space="preserve">X20</t>
  </si>
  <si>
    <t xml:space="preserve">X21</t>
  </si>
  <si>
    <t xml:space="preserve">X3</t>
  </si>
  <si>
    <t xml:space="preserve">X4</t>
  </si>
  <si>
    <t xml:space="preserve">X5</t>
  </si>
  <si>
    <t xml:space="preserve">X6</t>
  </si>
  <si>
    <t xml:space="preserve">X6-X5</t>
  </si>
  <si>
    <t xml:space="preserve">200, 10, 100</t>
  </si>
  <si>
    <t xml:space="preserve">X7</t>
  </si>
  <si>
    <t xml:space="preserve">X7-X6</t>
  </si>
  <si>
    <t xml:space="preserve">XFlow</t>
  </si>
  <si>
    <t xml:space="preserve">xPAP EPAP</t>
  </si>
  <si>
    <t xml:space="preserve">xPAP IPAP</t>
  </si>
  <si>
    <t xml:space="preserve">Xsum</t>
  </si>
  <si>
    <t xml:space="preserve">CAP channels</t>
  </si>
  <si>
    <t xml:space="preserve">128, 512</t>
  </si>
  <si>
    <t xml:space="preserve">Abdo</t>
  </si>
  <si>
    <t xml:space="preserve">ADDDOME</t>
  </si>
  <si>
    <t xml:space="preserve">ADDOME</t>
  </si>
  <si>
    <t xml:space="preserve">C3-P3</t>
  </si>
  <si>
    <t xml:space="preserve">100, 128, 256, 512</t>
  </si>
  <si>
    <t xml:space="preserve">C4-P4</t>
  </si>
  <si>
    <t xml:space="preserve">cannula</t>
  </si>
  <si>
    <t xml:space="preserve">Canula</t>
  </si>
  <si>
    <t xml:space="preserve">CHIN1</t>
  </si>
  <si>
    <t xml:space="preserve">deltoide</t>
  </si>
  <si>
    <t xml:space="preserve">DX1</t>
  </si>
  <si>
    <t xml:space="preserve">DX1-DX2</t>
  </si>
  <si>
    <t xml:space="preserve">Dx1-DX2</t>
  </si>
  <si>
    <t xml:space="preserve">DX2</t>
  </si>
  <si>
    <t xml:space="preserve">ECG1-ECG2</t>
  </si>
  <si>
    <t xml:space="preserve">ekg</t>
  </si>
  <si>
    <t xml:space="preserve">EMG-EMG</t>
  </si>
  <si>
    <t xml:space="preserve">EMG1-EMG2</t>
  </si>
  <si>
    <t xml:space="preserve">EOG dx</t>
  </si>
  <si>
    <t xml:space="preserve">EOG sin</t>
  </si>
  <si>
    <t xml:space="preserve">EOG-R</t>
  </si>
  <si>
    <t xml:space="preserve">F1-F3</t>
  </si>
  <si>
    <t xml:space="preserve">F2-F4</t>
  </si>
  <si>
    <t xml:space="preserve">F3-C3</t>
  </si>
  <si>
    <t xml:space="preserve">F3A2</t>
  </si>
  <si>
    <t xml:space="preserve">F4-C4</t>
  </si>
  <si>
    <t xml:space="preserve">F4A1</t>
  </si>
  <si>
    <t xml:space="preserve">F7-T3</t>
  </si>
  <si>
    <t xml:space="preserve">F8-T4</t>
  </si>
  <si>
    <t xml:space="preserve">Flattening</t>
  </si>
  <si>
    <t xml:space="preserve">Flusso</t>
  </si>
  <si>
    <t xml:space="preserve">FP1</t>
  </si>
  <si>
    <t xml:space="preserve">FP1-F3</t>
  </si>
  <si>
    <t xml:space="preserve">Fp2-F4</t>
  </si>
  <si>
    <t xml:space="preserve">100, 256, 512</t>
  </si>
  <si>
    <t xml:space="preserve">FP2-F4</t>
  </si>
  <si>
    <t xml:space="preserve">Heart Rate Varia</t>
  </si>
  <si>
    <t xml:space="preserve">LOC-A1</t>
  </si>
  <si>
    <t xml:space="preserve">LOC-ROC</t>
  </si>
  <si>
    <t xml:space="preserve">MIC</t>
  </si>
  <si>
    <t xml:space="preserve">milo</t>
  </si>
  <si>
    <t xml:space="preserve">O1A2</t>
  </si>
  <si>
    <t xml:space="preserve">O2A1</t>
  </si>
  <si>
    <t xml:space="preserve">P3-O1</t>
  </si>
  <si>
    <t xml:space="preserve">P4-O2</t>
  </si>
  <si>
    <t xml:space="preserve">PLETH</t>
  </si>
  <si>
    <t xml:space="preserve">Pleth</t>
  </si>
  <si>
    <t xml:space="preserve">Posizione</t>
  </si>
  <si>
    <t xml:space="preserve">ROC-A2</t>
  </si>
  <si>
    <t xml:space="preserve">ROC-LOC</t>
  </si>
  <si>
    <t xml:space="preserve">SX1</t>
  </si>
  <si>
    <t xml:space="preserve">SX1-SX2</t>
  </si>
  <si>
    <t xml:space="preserve">SX2</t>
  </si>
  <si>
    <t xml:space="preserve">T3-T5</t>
  </si>
  <si>
    <t xml:space="preserve">T4-T6</t>
  </si>
  <si>
    <t xml:space="preserve">TAG</t>
  </si>
  <si>
    <t xml:space="preserve">TERMISTORE</t>
  </si>
  <si>
    <t xml:space="preserve">THE</t>
  </si>
  <si>
    <t xml:space="preserve">tib dx</t>
  </si>
  <si>
    <t xml:space="preserve">Tib dx</t>
  </si>
  <si>
    <t xml:space="preserve">TIB Dx</t>
  </si>
  <si>
    <t xml:space="preserve">tib sin</t>
  </si>
  <si>
    <t xml:space="preserve">TIB Sx</t>
  </si>
  <si>
    <t xml:space="preserve">Tib sx</t>
  </si>
  <si>
    <t xml:space="preserve">TORACE</t>
  </si>
  <si>
    <t xml:space="preserve">Torace</t>
  </si>
  <si>
    <t xml:space="preserve">toracico</t>
  </si>
  <si>
    <t xml:space="preserve">HOMEPAP channel</t>
  </si>
  <si>
    <t xml:space="preserve">32, 50, 64, 100, 200, 256</t>
  </si>
  <si>
    <t xml:space="preserve">Abd</t>
  </si>
  <si>
    <t xml:space="preserve">10, 50</t>
  </si>
  <si>
    <t xml:space="preserve">Abd2</t>
  </si>
  <si>
    <t xml:space="preserve">AirFlow</t>
  </si>
  <si>
    <t xml:space="preserve">10, 32, 64, 100, 200, 256</t>
  </si>
  <si>
    <t xml:space="preserve">AIR-flow</t>
  </si>
  <si>
    <t xml:space="preserve">Body Position</t>
  </si>
  <si>
    <t xml:space="preserve">BodyPosition</t>
  </si>
  <si>
    <t xml:space="preserve">C</t>
  </si>
  <si>
    <t xml:space="preserve">C.</t>
  </si>
  <si>
    <t xml:space="preserve">128, 200, 256</t>
  </si>
  <si>
    <t xml:space="preserve">200, 256</t>
  </si>
  <si>
    <t xml:space="preserve">CannlulaFlow</t>
  </si>
  <si>
    <t xml:space="preserve">CannualFlow</t>
  </si>
  <si>
    <t xml:space="preserve">25, 128, 200, 256</t>
  </si>
  <si>
    <t xml:space="preserve">25, 32, 64, 128, 256</t>
  </si>
  <si>
    <t xml:space="preserve">Cannula Snore</t>
  </si>
  <si>
    <t xml:space="preserve">CannulaFLow</t>
  </si>
  <si>
    <t xml:space="preserve">CannulaFlow</t>
  </si>
  <si>
    <t xml:space="preserve">25, 32, 64, 100, 128, 200, 256</t>
  </si>
  <si>
    <t xml:space="preserve">Cannulaflow</t>
  </si>
  <si>
    <t xml:space="preserve">CannulaNasal</t>
  </si>
  <si>
    <t xml:space="preserve">CannulaSnore</t>
  </si>
  <si>
    <t xml:space="preserve">CCHIN</t>
  </si>
  <si>
    <t xml:space="preserve">CChin</t>
  </si>
  <si>
    <t xml:space="preserve">Cchin</t>
  </si>
  <si>
    <t xml:space="preserve">32, 200</t>
  </si>
  <si>
    <t xml:space="preserve">10, 32, 50, 64, 100, 200, 256</t>
  </si>
  <si>
    <t xml:space="preserve">Chest1</t>
  </si>
  <si>
    <t xml:space="preserve">Chin1</t>
  </si>
  <si>
    <t xml:space="preserve">Chin2</t>
  </si>
  <si>
    <t xml:space="preserve">Chin2-Chin3</t>
  </si>
  <si>
    <t xml:space="preserve">Chin3</t>
  </si>
  <si>
    <t xml:space="preserve">CPAPFLOW</t>
  </si>
  <si>
    <t xml:space="preserve">CPAPMask</t>
  </si>
  <si>
    <t xml:space="preserve">CPAPPressure</t>
  </si>
  <si>
    <t xml:space="preserve">DC09</t>
  </si>
  <si>
    <t xml:space="preserve">E-1</t>
  </si>
  <si>
    <t xml:space="preserve">E1-E2</t>
  </si>
  <si>
    <t xml:space="preserve">E-2</t>
  </si>
  <si>
    <t xml:space="preserve">E2-M1</t>
  </si>
  <si>
    <t xml:space="preserve">ECG I</t>
  </si>
  <si>
    <t xml:space="preserve">ECG II</t>
  </si>
  <si>
    <t xml:space="preserve">ECG1-ecg3</t>
  </si>
  <si>
    <t xml:space="preserve">ECG3</t>
  </si>
  <si>
    <t xml:space="preserve">ecg3</t>
  </si>
  <si>
    <t xml:space="preserve">ECG3-ECG1</t>
  </si>
  <si>
    <t xml:space="preserve">ecg3-ECG2</t>
  </si>
  <si>
    <t xml:space="preserve">EKG1</t>
  </si>
  <si>
    <t xml:space="preserve">EKG2</t>
  </si>
  <si>
    <t xml:space="preserve">EKG3</t>
  </si>
  <si>
    <t xml:space="preserve">25, 100, 200</t>
  </si>
  <si>
    <t xml:space="preserve">EtCO2 #</t>
  </si>
  <si>
    <t xml:space="preserve">EtCO2 Wave</t>
  </si>
  <si>
    <t xml:space="preserve">ETCO2#</t>
  </si>
  <si>
    <t xml:space="preserve">ETCO2Wave</t>
  </si>
  <si>
    <t xml:space="preserve">F2-M2</t>
  </si>
  <si>
    <t xml:space="preserve">FLOW2</t>
  </si>
  <si>
    <t xml:space="preserve">FLOW5</t>
  </si>
  <si>
    <t xml:space="preserve">20, 100</t>
  </si>
  <si>
    <t xml:space="preserve">FPz</t>
  </si>
  <si>
    <t xml:space="preserve">Gravity</t>
  </si>
  <si>
    <t xml:space="preserve">Heart</t>
  </si>
  <si>
    <t xml:space="preserve">HeartRate</t>
  </si>
  <si>
    <t xml:space="preserve">16, 200</t>
  </si>
  <si>
    <t xml:space="preserve">Imp</t>
  </si>
  <si>
    <t xml:space="preserve">L</t>
  </si>
  <si>
    <t xml:space="preserve">L.</t>
  </si>
  <si>
    <t xml:space="preserve">LARM6</t>
  </si>
  <si>
    <t xml:space="preserve">LCHIN</t>
  </si>
  <si>
    <t xml:space="preserve">LChin</t>
  </si>
  <si>
    <t xml:space="preserve">Lchin</t>
  </si>
  <si>
    <t xml:space="preserve">Lchin-Cchin</t>
  </si>
  <si>
    <t xml:space="preserve">LEAK</t>
  </si>
  <si>
    <t xml:space="preserve">10, 16, 25, 32, 64, 100, 200, 256</t>
  </si>
  <si>
    <t xml:space="preserve">LEAK1</t>
  </si>
  <si>
    <t xml:space="preserve">LEFT</t>
  </si>
  <si>
    <t xml:space="preserve">LEFT IC1</t>
  </si>
  <si>
    <t xml:space="preserve">LEFT IC2</t>
  </si>
  <si>
    <t xml:space="preserve">Leg Ltibial</t>
  </si>
  <si>
    <t xml:space="preserve">Leg Rtibial</t>
  </si>
  <si>
    <t xml:space="preserve">LEG/L2</t>
  </si>
  <si>
    <t xml:space="preserve">LEG/R1</t>
  </si>
  <si>
    <t xml:space="preserve">LEG/R2</t>
  </si>
  <si>
    <t xml:space="preserve">LLEG</t>
  </si>
  <si>
    <t xml:space="preserve">LLeg</t>
  </si>
  <si>
    <t xml:space="preserve">Lleg</t>
  </si>
  <si>
    <t xml:space="preserve">LLEG1</t>
  </si>
  <si>
    <t xml:space="preserve">LLeg1</t>
  </si>
  <si>
    <t xml:space="preserve">Lleg1</t>
  </si>
  <si>
    <t xml:space="preserve">L-LEG1</t>
  </si>
  <si>
    <t xml:space="preserve">LLeg1-LLeg2</t>
  </si>
  <si>
    <t xml:space="preserve">LLEG2</t>
  </si>
  <si>
    <t xml:space="preserve">100, 256</t>
  </si>
  <si>
    <t xml:space="preserve">LLeg2</t>
  </si>
  <si>
    <t xml:space="preserve">Lleg2</t>
  </si>
  <si>
    <t xml:space="preserve">L-LEG2</t>
  </si>
  <si>
    <t xml:space="preserve">L-Legs</t>
  </si>
  <si>
    <t xml:space="preserve">M1-M2</t>
  </si>
  <si>
    <t xml:space="preserve">Mask</t>
  </si>
  <si>
    <t xml:space="preserve">16, 32, 64</t>
  </si>
  <si>
    <t xml:space="preserve">Mask Flow</t>
  </si>
  <si>
    <t xml:space="preserve">25, 32, 64, 100</t>
  </si>
  <si>
    <t xml:space="preserve">Mask Leak</t>
  </si>
  <si>
    <t xml:space="preserve">MaskFLow</t>
  </si>
  <si>
    <t xml:space="preserve">MaskFlow</t>
  </si>
  <si>
    <t xml:space="preserve">10, 25, 32, 64, 100, 200, 256</t>
  </si>
  <si>
    <t xml:space="preserve">MaskLeak</t>
  </si>
  <si>
    <t xml:space="preserve">20, 64, 128, 200</t>
  </si>
  <si>
    <t xml:space="preserve">Nasal Cannula</t>
  </si>
  <si>
    <t xml:space="preserve">64, 200</t>
  </si>
  <si>
    <t xml:space="preserve">NP</t>
  </si>
  <si>
    <t xml:space="preserve">NPV</t>
  </si>
  <si>
    <t xml:space="preserve">NPV flow</t>
  </si>
  <si>
    <t xml:space="preserve">Ox</t>
  </si>
  <si>
    <t xml:space="preserve">OXSTAT</t>
  </si>
  <si>
    <t xml:space="preserve">PAP</t>
  </si>
  <si>
    <t xml:space="preserve">PAP Press</t>
  </si>
  <si>
    <t xml:space="preserve">PLeth</t>
  </si>
  <si>
    <t xml:space="preserve">16, 25, 64, 100, 200, 256</t>
  </si>
  <si>
    <t xml:space="preserve">Positiom</t>
  </si>
  <si>
    <t xml:space="preserve">1, 10, 16, 25, 64, 128, 200, 256</t>
  </si>
  <si>
    <t xml:space="preserve">pressure</t>
  </si>
  <si>
    <t xml:space="preserve">PRESSURE1</t>
  </si>
  <si>
    <t xml:space="preserve">PressureE</t>
  </si>
  <si>
    <t xml:space="preserve">PressureI</t>
  </si>
  <si>
    <t xml:space="preserve">ProTech</t>
  </si>
  <si>
    <t xml:space="preserve">1, 2, 10, 16, 25, 64, 200, 256</t>
  </si>
  <si>
    <t xml:space="preserve">R</t>
  </si>
  <si>
    <t xml:space="preserve">R.</t>
  </si>
  <si>
    <t xml:space="preserve">RARM7</t>
  </si>
  <si>
    <t xml:space="preserve">RCHIN</t>
  </si>
  <si>
    <t xml:space="preserve">RChin</t>
  </si>
  <si>
    <t xml:space="preserve">Rchin</t>
  </si>
  <si>
    <t xml:space="preserve">Rchon</t>
  </si>
  <si>
    <t xml:space="preserve">REF</t>
  </si>
  <si>
    <t xml:space="preserve">Reg2</t>
  </si>
  <si>
    <t xml:space="preserve">RES</t>
  </si>
  <si>
    <t xml:space="preserve">Resp</t>
  </si>
  <si>
    <t xml:space="preserve">Resp Rate</t>
  </si>
  <si>
    <t xml:space="preserve">RespRate</t>
  </si>
  <si>
    <t xml:space="preserve">RIGHT</t>
  </si>
  <si>
    <t xml:space="preserve">RIGHT IC1</t>
  </si>
  <si>
    <t xml:space="preserve">RIGHT IC2</t>
  </si>
  <si>
    <t xml:space="preserve">RLEG</t>
  </si>
  <si>
    <t xml:space="preserve">RLeg</t>
  </si>
  <si>
    <t xml:space="preserve">Rleg</t>
  </si>
  <si>
    <t xml:space="preserve">RLEG1</t>
  </si>
  <si>
    <t xml:space="preserve">RLeg1</t>
  </si>
  <si>
    <t xml:space="preserve">Rleg1</t>
  </si>
  <si>
    <t xml:space="preserve">R-LEG1</t>
  </si>
  <si>
    <t xml:space="preserve">RLeg1-RLeg2</t>
  </si>
  <si>
    <t xml:space="preserve">RLEG2</t>
  </si>
  <si>
    <t xml:space="preserve">RLeg2</t>
  </si>
  <si>
    <t xml:space="preserve">Rleg2</t>
  </si>
  <si>
    <t xml:space="preserve">R-LEG2</t>
  </si>
  <si>
    <t xml:space="preserve">R-Legs</t>
  </si>
  <si>
    <t xml:space="preserve">Room Light</t>
  </si>
  <si>
    <t xml:space="preserve">SA02</t>
  </si>
  <si>
    <t xml:space="preserve">Sa02</t>
  </si>
  <si>
    <t xml:space="preserve">2, 10, 16, 25, 64, 100, 200, 256</t>
  </si>
  <si>
    <t xml:space="preserve">64, 200, 256</t>
  </si>
  <si>
    <t xml:space="preserve">10, 64, 100, 200, 256</t>
  </si>
  <si>
    <t xml:space="preserve">SNORE Mic</t>
  </si>
  <si>
    <t xml:space="preserve">Snore Mic</t>
  </si>
  <si>
    <t xml:space="preserve">SNORE MIC 1</t>
  </si>
  <si>
    <t xml:space="preserve">Snore Sensor</t>
  </si>
  <si>
    <t xml:space="preserve">SnoreSensor</t>
  </si>
  <si>
    <t xml:space="preserve">16, 100, 200</t>
  </si>
  <si>
    <t xml:space="preserve">16, 50, 200</t>
  </si>
  <si>
    <t xml:space="preserve">TCCO2</t>
  </si>
  <si>
    <t xml:space="preserve">16, 32</t>
  </si>
  <si>
    <t xml:space="preserve">TcCO2 #</t>
  </si>
  <si>
    <t xml:space="preserve">TcCO2 Pleth</t>
  </si>
  <si>
    <t xml:space="preserve">TCCO2#</t>
  </si>
  <si>
    <t xml:space="preserve">TidVol</t>
  </si>
  <si>
    <t xml:space="preserve">Volume</t>
  </si>
  <si>
    <t xml:space="preserve">VTinsp</t>
  </si>
  <si>
    <t xml:space="preserve">xPAP</t>
  </si>
  <si>
    <t xml:space="preserve">xPAP CPAP</t>
  </si>
  <si>
    <t xml:space="preserve">XSum</t>
  </si>
  <si>
    <t xml:space="preserve">MNC </t>
  </si>
  <si>
    <t xml:space="preserve">chc cohort</t>
  </si>
  <si>
    <t xml:space="preserve">dhc cohort</t>
  </si>
  <si>
    <t xml:space="preserve">ssc cohort</t>
  </si>
  <si>
    <t xml:space="preserve">channel</t>
  </si>
  <si>
    <t xml:space="preserve">freq</t>
  </si>
  <si>
    <t xml:space="preserve">channel </t>
  </si>
  <si>
    <t xml:space="preserve">128, 256, 200, 500, 512</t>
  </si>
  <si>
    <t xml:space="preserve">128, 200, 256, 500, 512</t>
  </si>
  <si>
    <t xml:space="preserve">cs_ECG</t>
  </si>
  <si>
    <t xml:space="preserve">cchin</t>
  </si>
  <si>
    <t xml:space="preserve">200, 500</t>
  </si>
  <si>
    <t xml:space="preserve">cs_EEG</t>
  </si>
  <si>
    <t xml:space="preserve">cs_EMG</t>
  </si>
  <si>
    <t xml:space="preserve">cs_LOC</t>
  </si>
  <si>
    <t xml:space="preserve">cs_ROC</t>
  </si>
  <si>
    <t xml:space="preserve">etco2</t>
  </si>
  <si>
    <t xml:space="preserve">4, 16, 32, 64</t>
  </si>
  <si>
    <t xml:space="preserve">ECG1_2</t>
  </si>
  <si>
    <t xml:space="preserve">16, 256</t>
  </si>
  <si>
    <t xml:space="preserve">lchin</t>
  </si>
  <si>
    <t xml:space="preserve">leak</t>
  </si>
  <si>
    <t xml:space="preserve">1, 4, 64</t>
  </si>
  <si>
    <t xml:space="preserve">128, 200, 256, 500,512</t>
  </si>
  <si>
    <t xml:space="preserve">lleg1</t>
  </si>
  <si>
    <t xml:space="preserve">32, 100</t>
  </si>
  <si>
    <t xml:space="preserve">lleg</t>
  </si>
  <si>
    <t xml:space="preserve">128, 200, 512</t>
  </si>
  <si>
    <t xml:space="preserve">32, 64, 256</t>
  </si>
  <si>
    <t xml:space="preserve">32, 64, 128</t>
  </si>
  <si>
    <t xml:space="preserve">PTT</t>
  </si>
  <si>
    <t xml:space="preserve">rleg</t>
  </si>
  <si>
    <t xml:space="preserve">rchin</t>
  </si>
  <si>
    <t xml:space="preserve">256, 500</t>
  </si>
  <si>
    <t xml:space="preserve">rleg1</t>
  </si>
  <si>
    <t xml:space="preserve">rleg2</t>
  </si>
  <si>
    <t xml:space="preserve">therm</t>
  </si>
  <si>
    <t xml:space="preserve">16, 64, 256</t>
  </si>
  <si>
    <t xml:space="preserve">tvol</t>
  </si>
  <si>
    <t xml:space="preserve">STAGES channels</t>
  </si>
  <si>
    <t xml:space="preserve">AbdDC</t>
  </si>
  <si>
    <t xml:space="preserve">32, 128, 200, 500</t>
  </si>
  <si>
    <t xml:space="preserve">Accu</t>
  </si>
  <si>
    <t xml:space="preserve">32, 128, 512</t>
  </si>
  <si>
    <t xml:space="preserve">Arms-L</t>
  </si>
  <si>
    <t xml:space="preserve">Arms-R</t>
  </si>
  <si>
    <t xml:space="preserve">BPos</t>
  </si>
  <si>
    <t xml:space="preserve">C-LEAK</t>
  </si>
  <si>
    <t xml:space="preserve">25, 200, 500</t>
  </si>
  <si>
    <t xml:space="preserve">C3:C4</t>
  </si>
  <si>
    <t xml:space="preserve">ChestDC</t>
  </si>
  <si>
    <t xml:space="preserve">200, 500, 512</t>
  </si>
  <si>
    <t xml:space="preserve">cNEP_pressure</t>
  </si>
  <si>
    <t xml:space="preserve">CNEP_pressure</t>
  </si>
  <si>
    <t xml:space="preserve">CPAP_Flow</t>
  </si>
  <si>
    <t xml:space="preserve">CPAP_Leak</t>
  </si>
  <si>
    <t xml:space="preserve">4, 8, 16</t>
  </si>
  <si>
    <t xml:space="preserve">CPAP_Pressure</t>
  </si>
  <si>
    <t xml:space="preserve">4, 8</t>
  </si>
  <si>
    <t xml:space="preserve">Cz</t>
  </si>
  <si>
    <t xml:space="preserve">DIA</t>
  </si>
  <si>
    <t xml:space="preserve">200, 256, 500, 512</t>
  </si>
  <si>
    <t xml:space="preserve">ECG_2</t>
  </si>
  <si>
    <t xml:space="preserve">ECG_II</t>
  </si>
  <si>
    <t xml:space="preserve">EEG</t>
  </si>
  <si>
    <t xml:space="preserve">ETCO2</t>
  </si>
  <si>
    <t xml:space="preserve">ETCO2_Digital</t>
  </si>
  <si>
    <t xml:space="preserve">25, 500</t>
  </si>
  <si>
    <t xml:space="preserve">ETCO2_Trend</t>
  </si>
  <si>
    <t xml:space="preserve">ETCO2_TREND</t>
  </si>
  <si>
    <t xml:space="preserve">ETCO2_Wave</t>
  </si>
  <si>
    <t xml:space="preserve">ExOb</t>
  </si>
  <si>
    <t xml:space="preserve">F3:M2</t>
  </si>
  <si>
    <t xml:space="preserve">F4:F3</t>
  </si>
  <si>
    <t xml:space="preserve">Foot-L</t>
  </si>
  <si>
    <t xml:space="preserve">Foot-R</t>
  </si>
  <si>
    <t xml:space="preserve">FP1-F7</t>
  </si>
  <si>
    <t xml:space="preserve">FP2</t>
  </si>
  <si>
    <t xml:space="preserve">FP2-F8</t>
  </si>
  <si>
    <t xml:space="preserve">Fp2:Fp1</t>
  </si>
  <si>
    <t xml:space="preserve">Fpz</t>
  </si>
  <si>
    <t xml:space="preserve">Fz</t>
  </si>
  <si>
    <t xml:space="preserve">Heartrate</t>
  </si>
  <si>
    <t xml:space="preserve">IC1-IC2</t>
  </si>
  <si>
    <t xml:space="preserve">Impedan</t>
  </si>
  <si>
    <t xml:space="preserve">4, 32</t>
  </si>
  <si>
    <t xml:space="preserve">L-Arm1</t>
  </si>
  <si>
    <t xml:space="preserve">L-Arm2</t>
  </si>
  <si>
    <t xml:space="preserve">L-Leg1</t>
  </si>
  <si>
    <t xml:space="preserve">L-Leg2</t>
  </si>
  <si>
    <t xml:space="preserve">LA1-LA2</t>
  </si>
  <si>
    <t xml:space="preserve">LAT1-LAT2</t>
  </si>
  <si>
    <t xml:space="preserve">Left_Masseter_1</t>
  </si>
  <si>
    <t xml:space="preserve">Left_Masseter_2</t>
  </si>
  <si>
    <t xml:space="preserve">Mass-L</t>
  </si>
  <si>
    <t xml:space="preserve">Mass-R</t>
  </si>
  <si>
    <t xml:space="preserve">Massater_1</t>
  </si>
  <si>
    <t xml:space="preserve">Massater_2</t>
  </si>
  <si>
    <t xml:space="preserve">Min_Vent</t>
  </si>
  <si>
    <t xml:space="preserve">Move.</t>
  </si>
  <si>
    <t xml:space="preserve">Mvmt</t>
  </si>
  <si>
    <t xml:space="preserve">Nasal_Pressure</t>
  </si>
  <si>
    <t xml:space="preserve">NASAL_PRESSURE</t>
  </si>
  <si>
    <t xml:space="preserve">Nasal_Therm</t>
  </si>
  <si>
    <t xml:space="preserve">NasalDC</t>
  </si>
  <si>
    <t xml:space="preserve">NasalOr</t>
  </si>
  <si>
    <t xml:space="preserve">NasalSn</t>
  </si>
  <si>
    <t xml:space="preserve">NasOr</t>
  </si>
  <si>
    <t xml:space="preserve">NasOr2</t>
  </si>
  <si>
    <t xml:space="preserve">Oral-CO2</t>
  </si>
  <si>
    <t xml:space="preserve">Other</t>
  </si>
  <si>
    <t xml:space="preserve">Oz</t>
  </si>
  <si>
    <t xml:space="preserve">P-Snore</t>
  </si>
  <si>
    <t xml:space="preserve">PAP_Leak</t>
  </si>
  <si>
    <t xml:space="preserve">PAP_Pres</t>
  </si>
  <si>
    <t xml:space="preserve">PAP_Pt_Flo</t>
  </si>
  <si>
    <t xml:space="preserve">PAP_TV</t>
  </si>
  <si>
    <t xml:space="preserve">Pes-L1</t>
  </si>
  <si>
    <t xml:space="preserve">Pes-L2</t>
  </si>
  <si>
    <t xml:space="preserve">Pes-L3</t>
  </si>
  <si>
    <t xml:space="preserve">Pes-L4</t>
  </si>
  <si>
    <t xml:space="preserve">Plesmo</t>
  </si>
  <si>
    <t xml:space="preserve">16, 32, 128</t>
  </si>
  <si>
    <t xml:space="preserve">PLM3.</t>
  </si>
  <si>
    <t xml:space="preserve">PLM4.</t>
  </si>
  <si>
    <t xml:space="preserve">PLMl</t>
  </si>
  <si>
    <t xml:space="preserve">PLMl.</t>
  </si>
  <si>
    <t xml:space="preserve">PLMr.</t>
  </si>
  <si>
    <t xml:space="preserve">Pos.</t>
  </si>
  <si>
    <t xml:space="preserve">PPG</t>
  </si>
  <si>
    <t xml:space="preserve">25, 32, 200, 500</t>
  </si>
  <si>
    <t xml:space="preserve">Pressure.1</t>
  </si>
  <si>
    <t xml:space="preserve">Pressure_Flow</t>
  </si>
  <si>
    <t xml:space="preserve">Pressure_Snore</t>
  </si>
  <si>
    <t xml:space="preserve">PTAF</t>
  </si>
  <si>
    <t xml:space="preserve">8, 16</t>
  </si>
  <si>
    <t xml:space="preserve">4, 16, 32</t>
  </si>
  <si>
    <t xml:space="preserve">Pulse_Amp</t>
  </si>
  <si>
    <t xml:space="preserve">Pz</t>
  </si>
  <si>
    <t xml:space="preserve">R-Arm1</t>
  </si>
  <si>
    <t xml:space="preserve">R-Arm2</t>
  </si>
  <si>
    <t xml:space="preserve">R-Leg1</t>
  </si>
  <si>
    <t xml:space="preserve">R-Leg2</t>
  </si>
  <si>
    <t xml:space="preserve">RAT1-RAT2</t>
  </si>
  <si>
    <t xml:space="preserve">Resp_Rate</t>
  </si>
  <si>
    <t xml:space="preserve">Right-Masseter1</t>
  </si>
  <si>
    <t xml:space="preserve">Right_arm</t>
  </si>
  <si>
    <t xml:space="preserve">Right_Arm_2</t>
  </si>
  <si>
    <t xml:space="preserve">Right_Masseter_1</t>
  </si>
  <si>
    <t xml:space="preserve">Right_Masseter_2</t>
  </si>
  <si>
    <t xml:space="preserve">8, 16, 32</t>
  </si>
  <si>
    <t xml:space="preserve">Scalene</t>
  </si>
  <si>
    <t xml:space="preserve">SCM</t>
  </si>
  <si>
    <t xml:space="preserve">SpO2Sta</t>
  </si>
  <si>
    <t xml:space="preserve">SUB-R_-_V5</t>
  </si>
  <si>
    <t xml:space="preserve">SUBR-SUBL</t>
  </si>
  <si>
    <t xml:space="preserve">T-Volume</t>
  </si>
  <si>
    <t xml:space="preserve">T5-O1</t>
  </si>
  <si>
    <t xml:space="preserve">T6-O2</t>
  </si>
  <si>
    <t xml:space="preserve">TCCO2_Digital</t>
  </si>
  <si>
    <t xml:space="preserve">Tcm4CO2</t>
  </si>
  <si>
    <t xml:space="preserve">TcPPG</t>
  </si>
  <si>
    <t xml:space="preserve">TcSpO2</t>
  </si>
  <si>
    <t xml:space="preserve">Tidal_Vol</t>
  </si>
  <si>
    <t xml:space="preserve">unused</t>
  </si>
  <si>
    <t xml:space="preserve">Winx-Oral</t>
  </si>
  <si>
    <t xml:space="preserve">Winx-Pump</t>
  </si>
  <si>
    <t xml:space="preserve">WPLM_ST</t>
  </si>
  <si>
    <t xml:space="preserve">WPLM_ST.1</t>
  </si>
  <si>
    <t xml:space="preserve">wPLMl</t>
  </si>
  <si>
    <t xml:space="preserve">wPLMl_Sta</t>
  </si>
  <si>
    <t xml:space="preserve">wPLMr</t>
  </si>
  <si>
    <t xml:space="preserve">wPLMr_Sta</t>
  </si>
  <si>
    <t xml:space="preserve">x</t>
  </si>
  <si>
    <t xml:space="preserve">x.1</t>
  </si>
  <si>
    <t xml:space="preserve">x.2</t>
  </si>
  <si>
    <t xml:space="preserve">SleePyCo Training</t>
  </si>
  <si>
    <t xml:space="preserve">Channel</t>
  </si>
  <si>
    <t xml:space="preserve">Done</t>
  </si>
  <si>
    <t xml:space="preserve">MROS</t>
  </si>
  <si>
    <t xml:space="preserve">WSC</t>
  </si>
  <si>
    <t xml:space="preserve">CAPSLPDB</t>
  </si>
  <si>
    <t xml:space="preserve">MASS</t>
  </si>
  <si>
    <t xml:space="preserve">MWT</t>
  </si>
  <si>
    <t xml:space="preserve">NCHSDB</t>
  </si>
  <si>
    <t xml:space="preserve">Physio2018</t>
  </si>
  <si>
    <t xml:space="preserve">SHHS</t>
  </si>
  <si>
    <t xml:space="preserve">SLEEPBRL</t>
  </si>
  <si>
    <t xml:space="preserve">STAGES</t>
  </si>
  <si>
    <t xml:space="preserve">UCDDB</t>
  </si>
  <si>
    <t xml:space="preserve">Subgroup 1</t>
  </si>
  <si>
    <t xml:space="preserve">Subgroup 2</t>
  </si>
  <si>
    <t xml:space="preserve">Subgroup 3</t>
  </si>
  <si>
    <t xml:space="preserve">height (cm)</t>
  </si>
  <si>
    <t xml:space="preserve">weight (kg)</t>
  </si>
  <si>
    <t xml:space="preserve">BMI</t>
  </si>
  <si>
    <t xml:space="preserve">mean</t>
  </si>
  <si>
    <t xml:space="preserve">std</t>
  </si>
  <si>
    <t xml:space="preserve">sleep min</t>
  </si>
  <si>
    <t xml:space="preserve">age</t>
  </si>
  <si>
    <t xml:space="preserve">arousals (total)</t>
  </si>
  <si>
    <t xml:space="preserve">PLM (total)</t>
  </si>
  <si>
    <t xml:space="preserve">OA (total)</t>
  </si>
  <si>
    <t xml:space="preserve">OH (total)</t>
  </si>
  <si>
    <t xml:space="preserve">CA (total)</t>
  </si>
  <si>
    <t xml:space="preserve">CH (total)</t>
  </si>
  <si>
    <t xml:space="preserve">MA (total)</t>
  </si>
  <si>
    <t xml:space="preserve">MH (total)</t>
  </si>
  <si>
    <t xml:space="preserve">ArI</t>
  </si>
  <si>
    <t xml:space="preserve">PLM index</t>
  </si>
  <si>
    <t xml:space="preserve">AHI</t>
  </si>
  <si>
    <t xml:space="preserve">min</t>
  </si>
  <si>
    <t xml:space="preserve">Supgroup 2</t>
  </si>
  <si>
    <t xml:space="preserve">max</t>
  </si>
  <si>
    <t xml:space="preserve">AR</t>
  </si>
  <si>
    <t xml:space="preserve">PLM</t>
  </si>
  <si>
    <t xml:space="preserve">OA</t>
  </si>
  <si>
    <t xml:space="preserve">OH</t>
  </si>
  <si>
    <t xml:space="preserve">CA</t>
  </si>
  <si>
    <t xml:space="preserve">CH</t>
  </si>
  <si>
    <t xml:space="preserve">MA</t>
  </si>
  <si>
    <t xml:space="preserve">MH</t>
  </si>
  <si>
    <t xml:space="preserve">total epochs</t>
  </si>
  <si>
    <t xml:space="preserve">total wake</t>
  </si>
  <si>
    <t xml:space="preserve">total sleep</t>
  </si>
  <si>
    <t xml:space="preserve">Dataset</t>
  </si>
  <si>
    <t xml:space="preserve">level</t>
  </si>
  <si>
    <t xml:space="preserve">subjects</t>
  </si>
  <si>
    <t xml:space="preserve">recordings</t>
  </si>
  <si>
    <t xml:space="preserve">scoring</t>
  </si>
  <si>
    <t xml:space="preserve">% female</t>
  </si>
  <si>
    <t xml:space="preserve">AHI (&gt;=3% oxygen desaturation if not noted differently)</t>
  </si>
  <si>
    <t xml:space="preserve">ArI (arousals/h)</t>
  </si>
  <si>
    <t xml:space="preserve">PLM index (PLM/h)</t>
  </si>
  <si>
    <t xml:space="preserve">ESS</t>
  </si>
  <si>
    <t xml:space="preserve">PHQ-8/PHQ-9</t>
  </si>
  <si>
    <t xml:space="preserve">SF-36 (physical)</t>
  </si>
  <si>
    <t xml:space="preserve">SF-36 (mental)</t>
  </si>
  <si>
    <t xml:space="preserve">FSS (fatigue severity scale)</t>
  </si>
  <si>
    <t xml:space="preserve">MEQ (morningness-eveningness questionnaire)</t>
  </si>
  <si>
    <t xml:space="preserve">GAD-7 (general anxiety disorder questionnaire)</t>
  </si>
  <si>
    <t xml:space="preserve">FOSQ (Functional Outcomes of Sleep Questionnaire)</t>
  </si>
  <si>
    <t xml:space="preserve">ISI</t>
  </si>
  <si>
    <t xml:space="preserve">PSQI</t>
  </si>
  <si>
    <t xml:space="preserve">WHIIRS (Women's Health Initiative Insomnia Rating Scale)</t>
  </si>
  <si>
    <t xml:space="preserve">SSS</t>
  </si>
  <si>
    <t xml:space="preserve">STOP-BANG</t>
  </si>
  <si>
    <t xml:space="preserve">SAQLI (Calgary Sleep Apnea Quality of Life Index)</t>
  </si>
  <si>
    <t xml:space="preserve">Zung Self-Rating Depression Scale</t>
  </si>
  <si>
    <t xml:space="preserve">PedsQL (Pediatric Quality of Life Inventory)</t>
  </si>
  <si>
    <t xml:space="preserve">BDI</t>
  </si>
  <si>
    <t xml:space="preserve">TIB (min)</t>
  </si>
  <si>
    <t xml:space="preserve">TST  (min)</t>
  </si>
  <si>
    <t xml:space="preserve">SE (%)</t>
  </si>
  <si>
    <t xml:space="preserve">SOL (min)</t>
  </si>
  <si>
    <t xml:space="preserve">WASO (min)</t>
  </si>
  <si>
    <t xml:space="preserve">N1/S1 (%)</t>
  </si>
  <si>
    <t xml:space="preserve">N2/S2 (%)</t>
  </si>
  <si>
    <t xml:space="preserve">N3/(S3+S4) (%)</t>
  </si>
  <si>
    <t xml:space="preserve">REM (%)</t>
  </si>
  <si>
    <t xml:space="preserve">population</t>
  </si>
  <si>
    <t xml:space="preserve">access</t>
  </si>
  <si>
    <t xml:space="preserve">key reference</t>
  </si>
  <si>
    <t xml:space="preserve">repo source</t>
  </si>
  <si>
    <t xml:space="preserve">ABC</t>
  </si>
  <si>
    <t xml:space="preserve">48.8±9.9</t>
  </si>
  <si>
    <t xml:space="preserve">42.3</t>
  </si>
  <si>
    <t xml:space="preserve">38.9±3.0</t>
  </si>
  <si>
    <t xml:space="preserve">50.1 pm 27.2</t>
  </si>
  <si>
    <t xml:space="preserve">8.5 pm 4.6</t>
  </si>
  <si>
    <t xml:space="preserve">484.2±55.6</t>
  </si>
  <si>
    <t xml:space="preserve">373.7±77.5</t>
  </si>
  <si>
    <t xml:space="preserve">77.7±15.0</t>
  </si>
  <si>
    <t xml:space="preserve">21.5±23.6</t>
  </si>
  <si>
    <t xml:space="preserve">83.4±59.8</t>
  </si>
  <si>
    <t xml:space="preserve">19.8±13.2</t>
  </si>
  <si>
    <t xml:space="preserve">50.9±9.5</t>
  </si>
  <si>
    <t xml:space="preserve">11.5±8.7</t>
  </si>
  <si>
    <t xml:space="preserve">17.8±7.2</t>
  </si>
  <si>
    <t xml:space="preserve">severe OSA, no prior CPAP, prior bariatric surgery, drowsy driving, hypoventilation syndrome</t>
  </si>
  <si>
    <t xml:space="preserve">upon request</t>
  </si>
  <si>
    <t xml:space="preserve">10.1164/rccm.201708-1637LE</t>
  </si>
  <si>
    <t xml:space="preserve">10.25822/NX52-BC11</t>
  </si>
  <si>
    <t xml:space="preserve">baseline</t>
  </si>
  <si>
    <t xml:space="preserve">10.1±4.5</t>
  </si>
  <si>
    <t xml:space="preserve">481.5 pm 80.0</t>
  </si>
  <si>
    <t xml:space="preserve">362.3 pm 95.6</t>
  </si>
  <si>
    <t xml:space="preserve">74.0 pm 19.1</t>
  </si>
  <si>
    <t xml:space="preserve">22.9 pm 28.7</t>
  </si>
  <si>
    <t xml:space="preserve">96.3 pm 72.5</t>
  </si>
  <si>
    <t xml:space="preserve">23.1 pm 14.9</t>
  </si>
  <si>
    <t xml:space="preserve">48.9 pm 10.2</t>
  </si>
  <si>
    <t xml:space="preserve">10.6 pm 8.1</t>
  </si>
  <si>
    <t xml:space="preserve">17.5 pm 5.9</t>
  </si>
  <si>
    <t xml:space="preserve">month9</t>
  </si>
  <si>
    <t xml:space="preserve">7.7 pm 4.6</t>
  </si>
  <si>
    <t xml:space="preserve">492.3 pm 16.2</t>
  </si>
  <si>
    <t xml:space="preserve">393.8 pm 57.4</t>
  </si>
  <si>
    <t xml:space="preserve">80.0 pm 11.1</t>
  </si>
  <si>
    <t xml:space="preserve">19.6 pm 17.2</t>
  </si>
  <si>
    <t xml:space="preserve">78.9 pm 51.3</t>
  </si>
  <si>
    <t xml:space="preserve">19.1 pm 12.6</t>
  </si>
  <si>
    <t xml:space="preserve">52.0 pm 8.8</t>
  </si>
  <si>
    <t xml:space="preserve">11.2 pm 8.3</t>
  </si>
  <si>
    <t xml:space="preserve">17.7 pm 7.4</t>
  </si>
  <si>
    <t xml:space="preserve">month18</t>
  </si>
  <si>
    <t xml:space="preserve">7.3 pm 4.2</t>
  </si>
  <si>
    <t xml:space="preserve">482.1 pm 46.3</t>
  </si>
  <si>
    <t xml:space="preserve">386.7 pm 71.3</t>
  </si>
  <si>
    <t xml:space="preserve">79.8 pm 12.0</t>
  </si>
  <si>
    <t xml:space="preserve">21.9 pm 23.0</t>
  </si>
  <si>
    <t xml:space="preserve">72.2 pm 48.3</t>
  </si>
  <si>
    <t xml:space="preserve">16.6 pm 10.7</t>
  </si>
  <si>
    <t xml:space="preserve">52.0 pm 9.2</t>
  </si>
  <si>
    <t xml:space="preserve">13.1 pm 9.7</t>
  </si>
  <si>
    <t xml:space="preserve">18.4 pm 8.4</t>
  </si>
  <si>
    <t xml:space="preserve">32±6</t>
  </si>
  <si>
    <t xml:space="preserve">44.8</t>
  </si>
  <si>
    <t xml:space="preserve">&lt;30 (exclusion criteria)</t>
  </si>
  <si>
    <t xml:space="preserve">&lt;= 15 (exclusion criteria)</t>
  </si>
  <si>
    <t xml:space="preserve">416.2±48.3</t>
  </si>
  <si>
    <t xml:space="preserve">341.6±59.8</t>
  </si>
  <si>
    <t xml:space="preserve">81.8±9.9</t>
  </si>
  <si>
    <t xml:space="preserve">17.5±18.5</t>
  </si>
  <si>
    <t xml:space="preserve">57.3±35.0</t>
  </si>
  <si>
    <t xml:space="preserve">12.3±3.8</t>
  </si>
  <si>
    <t xml:space="preserve">49.5±6.6</t>
  </si>
  <si>
    <t xml:space="preserve">23.1±5.8</t>
  </si>
  <si>
    <t xml:space="preserve">15.1±4.1</t>
  </si>
  <si>
    <t xml:space="preserve">normal/healthy populaiton </t>
  </si>
  <si>
    <t xml:space="preserve">public</t>
  </si>
  <si>
    <t xml:space="preserve">10.1038/s41597-024-03722-1</t>
  </si>
  <si>
    <t xml:space="preserve">10.17605/OSF.IO/R26FH</t>
  </si>
  <si>
    <t xml:space="preserve">APOE</t>
  </si>
  <si>
    <t xml:space="preserve">13-90</t>
  </si>
  <si>
    <t xml:space="preserve">45.7±13.6</t>
  </si>
  <si>
    <t xml:space="preserve">40.9</t>
  </si>
  <si>
    <t xml:space="preserve">27.3±7.0</t>
  </si>
  <si>
    <t xml:space="preserve">467.7±53.2</t>
  </si>
  <si>
    <t xml:space="preserve">348.5±70.0</t>
  </si>
  <si>
    <t xml:space="preserve">74.6±12.7</t>
  </si>
  <si>
    <t xml:space="preserve">45.3±33.4</t>
  </si>
  <si>
    <t xml:space="preserve">73.4±53.2</t>
  </si>
  <si>
    <t xml:space="preserve">11.7±9.6</t>
  </si>
  <si>
    <t xml:space="preserve">63.0±12.2</t>
  </si>
  <si>
    <t xml:space="preserve">9.4±9.7</t>
  </si>
  <si>
    <t xml:space="preserve">16.0±7.1</t>
  </si>
  <si>
    <t xml:space="preserve">sleep disordered breathing</t>
  </si>
  <si>
    <t xml:space="preserve">10.1371/journal.pone.0114565</t>
  </si>
  <si>
    <t xml:space="preserve">10.25822/6SSJ-2157</t>
  </si>
  <si>
    <t xml:space="preserve">APPLES</t>
  </si>
  <si>
    <t xml:space="preserve">50.1±12.9</t>
  </si>
  <si>
    <t xml:space="preserve">36.8</t>
  </si>
  <si>
    <t xml:space="preserve">32.1±7.8</t>
  </si>
  <si>
    <t xml:space="preserve">38.2±26.6</t>
  </si>
  <si>
    <t xml:space="preserve">24.9±19.1</t>
  </si>
  <si>
    <t xml:space="preserve">8.2±17.5</t>
  </si>
  <si>
    <t xml:space="preserve">55.5±11.9</t>
  </si>
  <si>
    <t xml:space="preserve">2.8±1.4</t>
  </si>
  <si>
    <t xml:space="preserve">6.3±5.2</t>
  </si>
  <si>
    <t xml:space="preserve">493.3±58.9</t>
  </si>
  <si>
    <t xml:space="preserve">373.2±74.1</t>
  </si>
  <si>
    <t xml:space="preserve">75.7±13.0</t>
  </si>
  <si>
    <t xml:space="preserve">25.8±27.4</t>
  </si>
  <si>
    <t xml:space="preserve">94.3±56.3</t>
  </si>
  <si>
    <t xml:space="preserve">19.1±14.7</t>
  </si>
  <si>
    <t xml:space="preserve">60.5±13.8</t>
  </si>
  <si>
    <t xml:space="preserve">3.1±5.8</t>
  </si>
  <si>
    <t xml:space="preserve">17.3±7.3</t>
  </si>
  <si>
    <t xml:space="preserve">OSA, AHI &gt;=10, mean AHI 38.2, no prior CPAP, mean BMI 32, 75% caucasian</t>
  </si>
  <si>
    <t xml:space="preserve">10.1093/sleep/34.3.303</t>
  </si>
  <si>
    <t xml:space="preserve">10.25822/63PR-A591</t>
  </si>
  <si>
    <t xml:space="preserve">BESTAIR</t>
  </si>
  <si>
    <t xml:space="preserve">AASM*</t>
  </si>
  <si>
    <t xml:space="preserve">64.3±7.4</t>
  </si>
  <si>
    <t xml:space="preserve">34.9</t>
  </si>
  <si>
    <t xml:space="preserve">31.7±5.9</t>
  </si>
  <si>
    <t xml:space="preserve">29.2±16.6</t>
  </si>
  <si>
    <t xml:space="preserve">8.3±4.5</t>
  </si>
  <si>
    <t xml:space="preserve">5.3±4.9</t>
  </si>
  <si>
    <t xml:space="preserve">9.7±4.6</t>
  </si>
  <si>
    <t xml:space="preserve">4.8±0.9</t>
  </si>
  <si>
    <t xml:space="preserve">84.2±12.2</t>
  </si>
  <si>
    <t xml:space="preserve">32.1±33.9</t>
  </si>
  <si>
    <t xml:space="preserve">moderate to severe sleep apnea (AHI&gt;=15), established CVD  or 3 or more CVD risk factors, ESS&lt;=14, no prior CPAP use, </t>
  </si>
  <si>
    <t xml:space="preserve">10.5665/sleep.4266</t>
  </si>
  <si>
    <t xml:space="preserve">10.25822/F656-YG39</t>
  </si>
  <si>
    <t xml:space="preserve">followup</t>
  </si>
  <si>
    <t xml:space="preserve">nonrandomized</t>
  </si>
  <si>
    <t xml:space="preserve">BOAS</t>
  </si>
  <si>
    <t xml:space="preserve">18-82</t>
  </si>
  <si>
    <t xml:space="preserve">42.0±19.0</t>
  </si>
  <si>
    <t xml:space="preserve">59.4</t>
  </si>
  <si>
    <t xml:space="preserve">23.9±3.2</t>
  </si>
  <si>
    <t xml:space="preserve">459.0±59.4</t>
  </si>
  <si>
    <t xml:space="preserve">391.0±68.8</t>
  </si>
  <si>
    <t xml:space="preserve">84.8±9.8</t>
  </si>
  <si>
    <t xml:space="preserve">34.3±29.1</t>
  </si>
  <si>
    <t xml:space="preserve">33.8±34.3</t>
  </si>
  <si>
    <t xml:space="preserve">4.6±3.4</t>
  </si>
  <si>
    <t xml:space="preserve">71.8±7.5</t>
  </si>
  <si>
    <t xml:space="preserve">5.3±7.0</t>
  </si>
  <si>
    <t xml:space="preserve">18.3±5.8</t>
  </si>
  <si>
    <t xml:space="preserve">general population</t>
  </si>
  <si>
    <t xml:space="preserve">10.18112/openneuro.ds005555.v1.1.1</t>
  </si>
  <si>
    <t xml:space="preserve">14-82</t>
  </si>
  <si>
    <t xml:space="preserve">49.2±19.7</t>
  </si>
  <si>
    <t xml:space="preserve">38.9</t>
  </si>
  <si>
    <t xml:space="preserve">550.1±100.1</t>
  </si>
  <si>
    <t xml:space="preserve">401.1±106.9</t>
  </si>
  <si>
    <t xml:space="preserve">74.2±20.4</t>
  </si>
  <si>
    <t xml:space="preserve">79.6±106.6</t>
  </si>
  <si>
    <t xml:space="preserve">52.3±49.8</t>
  </si>
  <si>
    <t xml:space="preserve">5.7±5.7</t>
  </si>
  <si>
    <t xml:space="preserve">44.5±10.2</t>
  </si>
  <si>
    <t xml:space="preserve">28.9±9.6</t>
  </si>
  <si>
    <t xml:space="preserve">20.9±6.7</t>
  </si>
  <si>
    <t xml:space="preserve">mixed population: 16 healthy subjects, 92 pathological recordings: 40 nocturnal frontal lobe epilepsy (NFLE), 22 REM behavior disorder (RBD), 10 periodic leg movements (PLM), 9 insomnia, 5 narcolepsy, 4 sleep-disordered breathing (SDB), 2 bruxism</t>
  </si>
  <si>
    <t xml:space="preserve">10.1016/S1389-9457(01)00149-6</t>
  </si>
  <si>
    <t xml:space="preserve">10.13026/C2VC79</t>
  </si>
  <si>
    <t xml:space="preserve">CCSHS</t>
  </si>
  <si>
    <t xml:space="preserve">2006-2010</t>
  </si>
  <si>
    <t xml:space="preserve">16-19</t>
  </si>
  <si>
    <t xml:space="preserve">17.7±0.4</t>
  </si>
  <si>
    <t xml:space="preserve">49.5</t>
  </si>
  <si>
    <t xml:space="preserve">25.1±5.9</t>
  </si>
  <si>
    <t xml:space="preserve">1.5±4.8</t>
  </si>
  <si>
    <t xml:space="preserve">8.7±3.7</t>
  </si>
  <si>
    <t xml:space="preserve">0.4±2.6</t>
  </si>
  <si>
    <t xml:space="preserve">7.6±3.8</t>
  </si>
  <si>
    <t xml:space="preserve">538.1±65.5</t>
  </si>
  <si>
    <t xml:space="preserve">452.1±76.0</t>
  </si>
  <si>
    <t xml:space="preserve">83.±13.5</t>
  </si>
  <si>
    <t xml:space="preserve">27.9±51.0</t>
  </si>
  <si>
    <t xml:space="preserve">58.1±46.7</t>
  </si>
  <si>
    <t xml:space="preserve">4.0±2.7</t>
  </si>
  <si>
    <t xml:space="preserve">52.2±7.6</t>
  </si>
  <si>
    <t xml:space="preserve">22.7±8.4</t>
  </si>
  <si>
    <t xml:space="preserve">21.1±5.6</t>
  </si>
  <si>
    <t xml:space="preserve">46% preterm, 35.7% black or african american, 16.4% BMI &gt;30</t>
  </si>
  <si>
    <t xml:space="preserve">10.1067/mpd.2003.28</t>
  </si>
  <si>
    <t xml:space="preserve">10.25822/CG2N-4Y91</t>
  </si>
  <si>
    <t xml:space="preserve">CFS</t>
  </si>
  <si>
    <t xml:space="preserve">1990-2006</t>
  </si>
  <si>
    <t xml:space="preserve">7-78</t>
  </si>
  <si>
    <t xml:space="preserve">43.3±19.9</t>
  </si>
  <si>
    <t xml:space="preserve">55.2</t>
  </si>
  <si>
    <t xml:space="preserve">32.4±9.5</t>
  </si>
  <si>
    <t xml:space="preserve">12.5±17.0</t>
  </si>
  <si>
    <t xml:space="preserve">15.5±10.0</t>
  </si>
  <si>
    <t xml:space="preserve">8.1±17.9</t>
  </si>
  <si>
    <t xml:space="preserve">8.7±4.9</t>
  </si>
  <si>
    <t xml:space="preserve">17.6±2.6</t>
  </si>
  <si>
    <t xml:space="preserve">521.2±92.7</t>
  </si>
  <si>
    <t xml:space="preserve">362.6±74.0</t>
  </si>
  <si>
    <t xml:space="preserve">70.8±15.2</t>
  </si>
  <si>
    <t xml:space="preserve">79.9±81.2</t>
  </si>
  <si>
    <t xml:space="preserve">78.6±63.1</t>
  </si>
  <si>
    <t xml:space="preserve">5.1±4.8</t>
  </si>
  <si>
    <t xml:space="preserve">56.7±13.6</t>
  </si>
  <si>
    <t xml:space="preserve">19.9±13.4</t>
  </si>
  <si>
    <t xml:space="preserve">18.4±7.7</t>
  </si>
  <si>
    <t xml:space="preserve">diagnosed sleep apnea (RDI&gt;=20), mean BMI 32.4, 46% african american</t>
  </si>
  <si>
    <t xml:space="preserve">10.1164/ajrccm/151.3_Pt_1.682</t>
  </si>
  <si>
    <t xml:space="preserve">10.25822/JMYX-MZ90</t>
  </si>
  <si>
    <t xml:space="preserve">CHAT</t>
  </si>
  <si>
    <t xml:space="preserve">2007-2012</t>
  </si>
  <si>
    <t xml:space="preserve">5-10.5</t>
  </si>
  <si>
    <t xml:space="preserve">7.3±1.4</t>
  </si>
  <si>
    <t xml:space="preserve">19.3±5.0</t>
  </si>
  <si>
    <t xml:space="preserve">5.5±6.8</t>
  </si>
  <si>
    <t xml:space="preserve">8.2±3.6</t>
  </si>
  <si>
    <t xml:space="preserve">16.7±30.0</t>
  </si>
  <si>
    <t xml:space="preserve">6.7 pm 4.9</t>
  </si>
  <si>
    <t xml:space="preserve">80.0 pm 15.4</t>
  </si>
  <si>
    <t xml:space="preserve">586.3±77.0</t>
  </si>
  <si>
    <t xml:space="preserve">453.9±55.1</t>
  </si>
  <si>
    <t xml:space="preserve">78.2±10.2</t>
  </si>
  <si>
    <t xml:space="preserve">87.4±63.0*</t>
  </si>
  <si>
    <t xml:space="preserve">45.1±39.5</t>
  </si>
  <si>
    <t xml:space="preserve">8.2±4.1</t>
  </si>
  <si>
    <t xml:space="preserve">42.2±8.4</t>
  </si>
  <si>
    <t xml:space="preserve">31.4±8.2</t>
  </si>
  <si>
    <t xml:space="preserve">18.2±4.4</t>
  </si>
  <si>
    <t xml:space="preserve">mild to moderate OSA</t>
  </si>
  <si>
    <t xml:space="preserve">10.1056/NEJMoa1215881</t>
  </si>
  <si>
    <t xml:space="preserve">10.25822/D68D-8G03</t>
  </si>
  <si>
    <t xml:space="preserve">5-10</t>
  </si>
  <si>
    <t xml:space="preserve">7.0±1.4</t>
  </si>
  <si>
    <t xml:space="preserve">19.0±4.9</t>
  </si>
  <si>
    <t xml:space="preserve">6.8±5.8</t>
  </si>
  <si>
    <t xml:space="preserve">8.5±3.1</t>
  </si>
  <si>
    <t xml:space="preserve">15.3±29.4</t>
  </si>
  <si>
    <t xml:space="preserve">7.3 pm 4.9</t>
  </si>
  <si>
    <t xml:space="preserve">78.6 pm 15.5</t>
  </si>
  <si>
    <t xml:space="preserve">601.9±77.2</t>
  </si>
  <si>
    <t xml:space="preserve">455.8±53.3</t>
  </si>
  <si>
    <t xml:space="preserve">76.5±10.1</t>
  </si>
  <si>
    <t xml:space="preserve">96.2±65.6*</t>
  </si>
  <si>
    <t xml:space="preserve">49.9±44.3</t>
  </si>
  <si>
    <t xml:space="preserve">8.7±4.1</t>
  </si>
  <si>
    <t xml:space="preserve">41.0±8.4</t>
  </si>
  <si>
    <t xml:space="preserve">32.0±8.3</t>
  </si>
  <si>
    <t xml:space="preserve">18.4±4.3</t>
  </si>
  <si>
    <t xml:space="preserve">7.5±1.4</t>
  </si>
  <si>
    <t xml:space="preserve">19.6±5.0</t>
  </si>
  <si>
    <t xml:space="preserve">4.1±7.5</t>
  </si>
  <si>
    <t xml:space="preserve">7.9±4.1</t>
  </si>
  <si>
    <t xml:space="preserve">18.2±30.4</t>
  </si>
  <si>
    <t xml:space="preserve">6.1 pm 4.9</t>
  </si>
  <si>
    <t xml:space="preserve">81.5 pm 15.1</t>
  </si>
  <si>
    <t xml:space="preserve">588.9±77.4</t>
  </si>
  <si>
    <t xml:space="preserve">460.7±51.3</t>
  </si>
  <si>
    <t xml:space="preserve">79.0±9.8</t>
  </si>
  <si>
    <t xml:space="preserve">89.0±66.4*</t>
  </si>
  <si>
    <t xml:space="preserve">39.2±34.4</t>
  </si>
  <si>
    <t xml:space="preserve">7.6±4.1</t>
  </si>
  <si>
    <t xml:space="preserve">43.6±7.3</t>
  </si>
  <si>
    <t xml:space="preserve">30.6±7.4</t>
  </si>
  <si>
    <t xml:space="preserve">18.2±4.2</t>
  </si>
  <si>
    <t xml:space="preserve">575.9±75.1</t>
  </si>
  <si>
    <t xml:space="preserve">449.2±57.5</t>
  </si>
  <si>
    <t xml:space="preserve">78.7±10.3</t>
  </si>
  <si>
    <t xml:space="preserve">81.3±58.9*</t>
  </si>
  <si>
    <t xml:space="preserve">45.3±38.5</t>
  </si>
  <si>
    <t xml:space="preserve">8.1±4.0</t>
  </si>
  <si>
    <t xml:space="preserve">42.2±8.8</t>
  </si>
  <si>
    <t xml:space="preserve">31.4±8.5</t>
  </si>
  <si>
    <t xml:space="preserve">18.2±4.5</t>
  </si>
  <si>
    <t xml:space="preserve">CPS</t>
  </si>
  <si>
    <t xml:space="preserve">71% of participants are &gt;50, age not known for all participants</t>
  </si>
  <si>
    <t xml:space="preserve">27.4*</t>
  </si>
  <si>
    <t xml:space="preserve">42% of participants are &gt;30, BMI not known for all participants</t>
  </si>
  <si>
    <t xml:space="preserve">107.9±39.6</t>
  </si>
  <si>
    <t xml:space="preserve">21.0±10.4</t>
  </si>
  <si>
    <t xml:space="preserve">7.8±5.0</t>
  </si>
  <si>
    <t xml:space="preserve">435.9±37.2</t>
  </si>
  <si>
    <t xml:space="preserve">304.6±73.1</t>
  </si>
  <si>
    <t xml:space="preserve">69.9±16.0</t>
  </si>
  <si>
    <t xml:space="preserve">22.1±19.4</t>
  </si>
  <si>
    <t xml:space="preserve">108.8±65.8</t>
  </si>
  <si>
    <t xml:space="preserve">15.7±11.8</t>
  </si>
  <si>
    <t xml:space="preserve">51.2±11.6</t>
  </si>
  <si>
    <t xml:space="preserve">19.3±11.7</t>
  </si>
  <si>
    <t xml:space="preserve">13.7±6.4</t>
  </si>
  <si>
    <t xml:space="preserve">80% OSA, 40% BMI &gt;30</t>
  </si>
  <si>
    <t xml:space="preserve">10.48550/ARXIV.2409.13367</t>
  </si>
  <si>
    <t xml:space="preserve">10.13026/SXS0-H317</t>
  </si>
  <si>
    <t xml:space="preserve">DCSM</t>
  </si>
  <si>
    <t xml:space="preserve">1110.3±75.5 *</t>
  </si>
  <si>
    <t xml:space="preserve">443.3±102.6</t>
  </si>
  <si>
    <t xml:space="preserve">40.0±9.1 *</t>
  </si>
  <si>
    <t xml:space="preserve">352.3±270.0 *</t>
  </si>
  <si>
    <t xml:space="preserve">314.8±240.2 *</t>
  </si>
  <si>
    <t xml:space="preserve">9.9±9.6</t>
  </si>
  <si>
    <t xml:space="preserve">50.3±10.2</t>
  </si>
  <si>
    <t xml:space="preserve">19.4±11.1</t>
  </si>
  <si>
    <t xml:space="preserve">20.4±7.1</t>
  </si>
  <si>
    <t xml:space="preserve">diverse wrt demographic characteristics, diagnostic background, and sleep/non-sleep related medication usage</t>
  </si>
  <si>
    <t xml:space="preserve">10.1038/s41746-021-00440-5</t>
  </si>
  <si>
    <t xml:space="preserve">10.17894/UCPH.282D3C1E-9B98-4C1E-886E-704AFDFA9179</t>
  </si>
  <si>
    <t xml:space="preserve">DOD-H</t>
  </si>
  <si>
    <t xml:space="preserve">35.3±7.5</t>
  </si>
  <si>
    <t xml:space="preserve">36.0</t>
  </si>
  <si>
    <t xml:space="preserve">23.8±3.4</t>
  </si>
  <si>
    <t xml:space="preserve">487.7±54.7</t>
  </si>
  <si>
    <t xml:space="preserve">432.5±69.4</t>
  </si>
  <si>
    <t xml:space="preserve">88.4±7.5</t>
  </si>
  <si>
    <t xml:space="preserve">17.8±19.0</t>
  </si>
  <si>
    <t xml:space="preserve">37.3±27.6</t>
  </si>
  <si>
    <t xml:space="preserve">7.1±3.6</t>
  </si>
  <si>
    <t xml:space="preserve">54.8±8.7</t>
  </si>
  <si>
    <t xml:space="preserve">16.2±8.3</t>
  </si>
  <si>
    <t xml:space="preserve">21.9±6.6</t>
  </si>
  <si>
    <t xml:space="preserve">free of sleep disorders</t>
  </si>
  <si>
    <t xml:space="preserve">10.5281/ZENODO.15900393</t>
  </si>
  <si>
    <t xml:space="preserve">DOD-O</t>
  </si>
  <si>
    <t xml:space="preserve">45.6±16.5</t>
  </si>
  <si>
    <t xml:space="preserve">36.4</t>
  </si>
  <si>
    <t xml:space="preserve">29.6±6.4</t>
  </si>
  <si>
    <t xml:space="preserve">18.5±16.2</t>
  </si>
  <si>
    <t xml:space="preserve">477.0±54.4</t>
  </si>
  <si>
    <t xml:space="preserve">388.7±81.8</t>
  </si>
  <si>
    <t xml:space="preserve">81.3±13.3</t>
  </si>
  <si>
    <t xml:space="preserve">16.5±16.0</t>
  </si>
  <si>
    <t xml:space="preserve">71.8±55.5</t>
  </si>
  <si>
    <t xml:space="preserve">7.2±5.3</t>
  </si>
  <si>
    <t xml:space="preserve">61.5±11.5</t>
  </si>
  <si>
    <t xml:space="preserve">13.1±8.7</t>
  </si>
  <si>
    <t xml:space="preserve">18.2±8.1</t>
  </si>
  <si>
    <t xml:space="preserve">sleep-disordered breathing</t>
  </si>
  <si>
    <t xml:space="preserve">DREAMT</t>
  </si>
  <si>
    <t xml:space="preserve">21-86</t>
  </si>
  <si>
    <t xml:space="preserve">56.2±16.6</t>
  </si>
  <si>
    <t xml:space="preserve">55.0</t>
  </si>
  <si>
    <t xml:space="preserve">33.7±8.6</t>
  </si>
  <si>
    <t xml:space="preserve">22.1±28.7</t>
  </si>
  <si>
    <t xml:space="preserve">37.7±25.7</t>
  </si>
  <si>
    <t xml:space="preserve">392.8±42.6</t>
  </si>
  <si>
    <t xml:space="preserve">299.1±75.5</t>
  </si>
  <si>
    <t xml:space="preserve">75.6±16.8</t>
  </si>
  <si>
    <t xml:space="preserve">22.9±22.1</t>
  </si>
  <si>
    <t xml:space="preserve">70.7±54.8</t>
  </si>
  <si>
    <t xml:space="preserve">15.4±11.5</t>
  </si>
  <si>
    <t xml:space="preserve">67.4±10.9</t>
  </si>
  <si>
    <t xml:space="preserve">4.2±7.4</t>
  </si>
  <si>
    <t xml:space="preserve">13.0±8.0</t>
  </si>
  <si>
    <t xml:space="preserve">sleep disorder</t>
  </si>
  <si>
    <t xml:space="preserve">https://proceedings.mlr.press/v248/wang24a.html</t>
  </si>
  <si>
    <t xml:space="preserve">10.13026/DZTC-DV77</t>
  </si>
  <si>
    <t xml:space="preserve">EESM17</t>
  </si>
  <si>
    <t xml:space="preserve">26-44</t>
  </si>
  <si>
    <t xml:space="preserve">33.3</t>
  </si>
  <si>
    <t xml:space="preserve">47.4±14.7</t>
  </si>
  <si>
    <t xml:space="preserve">19.5±8.9</t>
  </si>
  <si>
    <t xml:space="preserve">411.7±136.1</t>
  </si>
  <si>
    <t xml:space="preserve">341.1±122.3</t>
  </si>
  <si>
    <t xml:space="preserve">82.6±11.8</t>
  </si>
  <si>
    <t xml:space="preserve">11.4±24.5</t>
  </si>
  <si>
    <t xml:space="preserve">59.1±43.9</t>
  </si>
  <si>
    <t xml:space="preserve">9.3±4.8</t>
  </si>
  <si>
    <t xml:space="preserve">48.5±12.6</t>
  </si>
  <si>
    <t xml:space="preserve">18.7±9.8</t>
  </si>
  <si>
    <t xml:space="preserve">23.6±5.4</t>
  </si>
  <si>
    <t xml:space="preserve">normal, healthy population</t>
  </si>
  <si>
    <t xml:space="preserve">10.1186/s12938-017-0400-5</t>
  </si>
  <si>
    <t xml:space="preserve">10.18112/OPENNEURO.DS004348.V1.0.5</t>
  </si>
  <si>
    <t xml:space="preserve">EESM19</t>
  </si>
  <si>
    <t xml:space="preserve">AASM (80/200 have full PSG, therefore only those have scoring)</t>
  </si>
  <si>
    <t xml:space="preserve">23-36</t>
  </si>
  <si>
    <t xml:space="preserve">mean 25.9</t>
  </si>
  <si>
    <t xml:space="preserve">65.0</t>
  </si>
  <si>
    <t xml:space="preserve">&lt;=1</t>
  </si>
  <si>
    <t xml:space="preserve">445.2±55.8</t>
  </si>
  <si>
    <t xml:space="preserve">401.3±72.7</t>
  </si>
  <si>
    <t xml:space="preserve">90.3±12.1</t>
  </si>
  <si>
    <t xml:space="preserve">10.0±9.2</t>
  </si>
  <si>
    <t xml:space="preserve">17.8±24.4</t>
  </si>
  <si>
    <t xml:space="preserve">8.6±3.3</t>
  </si>
  <si>
    <t xml:space="preserve">49.8±7.1</t>
  </si>
  <si>
    <t xml:space="preserve">20.7±7.5</t>
  </si>
  <si>
    <t xml:space="preserve">20.9±4.4</t>
  </si>
  <si>
    <t xml:space="preserve">10.1038/s41598-019-53115-3</t>
  </si>
  <si>
    <t xml:space="preserve">10.18112/OPENNEURO.DS005185.V1.0.2</t>
  </si>
  <si>
    <t xml:space="preserve">EESM23</t>
  </si>
  <si>
    <t xml:space="preserve">AASM (20/140 have full PSG, therefore only those have scoring)</t>
  </si>
  <si>
    <t xml:space="preserve">22-35</t>
  </si>
  <si>
    <t xml:space="preserve">Mean 27.4</t>
  </si>
  <si>
    <t xml:space="preserve">40.0</t>
  </si>
  <si>
    <t xml:space="preserve">431.0±74.3</t>
  </si>
  <si>
    <t xml:space="preserve">374.4±73.8</t>
  </si>
  <si>
    <t xml:space="preserve">86.9±10.8</t>
  </si>
  <si>
    <t xml:space="preserve">14.6±17.3</t>
  </si>
  <si>
    <t xml:space="preserve">21.2±18.7</t>
  </si>
  <si>
    <t xml:space="preserve">9.3±3.6</t>
  </si>
  <si>
    <t xml:space="preserve">52.0±4.6</t>
  </si>
  <si>
    <t xml:space="preserve">17.2±5.9</t>
  </si>
  <si>
    <t xml:space="preserve">21.6±5.8</t>
  </si>
  <si>
    <t xml:space="preserve">10.1038/s41597-025-04579-8</t>
  </si>
  <si>
    <t xml:space="preserve">10.18112/OPENNEURO.DS005178.V1.0.0</t>
  </si>
  <si>
    <t xml:space="preserve">FDCSR</t>
  </si>
  <si>
    <t xml:space="preserve">53.6</t>
  </si>
  <si>
    <t xml:space="preserve">459.4±174.4</t>
  </si>
  <si>
    <t xml:space="preserve">193.6±216.3</t>
  </si>
  <si>
    <t xml:space="preserve">41.4±42.2</t>
  </si>
  <si>
    <t xml:space="preserve">210.4±237.1</t>
  </si>
  <si>
    <t xml:space="preserve">43.1±99.9</t>
  </si>
  <si>
    <t xml:space="preserve">19.4±30.0</t>
  </si>
  <si>
    <t xml:space="preserve">44.3±18.2</t>
  </si>
  <si>
    <t xml:space="preserve">15.6±12.3</t>
  </si>
  <si>
    <t xml:space="preserve">20.7±11.8</t>
  </si>
  <si>
    <t xml:space="preserve">Forced desynchrony on healthy adults</t>
  </si>
  <si>
    <t xml:space="preserve">10.1093/sleep/zsz032,10.1073/pnas.1706694115,10.1126/scitranslmed.3000458,10.1038/npp.2010.63 </t>
  </si>
  <si>
    <t xml:space="preserve">10.25822/CXJT-6585</t>
  </si>
  <si>
    <t xml:space="preserve">HEARTBEAT</t>
  </si>
  <si>
    <t xml:space="preserve">63±7.3</t>
  </si>
  <si>
    <t xml:space="preserve">26.4</t>
  </si>
  <si>
    <t xml:space="preserve">34.4±6.4</t>
  </si>
  <si>
    <t xml:space="preserve">25.1±8.4</t>
  </si>
  <si>
    <t xml:space="preserve">8.9±3.6</t>
  </si>
  <si>
    <t xml:space="preserve">5.5±5.0</t>
  </si>
  <si>
    <t xml:space="preserve">43.5±9.6</t>
  </si>
  <si>
    <t xml:space="preserve">50.7±11.2</t>
  </si>
  <si>
    <t xml:space="preserve">high-cardiovascular-risk population</t>
  </si>
  <si>
    <t xml:space="preserve">10.1056/NEJMoa1306766</t>
  </si>
  <si>
    <t xml:space="preserve">10.25822/NJZH-DK37</t>
  </si>
  <si>
    <t xml:space="preserve">HFO</t>
  </si>
  <si>
    <t xml:space="preserve">HMC</t>
  </si>
  <si>
    <t xml:space="preserve">53.9±15.4</t>
  </si>
  <si>
    <t xml:space="preserve">43.7</t>
  </si>
  <si>
    <t xml:space="preserve">14.6±16.9</t>
  </si>
  <si>
    <t xml:space="preserve">19.9±15.2</t>
  </si>
  <si>
    <t xml:space="preserve">453.9±74.2</t>
  </si>
  <si>
    <t xml:space="preserve">376.0±87.8</t>
  </si>
  <si>
    <t xml:space="preserve">82.9±14.0</t>
  </si>
  <si>
    <t xml:space="preserve">13.1±18.6</t>
  </si>
  <si>
    <t xml:space="preserve">64.8±56.4</t>
  </si>
  <si>
    <t xml:space="preserve">13.9±8.2</t>
  </si>
  <si>
    <t xml:space="preserve">44.0±8.6</t>
  </si>
  <si>
    <t xml:space="preserve">23.8±10.1</t>
  </si>
  <si>
    <t xml:space="preserve">18.3±6.2</t>
  </si>
  <si>
    <t xml:space="preserve">Clinical / heterogeneous: not a special-purpose cohort</t>
  </si>
  <si>
    <t xml:space="preserve">10.1371/journal.pone.0256111</t>
  </si>
  <si>
    <t xml:space="preserve">10.13026/T79Q-FR32</t>
  </si>
  <si>
    <t xml:space="preserve">HomePAP</t>
  </si>
  <si>
    <t xml:space="preserve">46.5±11.9</t>
  </si>
  <si>
    <t xml:space="preserve">36.7</t>
  </si>
  <si>
    <t xml:space="preserve">37.2±8.9</t>
  </si>
  <si>
    <t xml:space="preserve">27.1±27.7</t>
  </si>
  <si>
    <t xml:space="preserve">14.1±3.7</t>
  </si>
  <si>
    <t xml:space="preserve">45.5±9.8</t>
  </si>
  <si>
    <t xml:space="preserve">47.4±11.2</t>
  </si>
  <si>
    <t xml:space="preserve">16.2±3.0</t>
  </si>
  <si>
    <t xml:space="preserve">4.0±1.0</t>
  </si>
  <si>
    <t xml:space="preserve">459.5±69.0</t>
  </si>
  <si>
    <t xml:space="preserve">338.7±71.0</t>
  </si>
  <si>
    <t xml:space="preserve">74.1±13.9</t>
  </si>
  <si>
    <t xml:space="preserve">40.4±39.5</t>
  </si>
  <si>
    <t xml:space="preserve">80.5±53.9</t>
  </si>
  <si>
    <t xml:space="preserve">15.8±12.1</t>
  </si>
  <si>
    <t xml:space="preserve">52.1±13.3</t>
  </si>
  <si>
    <t xml:space="preserve">13.4±9.7</t>
  </si>
  <si>
    <t xml:space="preserve">18.7±8.3</t>
  </si>
  <si>
    <t xml:space="preserve">high-probability OSA population: high neck circumference and ESS &gt;=12</t>
  </si>
  <si>
    <t xml:space="preserve">10.5665/sleep.1870</t>
  </si>
  <si>
    <t xml:space="preserve">10.25822/XMWV-YZ91</t>
  </si>
  <si>
    <t xml:space="preserve">home</t>
  </si>
  <si>
    <t xml:space="preserve">lab</t>
  </si>
  <si>
    <t xml:space="preserve">126</t>
  </si>
  <si>
    <t xml:space="preserve">20-85</t>
  </si>
  <si>
    <t xml:space="preserve">49.6±16.4</t>
  </si>
  <si>
    <t xml:space="preserve">29.3±5.3*</t>
  </si>
  <si>
    <t xml:space="preserve">14.6±14.5</t>
  </si>
  <si>
    <t xml:space="preserve">16.9±9.1</t>
  </si>
  <si>
    <t xml:space="preserve">6.2±20.8</t>
  </si>
  <si>
    <t xml:space="preserve">443.8±30.7</t>
  </si>
  <si>
    <t xml:space="preserve">349.8±67.5</t>
  </si>
  <si>
    <t xml:space="preserve">78.8±14.1</t>
  </si>
  <si>
    <t xml:space="preserve">17.8±20.6</t>
  </si>
  <si>
    <t xml:space="preserve">69.5±45.6</t>
  </si>
  <si>
    <t xml:space="preserve">17.4±8.0</t>
  </si>
  <si>
    <t xml:space="preserve">40.4±10.0</t>
  </si>
  <si>
    <t xml:space="preserve">25.6±10.2</t>
  </si>
  <si>
    <t xml:space="preserve">16.6±6.9</t>
  </si>
  <si>
    <t xml:space="preserve">Clinical &amp; healthy patients</t>
  </si>
  <si>
    <t xml:space="preserve">10.1016/j.cmpb.2015.10.013</t>
  </si>
  <si>
    <t xml:space="preserve">https://sleeptight.isr.uc.pt/</t>
  </si>
  <si>
    <t xml:space="preserve">100</t>
  </si>
  <si>
    <t xml:space="preserve">mean 51</t>
  </si>
  <si>
    <t xml:space="preserve">29.5±5.5*</t>
  </si>
  <si>
    <t xml:space="preserve">15.8±15.1</t>
  </si>
  <si>
    <t xml:space="preserve">16.9±9.6</t>
  </si>
  <si>
    <t xml:space="preserve">7.2±23.1</t>
  </si>
  <si>
    <t xml:space="preserve">444.4±29.8</t>
  </si>
  <si>
    <t xml:space="preserve">345.7±68.9</t>
  </si>
  <si>
    <t xml:space="preserve">77.8±14.5</t>
  </si>
  <si>
    <t xml:space="preserve">19.9±22.4</t>
  </si>
  <si>
    <t xml:space="preserve">71.5±45.3</t>
  </si>
  <si>
    <t xml:space="preserve">17.1±7.7</t>
  </si>
  <si>
    <t xml:space="preserve">40.6±8.9</t>
  </si>
  <si>
    <t xml:space="preserve">25.7±10.2</t>
  </si>
  <si>
    <t xml:space="preserve">16.6±7.2</t>
  </si>
  <si>
    <t xml:space="preserve">adults w/ evidence of sleep disorder (mostly apnea)</t>
  </si>
  <si>
    <t xml:space="preserve">16</t>
  </si>
  <si>
    <t xml:space="preserve">26-79</t>
  </si>
  <si>
    <t xml:space="preserve">Mean 46.9</t>
  </si>
  <si>
    <t xml:space="preserve">29.4±5.7*</t>
  </si>
  <si>
    <t xml:space="preserve">12.2±13.6</t>
  </si>
  <si>
    <t xml:space="preserve">16.8±8.8</t>
  </si>
  <si>
    <t xml:space="preserve">1.6±5.7</t>
  </si>
  <si>
    <t xml:space="preserve">441.1±31.5</t>
  </si>
  <si>
    <t xml:space="preserve">372.7±69.1</t>
  </si>
  <si>
    <t xml:space="preserve">84.2±13.6</t>
  </si>
  <si>
    <t xml:space="preserve">7.5±4.7</t>
  </si>
  <si>
    <t xml:space="preserve">57.4±48.2</t>
  </si>
  <si>
    <t xml:space="preserve">19.2±10.3</t>
  </si>
  <si>
    <t xml:space="preserve">41.3±16.5</t>
  </si>
  <si>
    <t xml:space="preserve">22.3±10.8</t>
  </si>
  <si>
    <t xml:space="preserve">17.3±6.5</t>
  </si>
  <si>
    <t xml:space="preserve">patients with detected apnea</t>
  </si>
  <si>
    <t xml:space="preserve">10</t>
  </si>
  <si>
    <t xml:space="preserve">30-58</t>
  </si>
  <si>
    <t xml:space="preserve">mean 40</t>
  </si>
  <si>
    <t xml:space="preserve">27.1±1.8*</t>
  </si>
  <si>
    <t xml:space="preserve">7.3±4.5</t>
  </si>
  <si>
    <t xml:space="preserve">17.1±3.1</t>
  </si>
  <si>
    <t xml:space="preserve">3.2±4.5</t>
  </si>
  <si>
    <t xml:space="preserve">442.8±40.2</t>
  </si>
  <si>
    <t xml:space="preserve">353.6±45.4</t>
  </si>
  <si>
    <t xml:space="preserve">80.1±9.4</t>
  </si>
  <si>
    <t xml:space="preserve">12.4±7.1</t>
  </si>
  <si>
    <t xml:space="preserve">68.2±46.4</t>
  </si>
  <si>
    <t xml:space="preserve">17.7±7.2</t>
  </si>
  <si>
    <t xml:space="preserve">37.4±7.1</t>
  </si>
  <si>
    <t xml:space="preserve">28.9±8.8</t>
  </si>
  <si>
    <t xml:space="preserve">16.0±5.1</t>
  </si>
  <si>
    <t xml:space="preserve">MESA</t>
  </si>
  <si>
    <t xml:space="preserve">54-90</t>
  </si>
  <si>
    <t xml:space="preserve">69.6±9.2</t>
  </si>
  <si>
    <t xml:space="preserve">28.7±5.6</t>
  </si>
  <si>
    <t xml:space="preserve">24.1±19.6</t>
  </si>
  <si>
    <t xml:space="preserve">22.3±12.2</t>
  </si>
  <si>
    <t xml:space="preserve">8.8±19.7</t>
  </si>
  <si>
    <t xml:space="preserve">6.0±4.1</t>
  </si>
  <si>
    <t xml:space="preserve">17.3±3.8 (Modified Horne-Ostberg)</t>
  </si>
  <si>
    <t xml:space="preserve">7.4±4.5</t>
  </si>
  <si>
    <t xml:space="preserve">477.1±82.5</t>
  </si>
  <si>
    <t xml:space="preserve">359.8±82.6</t>
  </si>
  <si>
    <t xml:space="preserve">75.7±13.5</t>
  </si>
  <si>
    <t xml:space="preserve">45.5±41.4</t>
  </si>
  <si>
    <t xml:space="preserve">94.5±65.3</t>
  </si>
  <si>
    <t xml:space="preserve">14.4±9.2</t>
  </si>
  <si>
    <t xml:space="preserve">57.6±10.3</t>
  </si>
  <si>
    <t xml:space="preserve">10.0±9.0</t>
  </si>
  <si>
    <t xml:space="preserve">18.0±6.7</t>
  </si>
  <si>
    <t xml:space="preserve">free of clinically apparent CVD at enrollment</t>
  </si>
  <si>
    <t xml:space="preserve">10.5665/sleep.4732</t>
  </si>
  <si>
    <t xml:space="preserve">10.25822/N7HQ-C406</t>
  </si>
  <si>
    <t xml:space="preserve">microMeasAlert</t>
  </si>
  <si>
    <t xml:space="preserve">MIT-BIH</t>
  </si>
  <si>
    <t xml:space="preserve">32-56</t>
  </si>
  <si>
    <t xml:space="preserve">mean 43</t>
  </si>
  <si>
    <t xml:space="preserve">0</t>
  </si>
  <si>
    <t xml:space="preserve">weight: 89-152 (mean 119)kg</t>
  </si>
  <si>
    <t xml:space="preserve">41.6±24.8</t>
  </si>
  <si>
    <t xml:space="preserve">329.3±58.0</t>
  </si>
  <si>
    <t xml:space="preserve">216.9±67.7</t>
  </si>
  <si>
    <t xml:space="preserve">65.2±14.1</t>
  </si>
  <si>
    <t xml:space="preserve">11.4±14.9</t>
  </si>
  <si>
    <t xml:space="preserve">99.1±39.2</t>
  </si>
  <si>
    <t xml:space="preserve">29.1±24.0</t>
  </si>
  <si>
    <t xml:space="preserve">52.3±25.5</t>
  </si>
  <si>
    <t xml:space="preserve">10.8±10.0</t>
  </si>
  <si>
    <t xml:space="preserve">7.8±6.1</t>
  </si>
  <si>
    <t xml:space="preserve">moderate to severe sleep apnea</t>
  </si>
  <si>
    <t xml:space="preserve">10.1046/j.1440-1819.1999.00527.x</t>
  </si>
  <si>
    <t xml:space="preserve">10.13026/C23K5S</t>
  </si>
  <si>
    <t xml:space="preserve">MMASH</t>
  </si>
  <si>
    <t xml:space="preserve">MNC</t>
  </si>
  <si>
    <t xml:space="preserve">574.7±158.5</t>
  </si>
  <si>
    <t xml:space="preserve">384.6±84.6</t>
  </si>
  <si>
    <t xml:space="preserve">69.0±14.9</t>
  </si>
  <si>
    <t xml:space="preserve">96.0±91.4</t>
  </si>
  <si>
    <t xml:space="preserve">93.6±105.5</t>
  </si>
  <si>
    <t xml:space="preserve">11.7±9.4</t>
  </si>
  <si>
    <t xml:space="preserve">60.1±13.4</t>
  </si>
  <si>
    <t xml:space="preserve">11.2±10.3</t>
  </si>
  <si>
    <t xml:space="preserve">17.1±7.0</t>
  </si>
  <si>
    <t xml:space="preserve">10.1038/s41467-018-07229-3</t>
  </si>
  <si>
    <t xml:space="preserve">CNC (Chinese Narcolepsy Cohort)</t>
  </si>
  <si>
    <t xml:space="preserve">28.5±16.9</t>
  </si>
  <si>
    <t xml:space="preserve">48.7</t>
  </si>
  <si>
    <t xml:space="preserve">23.2±11.5</t>
  </si>
  <si>
    <t xml:space="preserve">511.2±66.5</t>
  </si>
  <si>
    <t xml:space="preserve">441.9±74.3</t>
  </si>
  <si>
    <t xml:space="preserve">86.2±10.4</t>
  </si>
  <si>
    <t xml:space="preserve">18.8±23.1</t>
  </si>
  <si>
    <t xml:space="preserve">50.4±46.4</t>
  </si>
  <si>
    <t xml:space="preserve">14.6±10.1</t>
  </si>
  <si>
    <t xml:space="preserve">44.0±11.2</t>
  </si>
  <si>
    <t xml:space="preserve">20.8±9.2</t>
  </si>
  <si>
    <t xml:space="preserve">20.6±7.9</t>
  </si>
  <si>
    <t xml:space="preserve">67 subjects diagnosed with T1N exhibiting clear-cut cataplexy (55 tested HLA-DQB1*06:02 positive), while the remaining 132 subjects are randomly selected population controls (15 HLA-DQB1*06:02 positive, 34 HLA negative, remaining unknown)</t>
  </si>
  <si>
    <t xml:space="preserve">10.5665/sleep.2080</t>
  </si>
  <si>
    <t xml:space="preserve">24.8±4.9</t>
  </si>
  <si>
    <t xml:space="preserve">50.0</t>
  </si>
  <si>
    <t xml:space="preserve">1010.9±174.0</t>
  </si>
  <si>
    <t xml:space="preserve">492.4±106.6</t>
  </si>
  <si>
    <t xml:space="preserve">50.4±14.5</t>
  </si>
  <si>
    <t xml:space="preserve">200.2±211.9</t>
  </si>
  <si>
    <t xml:space="preserve">318.1±202.4</t>
  </si>
  <si>
    <t xml:space="preserve">9.4±7.7</t>
  </si>
  <si>
    <t xml:space="preserve">48.9±10.4</t>
  </si>
  <si>
    <t xml:space="preserve">21.4±9.2</t>
  </si>
  <si>
    <t xml:space="preserve">20.3±6.1</t>
  </si>
  <si>
    <t xml:space="preserve"> healthy controls (19 subjects), patients with other sleep disorders and excessive daytime sleepiness (20 patients with CSF hypocretin-1 ≥110 pg/ml), narcolepsy type 2 (22 patients with CSF hypocretin-1 ≥110 pg/ml), and T1N (28 patients with CSF hypocretin-1 ≤110 pg/ml)</t>
  </si>
  <si>
    <t xml:space="preserve">10.1016/j.sleep.2016.10.016</t>
  </si>
  <si>
    <t xml:space="preserve">FHC</t>
  </si>
  <si>
    <t xml:space="preserve">24.4±8.1</t>
  </si>
  <si>
    <t xml:space="preserve">41.0</t>
  </si>
  <si>
    <t xml:space="preserve">IHC</t>
  </si>
  <si>
    <t xml:space="preserve">33.7±17.6</t>
  </si>
  <si>
    <t xml:space="preserve">43.3</t>
  </si>
  <si>
    <t xml:space="preserve">IS-RC</t>
  </si>
  <si>
    <t xml:space="preserve">32.9±9.2</t>
  </si>
  <si>
    <t xml:space="preserve">KHC</t>
  </si>
  <si>
    <t xml:space="preserve">24.1±4.3</t>
  </si>
  <si>
    <t xml:space="preserve">41.4</t>
  </si>
  <si>
    <t xml:space="preserve">23.9±6.5</t>
  </si>
  <si>
    <t xml:space="preserve">40.6</t>
  </si>
  <si>
    <t xml:space="preserve">534.0±63.6</t>
  </si>
  <si>
    <t xml:space="preserve">367.2±70.6</t>
  </si>
  <si>
    <t xml:space="preserve">69.2±12.9</t>
  </si>
  <si>
    <t xml:space="preserve">92.6±58.8</t>
  </si>
  <si>
    <t xml:space="preserve">73.7±53.2</t>
  </si>
  <si>
    <t xml:space="preserve">11.6±9.4</t>
  </si>
  <si>
    <t xml:space="preserve">62.9±12.0</t>
  </si>
  <si>
    <t xml:space="preserve">9.1±9.2</t>
  </si>
  <si>
    <t xml:space="preserve">16.4±6.8</t>
  </si>
  <si>
    <t xml:space="preserve">Motion and heart rate from a wrist-worn wearable</t>
  </si>
  <si>
    <t xml:space="preserve">MrOS</t>
  </si>
  <si>
    <t xml:space="preserve">67-90</t>
  </si>
  <si>
    <t xml:space="preserve">77.6 pm 5.6</t>
  </si>
  <si>
    <t xml:space="preserve">27.2±3.9</t>
  </si>
  <si>
    <t xml:space="preserve">18.3 pm 15.9</t>
  </si>
  <si>
    <t xml:space="preserve">23.3±12.0</t>
  </si>
  <si>
    <t xml:space="preserve">4.0±5.8</t>
  </si>
  <si>
    <t xml:space="preserve">6.4 pm 3.8</t>
  </si>
  <si>
    <t xml:space="preserve">18.7±1.7</t>
  </si>
  <si>
    <t xml:space="preserve">4.9±4.3</t>
  </si>
  <si>
    <t xml:space="preserve">5.6±3.2</t>
  </si>
  <si>
    <t xml:space="preserve">600.1 pm 90.8*</t>
  </si>
  <si>
    <t xml:space="preserve">351.8 pm 72.5</t>
  </si>
  <si>
    <t xml:space="preserve">59.3 pm 12.1*</t>
  </si>
  <si>
    <t xml:space="preserve">125.4 pm 74.5*</t>
  </si>
  <si>
    <t xml:space="preserve">122.9 pm 75.0*</t>
  </si>
  <si>
    <t xml:space="preserve">8.2 pm 6.5</t>
  </si>
  <si>
    <t xml:space="preserve">62.8 pm 10.8</t>
  </si>
  <si>
    <t xml:space="preserve">10.0 pm 8.8</t>
  </si>
  <si>
    <t xml:space="preserve">19.0 pm 7.0</t>
  </si>
  <si>
    <t xml:space="preserve">community-dwelling (not clinical) population</t>
  </si>
  <si>
    <t xml:space="preserve">10.1111/j.1532-5415.2011.03731.x</t>
  </si>
  <si>
    <t xml:space="preserve">10.25822/KC27-0425</t>
  </si>
  <si>
    <t xml:space="preserve">visit1</t>
  </si>
  <si>
    <t xml:space="preserve">2003-2005</t>
  </si>
  <si>
    <t xml:space="preserve">76.4±5.5</t>
  </si>
  <si>
    <t xml:space="preserve">6.2±3.7</t>
  </si>
  <si>
    <t xml:space="preserve">5.6 pm 3.3</t>
  </si>
  <si>
    <t xml:space="preserve">593.4 pm 86.8*</t>
  </si>
  <si>
    <t xml:space="preserve">355.0 pm 70.2</t>
  </si>
  <si>
    <t xml:space="preserve">60.4 pm 11.7*</t>
  </si>
  <si>
    <t xml:space="preserve">119.4 pm 69.7*</t>
  </si>
  <si>
    <t xml:space="preserve">119.0 pm 72.9*</t>
  </si>
  <si>
    <t xml:space="preserve">6.8 pm 4.6</t>
  </si>
  <si>
    <t xml:space="preserve">62.9 pm 10.4</t>
  </si>
  <si>
    <t xml:space="preserve">11.2 pm 9.1</t>
  </si>
  <si>
    <t xml:space="preserve">19.0 pm 6.8</t>
  </si>
  <si>
    <t xml:space="preserve">visit2</t>
  </si>
  <si>
    <t xml:space="preserve">2009-2012</t>
  </si>
  <si>
    <t xml:space="preserve">73-90</t>
  </si>
  <si>
    <t xml:space="preserve">81.0 pm 4.4</t>
  </si>
  <si>
    <t xml:space="preserve">6.9 pm 3.9</t>
  </si>
  <si>
    <t xml:space="preserve">5.5 pm 3.1</t>
  </si>
  <si>
    <t xml:space="preserve">619.1 pm 98.7*</t>
  </si>
  <si>
    <t xml:space="preserve">342.6 pm 78.0</t>
  </si>
  <si>
    <t xml:space="preserve">56.1 pm 12.9*</t>
  </si>
  <si>
    <t xml:space="preserve">142.4 pm 84.4*</t>
  </si>
  <si>
    <t xml:space="preserve">134.1 pm 79.6*</t>
  </si>
  <si>
    <t xml:space="preserve">12.2 pm 9.0</t>
  </si>
  <si>
    <t xml:space="preserve">62.4 pm 11.8</t>
  </si>
  <si>
    <t xml:space="preserve">6.6 pm 7.0</t>
  </si>
  <si>
    <t xml:space="preserve">18.8 pm 7.5</t>
  </si>
  <si>
    <t xml:space="preserve">MSP</t>
  </si>
  <si>
    <t xml:space="preserve">18-42</t>
  </si>
  <si>
    <t xml:space="preserve">26.9±5.9</t>
  </si>
  <si>
    <t xml:space="preserve">39.2±6.2</t>
  </si>
  <si>
    <t xml:space="preserve">5.9±10.6</t>
  </si>
  <si>
    <t xml:space="preserve">476.1±40.4</t>
  </si>
  <si>
    <t xml:space="preserve">343.6±74.7</t>
  </si>
  <si>
    <t xml:space="preserve">72.1±15.5</t>
  </si>
  <si>
    <t xml:space="preserve">46.0±48.1</t>
  </si>
  <si>
    <t xml:space="preserve">86.5±56.6</t>
  </si>
  <si>
    <t xml:space="preserve">6.9±4.6</t>
  </si>
  <si>
    <t xml:space="preserve">61.3±11.2</t>
  </si>
  <si>
    <t xml:space="preserve">16.9±9.5</t>
  </si>
  <si>
    <t xml:space="preserve">15.0±6.0</t>
  </si>
  <si>
    <t xml:space="preserve">pregnant women with obesity, BMI &gt;= 30</t>
  </si>
  <si>
    <t xml:space="preserve">10.1002/dev.22118,10.1016/j.ajog.2022.09.037</t>
  </si>
  <si>
    <t xml:space="preserve">10.25822/GC7Q-G526</t>
  </si>
  <si>
    <t xml:space="preserve">BERN (wake/sleep)</t>
  </si>
  <si>
    <t xml:space="preserve">18-81</t>
  </si>
  <si>
    <t xml:space="preserve">mean 45.6</t>
  </si>
  <si>
    <t xml:space="preserve">34.2</t>
  </si>
  <si>
    <t xml:space="preserve">36.5±7.7</t>
  </si>
  <si>
    <t xml:space="preserve">1.7±3.2</t>
  </si>
  <si>
    <t xml:space="preserve">6.3±12.0</t>
  </si>
  <si>
    <t xml:space="preserve">31.9±11.6</t>
  </si>
  <si>
    <t xml:space="preserve">2.9±5.3</t>
  </si>
  <si>
    <t xml:space="preserve">patients suspected of having excessive daytime sleepiness (EDS) who were undergoing routine MWT as part of their clinical workup. The suspected diagnoses spanned a wide range: sleep apnea, narcolepsy, idiopathic hypersomnia, non-organic hypersomnia, insomnia, EDS with unclear cause, excessive tiredness, and other conditions</t>
  </si>
  <si>
    <t xml:space="preserve">10.1093/sleep/zsz163,10.1093/sleep/zsz225</t>
  </si>
  <si>
    <t xml:space="preserve">10.5281/ZENODO.3251716</t>
  </si>
  <si>
    <t xml:space="preserve">0-58</t>
  </si>
  <si>
    <t xml:space="preserve">8.8±5.9</t>
  </si>
  <si>
    <t xml:space="preserve">22.7±9.9</t>
  </si>
  <si>
    <t xml:space="preserve">464.4 pm 60.2</t>
  </si>
  <si>
    <t xml:space="preserve">380.2 pm 85.8</t>
  </si>
  <si>
    <t xml:space="preserve">81.2 pm 16.4</t>
  </si>
  <si>
    <t xml:space="preserve">24.7 pm 32.9</t>
  </si>
  <si>
    <t xml:space="preserve">58.5 pm 58.3</t>
  </si>
  <si>
    <t xml:space="preserve">4.5 pm 4.5</t>
  </si>
  <si>
    <t xml:space="preserve">46.2 pm 13.5</t>
  </si>
  <si>
    <t xml:space="preserve">29.7 pm 11.9</t>
  </si>
  <si>
    <t xml:space="preserve">19.6 pm 8.5</t>
  </si>
  <si>
    <t xml:space="preserve">clinical population suspected of sleep-related problems</t>
  </si>
  <si>
    <t xml:space="preserve">10.1038/s41597-022-01545-6</t>
  </si>
  <si>
    <t xml:space="preserve">10.25822/JPDR-VZ50</t>
  </si>
  <si>
    <t xml:space="preserve">55±14.4</t>
  </si>
  <si>
    <t xml:space="preserve">35.0</t>
  </si>
  <si>
    <t xml:space="preserve">33.0±7.6</t>
  </si>
  <si>
    <t xml:space="preserve">19.0±14.4</t>
  </si>
  <si>
    <t xml:space="preserve">8.6±5.3</t>
  </si>
  <si>
    <t xml:space="preserve">450.6±43.3</t>
  </si>
  <si>
    <t xml:space="preserve">364. 0±69.0</t>
  </si>
  <si>
    <t xml:space="preserve">80.7±13.2</t>
  </si>
  <si>
    <t xml:space="preserve">21.7±23.4</t>
  </si>
  <si>
    <t xml:space="preserve">65.0±50.5</t>
  </si>
  <si>
    <t xml:space="preserve">19.8±14.3</t>
  </si>
  <si>
    <t xml:space="preserve">51.0±13.1</t>
  </si>
  <si>
    <t xml:space="preserve">13.9±9.9</t>
  </si>
  <si>
    <t xml:space="preserve">15.3±8.7</t>
  </si>
  <si>
    <t xml:space="preserve">10.22489/CinC.2018.049</t>
  </si>
  <si>
    <t xml:space="preserve">10.13026/1Q9B-GE17</t>
  </si>
  <si>
    <t xml:space="preserve">test</t>
  </si>
  <si>
    <t xml:space="preserve">55±14.3</t>
  </si>
  <si>
    <t xml:space="preserve">37.0</t>
  </si>
  <si>
    <t xml:space="preserve">33.0 pm 7.5</t>
  </si>
  <si>
    <t xml:space="preserve">19.0 pm 14.6</t>
  </si>
  <si>
    <t xml:space="preserve">8.5 pm 5.3</t>
  </si>
  <si>
    <t xml:space="preserve">training</t>
  </si>
  <si>
    <t xml:space="preserve">33.0</t>
  </si>
  <si>
    <t xml:space="preserve">33.0 pm 7.8</t>
  </si>
  <si>
    <t xml:space="preserve">18.9 pm 14.4</t>
  </si>
  <si>
    <t xml:space="preserve">8.7 pm 5.3</t>
  </si>
  <si>
    <t xml:space="preserve">PSG-IPA</t>
  </si>
  <si>
    <t xml:space="preserve">Mean 57</t>
  </si>
  <si>
    <t xml:space="preserve">1.1</t>
  </si>
  <si>
    <t xml:space="preserve">2.3</t>
  </si>
  <si>
    <t xml:space="preserve">458.6±96.2</t>
  </si>
  <si>
    <t xml:space="preserve">378.8±118.6</t>
  </si>
  <si>
    <t xml:space="preserve">82.5±17.6</t>
  </si>
  <si>
    <t xml:space="preserve">16.4±38.3</t>
  </si>
  <si>
    <t xml:space="preserve">63.4±47.9</t>
  </si>
  <si>
    <t xml:space="preserve">12.7±8.4</t>
  </si>
  <si>
    <t xml:space="preserve">41.2±9.3</t>
  </si>
  <si>
    <t xml:space="preserve">28.0±11.9</t>
  </si>
  <si>
    <t xml:space="preserve">18.0±4.4</t>
  </si>
  <si>
    <t xml:space="preserve">clinically relevant population with various sleep disorders</t>
  </si>
  <si>
    <t xml:space="preserve">10.1371/journal.pone.0275530</t>
  </si>
  <si>
    <t xml:space="preserve">10.13026/7kvm-qe34</t>
  </si>
  <si>
    <t xml:space="preserve">REDSD</t>
  </si>
  <si>
    <t xml:space="preserve">2019-2020</t>
  </si>
  <si>
    <t xml:space="preserve">17-23</t>
  </si>
  <si>
    <t xml:space="preserve">20.0±1.4</t>
  </si>
  <si>
    <t xml:space="preserve">47.9</t>
  </si>
  <si>
    <t xml:space="preserve">5.0±2.5</t>
  </si>
  <si>
    <t xml:space="preserve">Resting-state (eyes open, partially closed)</t>
  </si>
  <si>
    <t xml:space="preserve">10.1038/s41597-024-03268-2</t>
  </si>
  <si>
    <t xml:space="preserve">10.18112/openneuro.ds004902.v1.0.8</t>
  </si>
  <si>
    <t xml:space="preserve">Rodrigues2017</t>
  </si>
  <si>
    <t xml:space="preserve">19-44</t>
  </si>
  <si>
    <t xml:space="preserve">25.8 pm 5.3</t>
  </si>
  <si>
    <t xml:space="preserve">35%</t>
  </si>
  <si>
    <t xml:space="preserve">Resting-state (eyes open, eyes closed)</t>
  </si>
  <si>
    <t xml:space="preserve">https://hal.archives-ouvertes.fr/hal-02086581</t>
  </si>
  <si>
    <t xml:space="preserve">10.5281/zenodo.2348891</t>
  </si>
  <si>
    <t xml:space="preserve">SEF</t>
  </si>
  <si>
    <t xml:space="preserve">22.1±3.2</t>
  </si>
  <si>
    <t xml:space="preserve">48.5</t>
  </si>
  <si>
    <t xml:space="preserve">13.0±3.0</t>
  </si>
  <si>
    <t xml:space="preserve">6.9±5.6</t>
  </si>
  <si>
    <t xml:space="preserve">52.8±39.6</t>
  </si>
  <si>
    <t xml:space="preserve">4.8±5.8</t>
  </si>
  <si>
    <t xml:space="preserve">1.3±2.0</t>
  </si>
  <si>
    <t xml:space="preserve">71.5±32.7</t>
  </si>
  <si>
    <t xml:space="preserve">27.7±31.9</t>
  </si>
  <si>
    <t xml:space="preserve">0.7±7.5</t>
  </si>
  <si>
    <t xml:space="preserve">0.0±0.0</t>
  </si>
  <si>
    <t xml:space="preserve">healthy population</t>
  </si>
  <si>
    <t xml:space="preserve">10.1016/j.neuroimage.2022.119720</t>
  </si>
  <si>
    <t xml:space="preserve">10.18112/openneuro.ds003768.v1.0.13</t>
  </si>
  <si>
    <t xml:space="preserve">SIEFERT2024</t>
  </si>
  <si>
    <t xml:space="preserve">19-29</t>
  </si>
  <si>
    <t xml:space="preserve">20.8±2.5</t>
  </si>
  <si>
    <t xml:space="preserve">58.8</t>
  </si>
  <si>
    <t xml:space="preserve">10.1523/JNEUROSCI.0022-24.2024</t>
  </si>
  <si>
    <t xml:space="preserve">10.18112/openneuro.ds005121.v1.0.2</t>
  </si>
  <si>
    <t xml:space="preserve">39-90</t>
  </si>
  <si>
    <t xml:space="preserve">65.3 pm 11.2</t>
  </si>
  <si>
    <t xml:space="preserve">53.2</t>
  </si>
  <si>
    <t xml:space="preserve">28.2±5.1</t>
  </si>
  <si>
    <t xml:space="preserve">15.2±15.8</t>
  </si>
  <si>
    <t xml:space="preserve">19.0±10.6</t>
  </si>
  <si>
    <t xml:space="preserve">7.6±4.3</t>
  </si>
  <si>
    <t xml:space="preserve">46.7±10.3</t>
  </si>
  <si>
    <t xml:space="preserve">53.8±8.1</t>
  </si>
  <si>
    <t xml:space="preserve">11.5±0.8</t>
  </si>
  <si>
    <t xml:space="preserve">6.0±0.8</t>
  </si>
  <si>
    <t xml:space="preserve">497.6 pm 70.8</t>
  </si>
  <si>
    <t xml:space="preserve">361.6 pm 70.5</t>
  </si>
  <si>
    <t xml:space="preserve">72.9 pm 13.1</t>
  </si>
  <si>
    <t xml:space="preserve">42.8 pm 42.3</t>
  </si>
  <si>
    <t xml:space="preserve">93.2 pm 67.3</t>
  </si>
  <si>
    <t xml:space="preserve">5.5 pm 4.3</t>
  </si>
  <si>
    <t xml:space="preserve">57.8 pm 12.9</t>
  </si>
  <si>
    <t xml:space="preserve">17.0 pm 11.8</t>
  </si>
  <si>
    <t xml:space="preserve">19.7 pm 7.0</t>
  </si>
  <si>
    <t xml:space="preserve">community-based, general population cohort: Age-enriched, Snorer oversampling, Predominantly white, Prevalent CVD not excluded</t>
  </si>
  <si>
    <t xml:space="preserve">10.1093/sleep/20.12.1077</t>
  </si>
  <si>
    <t xml:space="preserve">10.25822/GHY8-KS59</t>
  </si>
  <si>
    <t xml:space="preserve">SHHS1</t>
  </si>
  <si>
    <t xml:space="preserve">1995-1998</t>
  </si>
  <si>
    <t xml:space="preserve">63.1±11.2</t>
  </si>
  <si>
    <t xml:space="preserve">52.3</t>
  </si>
  <si>
    <t xml:space="preserve">14.6 pm 15.6</t>
  </si>
  <si>
    <t xml:space="preserve">19.2 pm 10.7</t>
  </si>
  <si>
    <t xml:space="preserve">7.8 pm 4.4</t>
  </si>
  <si>
    <t xml:space="preserve">47.4 pm 9.9</t>
  </si>
  <si>
    <t xml:space="preserve">53.3 pm 8.2</t>
  </si>
  <si>
    <t xml:space="preserve">478.8 pm 60.4</t>
  </si>
  <si>
    <t xml:space="preserve">357.1 pm 69.9</t>
  </si>
  <si>
    <t xml:space="preserve">74.5 pm 12.7</t>
  </si>
  <si>
    <t xml:space="preserve">49.4 pm 43.6</t>
  </si>
  <si>
    <t xml:space="preserve">72.3 pm 51.9</t>
  </si>
  <si>
    <t xml:space="preserve">5.3 pm 4.1</t>
  </si>
  <si>
    <t xml:space="preserve">57.6 pm 13.3</t>
  </si>
  <si>
    <t xml:space="preserve">17.7 pm 12.1</t>
  </si>
  <si>
    <t xml:space="preserve">19.4 pm 7.0</t>
  </si>
  <si>
    <t xml:space="preserve">SHHS2</t>
  </si>
  <si>
    <t xml:space="preserve">2001-2003</t>
  </si>
  <si>
    <t xml:space="preserve">44-90</t>
  </si>
  <si>
    <t xml:space="preserve">68.3 pm 10.5</t>
  </si>
  <si>
    <t xml:space="preserve">54.4*</t>
  </si>
  <si>
    <t xml:space="preserve">28.3 pm 5.1</t>
  </si>
  <si>
    <t xml:space="preserve">16.5 pm 16.0</t>
  </si>
  <si>
    <t xml:space="preserve">18.4 pm 10.2</t>
  </si>
  <si>
    <t xml:space="preserve">45.7 pm 10.8</t>
  </si>
  <si>
    <t xml:space="preserve">54.5 pm 7.9</t>
  </si>
  <si>
    <t xml:space="preserve">538.5±74.4</t>
  </si>
  <si>
    <t xml:space="preserve">371. pm 70.7</t>
  </si>
  <si>
    <t xml:space="preserve">69.6 pm 13.2</t>
  </si>
  <si>
    <t xml:space="preserve">28.3 pm 35.0</t>
  </si>
  <si>
    <t xml:space="preserve">138.8 pm 74.4</t>
  </si>
  <si>
    <t xml:space="preserve">5.8 pm 4.8</t>
  </si>
  <si>
    <t xml:space="preserve">58.0 pm 11.9</t>
  </si>
  <si>
    <t xml:space="preserve">15.7 pm 11.0</t>
  </si>
  <si>
    <t xml:space="preserve">20.6 pm 6.9</t>
  </si>
  <si>
    <t xml:space="preserve">22-67</t>
  </si>
  <si>
    <t xml:space="preserve">44.2±15.4</t>
  </si>
  <si>
    <t xml:space="preserve">62.5</t>
  </si>
  <si>
    <t xml:space="preserve">27.1±5.9</t>
  </si>
  <si>
    <t xml:space="preserve">2.4±1.4</t>
  </si>
  <si>
    <t xml:space="preserve">19.7±22.7</t>
  </si>
  <si>
    <t xml:space="preserve">510.9±73.4</t>
  </si>
  <si>
    <t xml:space="preserve">408.4±84.8</t>
  </si>
  <si>
    <t xml:space="preserve">80.0±12.0</t>
  </si>
  <si>
    <t xml:space="preserve">33.6±38.4</t>
  </si>
  <si>
    <t xml:space="preserve">69.0±52.1</t>
  </si>
  <si>
    <t xml:space="preserve">6.4±3.4</t>
  </si>
  <si>
    <t xml:space="preserve">47.3±6.6</t>
  </si>
  <si>
    <t xml:space="preserve">22.9±6.2</t>
  </si>
  <si>
    <t xml:space="preserve">23.4±6.2</t>
  </si>
  <si>
    <t xml:space="preserve">clinical/patient population: Subjects were initially referred to a sleep medicine laboratory due to suspected sleep disorders, though those with confirmed sleep-disordered breathing (SDB) or Periodic Limb Movement Disorder (PLMD) were excluded.</t>
  </si>
  <si>
    <t xml:space="preserve">10.1109/EMBC.2016.7591321</t>
  </si>
  <si>
    <t xml:space="preserve">10.13026/C29H4K</t>
  </si>
  <si>
    <t xml:space="preserve">Sleep-EDFX</t>
  </si>
  <si>
    <t xml:space="preserve">1987-1991, 1994</t>
  </si>
  <si>
    <t xml:space="preserve">104</t>
  </si>
  <si>
    <t xml:space="preserve">25-101</t>
  </si>
  <si>
    <t xml:space="preserve">59±22</t>
  </si>
  <si>
    <t xml:space="preserve">51.6*</t>
  </si>
  <si>
    <t xml:space="preserve">516.8±127.7</t>
  </si>
  <si>
    <t xml:space="preserve">420.1±57.6</t>
  </si>
  <si>
    <t xml:space="preserve">84.0±14.4</t>
  </si>
  <si>
    <t xml:space="preserve">17.1±22.1</t>
  </si>
  <si>
    <t xml:space="preserve">78.6±114.3</t>
  </si>
  <si>
    <t xml:space="preserve">14.8±9.6</t>
  </si>
  <si>
    <t xml:space="preserve">53.1±10.7</t>
  </si>
  <si>
    <t xml:space="preserve">11.7±10.1</t>
  </si>
  <si>
    <t xml:space="preserve">20.4±6.8</t>
  </si>
  <si>
    <t xml:space="preserve">153 recordings of healthy caucasians, 44 recordings of subjects who have mild difficulty falling asleep (temazepam vs. Placebo)</t>
  </si>
  <si>
    <t xml:space="preserve">10.1109/10.867928</t>
  </si>
  <si>
    <t xml:space="preserve">10.13026/C2X676</t>
  </si>
  <si>
    <t xml:space="preserve">SC</t>
  </si>
  <si>
    <t xml:space="preserve">1987-1991</t>
  </si>
  <si>
    <t xml:space="preserve">82</t>
  </si>
  <si>
    <t xml:space="preserve">527.8±141.9</t>
  </si>
  <si>
    <t xml:space="preserve">415.9±59.8</t>
  </si>
  <si>
    <t xml:space="preserve">82.0±14.9</t>
  </si>
  <si>
    <t xml:space="preserve">17.7±24.6</t>
  </si>
  <si>
    <t xml:space="preserve">93.2±125.2</t>
  </si>
  <si>
    <t xml:space="preserve">16.2±10.0</t>
  </si>
  <si>
    <t xml:space="preserve">53.5±10.9</t>
  </si>
  <si>
    <t xml:space="preserve">10.2±9.8</t>
  </si>
  <si>
    <t xml:space="preserve">20.1±7.0</t>
  </si>
  <si>
    <t xml:space="preserve">healthy caucasians</t>
  </si>
  <si>
    <t xml:space="preserve">ST</t>
  </si>
  <si>
    <t xml:space="preserve">478.5±34.3</t>
  </si>
  <si>
    <t xml:space="preserve">434.9±47.0</t>
  </si>
  <si>
    <t xml:space="preserve">90.8±6.6</t>
  </si>
  <si>
    <t xml:space="preserve">15.0±9.7</t>
  </si>
  <si>
    <t xml:space="preserve">27.7±25.8</t>
  </si>
  <si>
    <t xml:space="preserve">9.8±5.9</t>
  </si>
  <si>
    <t xml:space="preserve">51.7±10.0</t>
  </si>
  <si>
    <t xml:space="preserve">16.9±9.4</t>
  </si>
  <si>
    <t xml:space="preserve">21.6±5.9</t>
  </si>
  <si>
    <t xml:space="preserve">subjects who have mild difficulty falling asleep (temazepam vs. Placebo)</t>
  </si>
  <si>
    <t xml:space="preserve">SOF</t>
  </si>
  <si>
    <t xml:space="preserve">65-89</t>
  </si>
  <si>
    <t xml:space="preserve">82.8±3.4</t>
  </si>
  <si>
    <t xml:space="preserve">27.7±4.6</t>
  </si>
  <si>
    <t xml:space="preserve">16.3±13.9</t>
  </si>
  <si>
    <t xml:space="preserve">20.7±12.0</t>
  </si>
  <si>
    <t xml:space="preserve">28.5±31.9</t>
  </si>
  <si>
    <t xml:space="preserve">469.3±80.3</t>
  </si>
  <si>
    <t xml:space="preserve">347.4±76.5</t>
  </si>
  <si>
    <t xml:space="preserve">74.3±13.2</t>
  </si>
  <si>
    <t xml:space="preserve">103.7±72.8</t>
  </si>
  <si>
    <t xml:space="preserve">5.3±3.8</t>
  </si>
  <si>
    <t xml:space="preserve">56.0±13.1</t>
  </si>
  <si>
    <t xml:space="preserve">20.6±12.6</t>
  </si>
  <si>
    <t xml:space="preserve">18.2±7.4</t>
  </si>
  <si>
    <t xml:space="preserve">community-dwelling older women</t>
  </si>
  <si>
    <t xml:space="preserve">10.1111/j.1532-5415.2007.01506.x</t>
  </si>
  <si>
    <t xml:space="preserve">10.25822/e1cf-rx65</t>
  </si>
  <si>
    <t xml:space="preserve">STAGES (check for subgroups)</t>
  </si>
  <si>
    <t xml:space="preserve">2018-2019</t>
  </si>
  <si>
    <t xml:space="preserve">13-84</t>
  </si>
  <si>
    <t xml:space="preserve">45.9±15.2</t>
  </si>
  <si>
    <t xml:space="preserve">53.4*</t>
  </si>
  <si>
    <t xml:space="preserve">31.3±8.9</t>
  </si>
  <si>
    <t xml:space="preserve">8.6±5.4</t>
  </si>
  <si>
    <t xml:space="preserve">7.1±5.8</t>
  </si>
  <si>
    <t xml:space="preserve">34.4±15.9</t>
  </si>
  <si>
    <t xml:space="preserve">14.5±4.0 (Horne-Ostberg)</t>
  </si>
  <si>
    <t xml:space="preserve">5.2±5.4</t>
  </si>
  <si>
    <t xml:space="preserve">14.5±7.9</t>
  </si>
  <si>
    <t xml:space="preserve">13.4±6.4</t>
  </si>
  <si>
    <t xml:space="preserve">424.4±123.6</t>
  </si>
  <si>
    <t xml:space="preserve">315.2±129.5</t>
  </si>
  <si>
    <t xml:space="preserve">73.6±22.4</t>
  </si>
  <si>
    <t xml:space="preserve">38.3±69.5</t>
  </si>
  <si>
    <t xml:space="preserve">69.3±79.4</t>
  </si>
  <si>
    <t xml:space="preserve">13.3±12.9</t>
  </si>
  <si>
    <t xml:space="preserve">58.2±18.1</t>
  </si>
  <si>
    <t xml:space="preserve">10.0±10.6</t>
  </si>
  <si>
    <t xml:space="preserve">18.5±14.2</t>
  </si>
  <si>
    <t xml:space="preserve">special/clinical population: adult and adolescent patients who were evaluated for sleep disorders at sleep clinics, making it a help-seeking clinical cohort rather than a population-based or healthy control sample</t>
  </si>
  <si>
    <t xml:space="preserve">10.1093/sleep/zsz067.321</t>
  </si>
  <si>
    <t xml:space="preserve">10.25822/ME0D-XS45</t>
  </si>
  <si>
    <t xml:space="preserve">28-68</t>
  </si>
  <si>
    <t xml:space="preserve">50±9.6</t>
  </si>
  <si>
    <t xml:space="preserve">16.0</t>
  </si>
  <si>
    <t xml:space="preserve">31.6±4.0</t>
  </si>
  <si>
    <t xml:space="preserve">24.2±20.3</t>
  </si>
  <si>
    <t xml:space="preserve">11.2±6.2</t>
  </si>
  <si>
    <t xml:space="preserve">408.9±31.4</t>
  </si>
  <si>
    <t xml:space="preserve">321.3±56.5</t>
  </si>
  <si>
    <t xml:space="preserve">78.3±10.9</t>
  </si>
  <si>
    <t xml:space="preserve">27.2±22.3</t>
  </si>
  <si>
    <t xml:space="preserve">60.1±37.4</t>
  </si>
  <si>
    <t xml:space="preserve">22.0±14.5</t>
  </si>
  <si>
    <t xml:space="preserve">43.4±13.1</t>
  </si>
  <si>
    <t xml:space="preserve">16.6±8.4</t>
  </si>
  <si>
    <t xml:space="preserve">18.1±8.2</t>
  </si>
  <si>
    <t xml:space="preserve">suspected sleep-disordered breathing</t>
  </si>
  <si>
    <t xml:space="preserve">10.13026/C26C7D</t>
  </si>
  <si>
    <t xml:space="preserve">UCSD</t>
  </si>
  <si>
    <t xml:space="preserve">Mean 23.2</t>
  </si>
  <si>
    <t xml:space="preserve">78.9</t>
  </si>
  <si>
    <t xml:space="preserve">31-69</t>
  </si>
  <si>
    <t xml:space="preserve">518.6±51.9</t>
  </si>
  <si>
    <t xml:space="preserve">434.3±65.6</t>
  </si>
  <si>
    <t xml:space="preserve">83.9±10.6</t>
  </si>
  <si>
    <t xml:space="preserve">31.1±21.8</t>
  </si>
  <si>
    <t xml:space="preserve">50.7±40.0</t>
  </si>
  <si>
    <t xml:space="preserve">10.0±7.2</t>
  </si>
  <si>
    <t xml:space="preserve">46.2±8.4</t>
  </si>
  <si>
    <t xml:space="preserve">23.0±6.4</t>
  </si>
  <si>
    <t xml:space="preserve">20.9±6.2</t>
  </si>
  <si>
    <t xml:space="preserve">healthy population for device validation</t>
  </si>
  <si>
    <t xml:space="preserve">10.3389/frsle.2024.1349537</t>
  </si>
  <si>
    <t xml:space="preserve">10.18112/openneuro.ds006695.v1.0.2</t>
  </si>
  <si>
    <t xml:space="preserve">AASM? Ich vermute R&amp;K</t>
  </si>
  <si>
    <t xml:space="preserve">mailed survey</t>
  </si>
  <si>
    <t xml:space="preserve">29-72</t>
  </si>
  <si>
    <t xml:space="preserve">48.3±8.6</t>
  </si>
  <si>
    <t xml:space="preserve">45.7</t>
  </si>
  <si>
    <t xml:space="preserve">visit 1</t>
  </si>
  <si>
    <t xml:space="preserve">2000-2002</t>
  </si>
  <si>
    <t xml:space="preserve">37-82</t>
  </si>
  <si>
    <t xml:space="preserve">56.4±8.1</t>
  </si>
  <si>
    <t xml:space="preserve">45.9</t>
  </si>
  <si>
    <t xml:space="preserve">31.7±7.1</t>
  </si>
  <si>
    <t xml:space="preserve">19.6±18.9</t>
  </si>
  <si>
    <t xml:space="preserve">8.9±4.3</t>
  </si>
  <si>
    <t xml:space="preserve">61.6±9.8 (Modified Horne-Ostberg)</t>
  </si>
  <si>
    <t xml:space="preserve">40.3±8.4</t>
  </si>
  <si>
    <t xml:space="preserve">370.4±59.2</t>
  </si>
  <si>
    <t xml:space="preserve">80.3±10.2</t>
  </si>
  <si>
    <t xml:space="preserve">14.2±15.7</t>
  </si>
  <si>
    <t xml:space="preserve">70.5±41.5</t>
  </si>
  <si>
    <t xml:space="preserve">10.0±6.3</t>
  </si>
  <si>
    <t xml:space="preserve">68.9±8.5</t>
  </si>
  <si>
    <t xml:space="preserve">4.6±6.1</t>
  </si>
  <si>
    <t xml:space="preserve">16.5±6.0</t>
  </si>
  <si>
    <t xml:space="preserve">visit 2</t>
  </si>
  <si>
    <t xml:space="preserve">2001-2015</t>
  </si>
  <si>
    <t xml:space="preserve">40-81</t>
  </si>
  <si>
    <t xml:space="preserve">60.1±7.5</t>
  </si>
  <si>
    <t xml:space="preserve">46.3</t>
  </si>
  <si>
    <t xml:space="preserve">31.8±7.3</t>
  </si>
  <si>
    <t xml:space="preserve">20.9±18.6</t>
  </si>
  <si>
    <t xml:space="preserve">8.6±4.1</t>
  </si>
  <si>
    <t xml:space="preserve">62.4±9.5 (Modified Horne-Ostberg)</t>
  </si>
  <si>
    <t xml:space="preserve">39.4±8.1</t>
  </si>
  <si>
    <t xml:space="preserve">360.5±58.7</t>
  </si>
  <si>
    <t xml:space="preserve">80.2±10.7</t>
  </si>
  <si>
    <t xml:space="preserve">12.2±15.0</t>
  </si>
  <si>
    <t xml:space="preserve">70.7±42.6</t>
  </si>
  <si>
    <t xml:space="preserve">10.3±5.8</t>
  </si>
  <si>
    <t xml:space="preserve">63.1±9.3</t>
  </si>
  <si>
    <t xml:space="preserve">10.3±8.4</t>
  </si>
  <si>
    <t xml:space="preserve">16.3±6.2</t>
  </si>
  <si>
    <t xml:space="preserve">visit 3</t>
  </si>
  <si>
    <t xml:space="preserve">2004-2015</t>
  </si>
  <si>
    <t xml:space="preserve">44-81</t>
  </si>
  <si>
    <t xml:space="preserve">64.3±7.1</t>
  </si>
  <si>
    <t xml:space="preserve">31.7±7.4</t>
  </si>
  <si>
    <t xml:space="preserve">19.8±18.4</t>
  </si>
  <si>
    <t xml:space="preserve">63.0±9.6 (Modified Horne-Ostberg)</t>
  </si>
  <si>
    <t xml:space="preserve">39.1±7.8</t>
  </si>
  <si>
    <t xml:space="preserve">366.7±57.4</t>
  </si>
  <si>
    <t xml:space="preserve">79.2±10.4</t>
  </si>
  <si>
    <t xml:space="preserve">15.4±17.3</t>
  </si>
  <si>
    <t xml:space="preserve">79.9±44.5</t>
  </si>
  <si>
    <t xml:space="preserve">11.5±6.5</t>
  </si>
  <si>
    <t xml:space="preserve">64.0±8.8</t>
  </si>
  <si>
    <t xml:space="preserve">9.2±8.1</t>
  </si>
  <si>
    <t xml:space="preserve">15.3±6.1</t>
  </si>
  <si>
    <t xml:space="preserve">visit 4</t>
  </si>
  <si>
    <t xml:space="preserve">2011-2015</t>
  </si>
  <si>
    <t xml:space="preserve">49-85</t>
  </si>
  <si>
    <t xml:space="preserve">68.4±7.1</t>
  </si>
  <si>
    <t xml:space="preserve">44.6</t>
  </si>
  <si>
    <t xml:space="preserve">30.6±6.6</t>
  </si>
  <si>
    <t xml:space="preserve">19.6±17.2</t>
  </si>
  <si>
    <t xml:space="preserve">7.1±37</t>
  </si>
  <si>
    <t xml:space="preserve">63.9±8.4 (Modified Horne-Ostberg)</t>
  </si>
  <si>
    <t xml:space="preserve">39.6±8.1</t>
  </si>
  <si>
    <t xml:space="preserve">382.9±63.2</t>
  </si>
  <si>
    <t xml:space="preserve">79.8±10.4</t>
  </si>
  <si>
    <t xml:space="preserve">17.5±19.8</t>
  </si>
  <si>
    <t xml:space="preserve">79.2±44.9</t>
  </si>
  <si>
    <t xml:space="preserve">11.9±7.4</t>
  </si>
  <si>
    <t xml:space="preserve">63.8±8.8</t>
  </si>
  <si>
    <t xml:space="preserve">9.3±9.0</t>
  </si>
  <si>
    <t xml:space="preserve">15.0±5.8</t>
  </si>
  <si>
    <t xml:space="preserve">visit 5</t>
  </si>
  <si>
    <t xml:space="preserve">75-76</t>
  </si>
  <si>
    <t xml:space="preserve">75.5±0.7</t>
  </si>
  <si>
    <t xml:space="preserve">31.3±5.7</t>
  </si>
  <si>
    <t xml:space="preserve">15.5±3.2</t>
  </si>
  <si>
    <t xml:space="preserve">8.5±4.9</t>
  </si>
  <si>
    <t xml:space="preserve">65.0±8.5 (Modified Horne-Ostberg)</t>
  </si>
  <si>
    <t xml:space="preserve">38.1±11.5</t>
  </si>
  <si>
    <t xml:space="preserve">422.3±8.8</t>
  </si>
  <si>
    <t xml:space="preserve">79.3±8.9</t>
  </si>
  <si>
    <t xml:space="preserve">15.3±2.5</t>
  </si>
  <si>
    <t xml:space="preserve">98.9±65.0</t>
  </si>
  <si>
    <t xml:space="preserve">6.1±2.8</t>
  </si>
  <si>
    <t xml:space="preserve">67.6±1.9</t>
  </si>
  <si>
    <t xml:space="preserve">10.6±14.7</t>
  </si>
  <si>
    <t xml:space="preserve">15.8±9.9</t>
  </si>
  <si>
    <t xml:space="preserve">Helper</t>
  </si>
  <si>
    <t xml:space="preserve">N</t>
  </si>
  <si>
    <t xml:space="preserve">stdev</t>
  </si>
  <si>
    <t xml:space="preserve">Mean of means</t>
  </si>
  <si>
    <t xml:space="preserve">stdev of stdev</t>
  </si>
  <si>
    <t xml:space="preserve">gender (m/f)</t>
  </si>
  <si>
    <t xml:space="preserve">FSS</t>
  </si>
  <si>
    <t xml:space="preserve">MEQ</t>
  </si>
  <si>
    <t xml:space="preserve">GAD-7</t>
  </si>
  <si>
    <t xml:space="preserve">FOSQ</t>
  </si>
  <si>
    <t xml:space="preserve">WHIIRS</t>
  </si>
  <si>
    <t xml:space="preserve">SAQLI</t>
  </si>
  <si>
    <t xml:space="preserve">Zung</t>
  </si>
  <si>
    <t xml:space="preserve">27-65 (48.8±9.9)</t>
  </si>
  <si>
    <t xml:space="preserve">28/21</t>
  </si>
  <si>
    <t xml:space="preserve">49.8±27.6</t>
  </si>
  <si>
    <t xml:space="preserve">&lt;30</t>
  </si>
  <si>
    <t xml:space="preserve">&lt;= 15</t>
  </si>
  <si>
    <t xml:space="preserve">13-90 (45.7±13.6)</t>
  </si>
  <si>
    <t xml:space="preserve">18-84 (50.1±12.9)</t>
  </si>
  <si>
    <t xml:space="preserve">46-77 (64.3±7.4)</t>
  </si>
  <si>
    <t xml:space="preserve">18-82 (42.0±19.0)</t>
  </si>
  <si>
    <t xml:space="preserve">52/76</t>
  </si>
  <si>
    <t xml:space="preserve">14-82 (49.2±19.7)</t>
  </si>
  <si>
    <t xml:space="preserve">66/42</t>
  </si>
  <si>
    <t xml:space="preserve">16-19 (17.7±0.4)</t>
  </si>
  <si>
    <t xml:space="preserve">261/256</t>
  </si>
  <si>
    <t xml:space="preserve">7-89 (43.3±19.9)</t>
  </si>
  <si>
    <t xml:space="preserve">5-10.5 (7.3±1.4)</t>
  </si>
  <si>
    <t xml:space="preserve">219/234</t>
  </si>
  <si>
    <t xml:space="preserve">7.8±5.9</t>
  </si>
  <si>
    <t xml:space="preserve">2.0±3.8</t>
  </si>
  <si>
    <t xml:space="preserve">531.0±37.0</t>
  </si>
  <si>
    <t xml:space="preserve">456.1±53.3</t>
  </si>
  <si>
    <t xml:space="preserve">86.0±8.6</t>
  </si>
  <si>
    <t xml:space="preserve">27.0±26.3</t>
  </si>
  <si>
    <t xml:space="preserve">47.9±41.8</t>
  </si>
  <si>
    <t xml:space="preserve">41.4±7.7</t>
  </si>
  <si>
    <t xml:space="preserve">31.6±7.4</t>
  </si>
  <si>
    <t xml:space="preserve">45/17</t>
  </si>
  <si>
    <t xml:space="preserve">16/9</t>
  </si>
  <si>
    <t xml:space="preserve">21-86 (56.2±16.6)</t>
  </si>
  <si>
    <t xml:space="preserve">45/55</t>
  </si>
  <si>
    <t xml:space="preserve">6/3</t>
  </si>
  <si>
    <t xml:space="preserve">7/13</t>
  </si>
  <si>
    <t xml:space="preserve">6/4</t>
  </si>
  <si>
    <t xml:space="preserve">45-76 (63±7.3)</t>
  </si>
  <si>
    <t xml:space="preserve">255/148</t>
  </si>
  <si>
    <t xml:space="preserve">20-85 (49.6±16.4)</t>
  </si>
  <si>
    <t xml:space="preserve">70/48</t>
  </si>
  <si>
    <t xml:space="preserve">29.3±5.3</t>
  </si>
  <si>
    <t xml:space="preserve">29.5±5.5</t>
  </si>
  <si>
    <t xml:space="preserve">29.4±5.7</t>
  </si>
  <si>
    <t xml:space="preserve"> 30-58</t>
  </si>
  <si>
    <t xml:space="preserve">27.1±1.8</t>
  </si>
  <si>
    <t xml:space="preserve">54-90 (69.6±9.2)</t>
  </si>
  <si>
    <t xml:space="preserve">17.3±3.8</t>
  </si>
  <si>
    <t xml:space="preserve">16/0</t>
  </si>
  <si>
    <t xml:space="preserve">102/97</t>
  </si>
  <si>
    <t xml:space="preserve">59% male</t>
  </si>
  <si>
    <t xml:space="preserve">56.7 male</t>
  </si>
  <si>
    <t xml:space="preserve">0% male</t>
  </si>
  <si>
    <t xml:space="preserve">58.6% male</t>
  </si>
  <si>
    <t xml:space="preserve">67-90 (76.4±5.5)</t>
  </si>
  <si>
    <t xml:space="preserve">21.1±16.4</t>
  </si>
  <si>
    <t xml:space="preserve">23.3±12.2</t>
  </si>
  <si>
    <t xml:space="preserve">355.5±69.4</t>
  </si>
  <si>
    <t xml:space="preserve">76.0±12.0</t>
  </si>
  <si>
    <t xml:space="preserve">115.5±66.7</t>
  </si>
  <si>
    <t xml:space="preserve">7±4</t>
  </si>
  <si>
    <t xml:space="preserve">63±10</t>
  </si>
  <si>
    <t xml:space="preserve">11±9</t>
  </si>
  <si>
    <t xml:space="preserve">19±6</t>
  </si>
  <si>
    <t xml:space="preserve">18-42 (26.9±5.9)</t>
  </si>
  <si>
    <t xml:space="preserve">0-58 (8.8±5.9)</t>
  </si>
  <si>
    <t xml:space="preserve">2068/1604</t>
  </si>
  <si>
    <t xml:space="preserve">450±54</t>
  </si>
  <si>
    <t xml:space="preserve">33±7.6</t>
  </si>
  <si>
    <t xml:space="preserve">19±14.4</t>
  </si>
  <si>
    <t xml:space="preserve">462.2±39.6</t>
  </si>
  <si>
    <t xml:space="preserve">78.7±13.3</t>
  </si>
  <si>
    <t xml:space="preserve">65.3±50.5</t>
  </si>
  <si>
    <t xml:space="preserve">57</t>
  </si>
  <si>
    <t xml:space="preserve">12/8</t>
  </si>
  <si>
    <t xml:space="preserve">17-23 (20.0±1.4)</t>
  </si>
  <si>
    <t xml:space="preserve">37/34</t>
  </si>
  <si>
    <t xml:space="preserve">17/16</t>
  </si>
  <si>
    <t xml:space="preserve">18-29 (20.8±2.5)</t>
  </si>
  <si>
    <t xml:space="preserve">14/20</t>
  </si>
  <si>
    <t xml:space="preserve">5793 + 2651</t>
  </si>
  <si>
    <t xml:space="preserve">39-90 (63.1±11.2)</t>
  </si>
  <si>
    <t xml:space="preserve">2765/3039 + 1861/2219 (visit 2: 231 sex not reported)</t>
  </si>
  <si>
    <t xml:space="preserve">15.4±15.8</t>
  </si>
  <si>
    <t xml:space="preserve">47.9±10.3</t>
  </si>
  <si>
    <t xml:space="preserve">451.6±66.9</t>
  </si>
  <si>
    <t xml:space="preserve">365.7±67.0</t>
  </si>
  <si>
    <t xml:space="preserve">81.3±11.2</t>
  </si>
  <si>
    <t xml:space="preserve">16.7±24.2</t>
  </si>
  <si>
    <t xml:space="preserve">69.2±49.7</t>
  </si>
  <si>
    <t xml:space="preserve">5.6±3.9</t>
  </si>
  <si>
    <t xml:space="preserve">57.0±11.5</t>
  </si>
  <si>
    <t xml:space="preserve">17.3±11.6</t>
  </si>
  <si>
    <t xml:space="preserve">20.2±6.4</t>
  </si>
  <si>
    <t xml:space="preserve">Visit 1</t>
  </si>
  <si>
    <t xml:space="preserve">Visit 2</t>
  </si>
  <si>
    <t xml:space="preserve">22-67 (44.2±15.4)</t>
  </si>
  <si>
    <t xml:space="preserve">25-101 (59±22)</t>
  </si>
  <si>
    <t xml:space="preserve">59/63</t>
  </si>
  <si>
    <t xml:space="preserve">65-89 (82.8±3.4)</t>
  </si>
  <si>
    <t xml:space="preserve">13-84 (45.9±15.2)</t>
  </si>
  <si>
    <t xml:space="preserve">824/944 (gender info not available for all)</t>
  </si>
  <si>
    <t xml:space="preserve">14.5±4.0</t>
  </si>
  <si>
    <t xml:space="preserve">28-68 (50±9.6)</t>
  </si>
  <si>
    <t xml:space="preserve">23.2</t>
  </si>
  <si>
    <t xml:space="preserve">4/15</t>
  </si>
  <si>
    <t xml:space="preserve"> R&amp;K</t>
  </si>
  <si>
    <t xml:space="preserve">29-72 (48.3±8.6)</t>
  </si>
  <si>
    <t xml:space="preserve">1730/1457</t>
  </si>
  <si>
    <t xml:space="preserve">37-82 (56.4±8.1)</t>
  </si>
  <si>
    <t xml:space="preserve">61.6±9.8</t>
  </si>
  <si>
    <t xml:space="preserve">40-81 (60.1±7.5)</t>
  </si>
  <si>
    <t xml:space="preserve">406/352</t>
  </si>
  <si>
    <t xml:space="preserve">62.4±9.5</t>
  </si>
  <si>
    <t xml:space="preserve">44-81 (64.3±7.1)</t>
  </si>
  <si>
    <t xml:space="preserve">304/262</t>
  </si>
  <si>
    <t xml:space="preserve">63.0±9.6</t>
  </si>
  <si>
    <t xml:space="preserve">49-85 (68.4±7.1)</t>
  </si>
  <si>
    <t xml:space="preserve">67/54</t>
  </si>
  <si>
    <t xml:space="preserve">63.9±8.4</t>
  </si>
  <si>
    <t xml:space="preserve">75-76 (75.5±0.7)</t>
  </si>
  <si>
    <t xml:space="preserve">0/2</t>
  </si>
  <si>
    <t xml:space="preserve">65.0±8.5</t>
  </si>
  <si>
    <t xml:space="preserve">Neurophysiology</t>
  </si>
  <si>
    <t xml:space="preserve">Cardiology</t>
  </si>
  <si>
    <t xml:space="preserve">Respiratory Effort</t>
  </si>
  <si>
    <t xml:space="preserve">Oxygenation</t>
  </si>
  <si>
    <t xml:space="preserve">Behavioural / Environmental</t>
  </si>
  <si>
    <t xml:space="preserve">Therapy</t>
  </si>
  <si>
    <t xml:space="preserve">EOG</t>
  </si>
  <si>
    <t xml:space="preserve">EMG chin</t>
  </si>
  <si>
    <t xml:space="preserve">PPG (pulse oxi/pleth)</t>
  </si>
  <si>
    <t xml:space="preserve">Nasal pressure</t>
  </si>
  <si>
    <t xml:space="preserve">Thermistor/airflow</t>
  </si>
  <si>
    <t xml:space="preserve">RIP belts (abd/tho)</t>
  </si>
  <si>
    <t xml:space="preserve">Esophageal pressure / Pes (invasive respiratory effort)</t>
  </si>
  <si>
    <t xml:space="preserve">EtCO2/TcCO2</t>
  </si>
  <si>
    <t xml:space="preserve">Oximetry-derived indices</t>
  </si>
  <si>
    <t xml:space="preserve">EMG leg/arms</t>
  </si>
  <si>
    <t xml:space="preserve">body core temperature</t>
  </si>
  <si>
    <t xml:space="preserve">actigraphy</t>
  </si>
  <si>
    <t xml:space="preserve">accelerometers</t>
  </si>
  <si>
    <t xml:space="preserve">Audio</t>
  </si>
  <si>
    <t xml:space="preserve">PAP pressure</t>
  </si>
  <si>
    <t xml:space="preserve">Flow from device</t>
  </si>
  <si>
    <t xml:space="preserve">2</t>
  </si>
  <si>
    <t xml:space="preserve">1</t>
  </si>
  <si>
    <t xml:space="preserve">3</t>
  </si>
  <si>
    <t xml:space="preserve">6</t>
  </si>
  <si>
    <t xml:space="preserve">(1)</t>
  </si>
  <si>
    <t xml:space="preserve">4</t>
  </si>
  <si>
    <t xml:space="preserve">8</t>
  </si>
  <si>
    <t xml:space="preserve">1 (2)</t>
  </si>
  <si>
    <t xml:space="preserve">(2)</t>
  </si>
  <si>
    <t xml:space="preserve">8 (17)</t>
  </si>
  <si>
    <t xml:space="preserve">3 (4)</t>
  </si>
  <si>
    <t xml:space="preserve">2 (3)</t>
  </si>
  <si>
    <t xml:space="preserve">2 (4)</t>
  </si>
  <si>
    <t xml:space="preserve">12</t>
  </si>
  <si>
    <t xml:space="preserve">20</t>
  </si>
  <si>
    <t xml:space="preserve">12 (18)</t>
  </si>
  <si>
    <t xml:space="preserve">5  (11)</t>
  </si>
  <si>
    <t xml:space="preserve">6 (8)</t>
  </si>
  <si>
    <t xml:space="preserve">6 (7)</t>
  </si>
  <si>
    <t xml:space="preserve">1 (3)</t>
  </si>
  <si>
    <t xml:space="preserve">(3)</t>
  </si>
  <si>
    <t xml:space="preserve">4 (6)</t>
  </si>
  <si>
    <t xml:space="preserve">7</t>
  </si>
  <si>
    <t xml:space="preserve">REDS</t>
  </si>
  <si>
    <t xml:space="preserve">61</t>
  </si>
  <si>
    <t xml:space="preserve">18</t>
  </si>
  <si>
    <t xml:space="preserve">30</t>
  </si>
  <si>
    <t xml:space="preserve">63</t>
  </si>
  <si>
    <t xml:space="preserve">Sleep-EDF</t>
  </si>
  <si>
    <t xml:space="preserve">8 (12)</t>
  </si>
  <si>
    <t xml:space="preserve">(4)</t>
  </si>
  <si>
    <t xml:space="preserve">Regular numbers indicate that more than 50% of recordings have this channel, numbers in brackets indicate that more than 10% of channels have this modality</t>
  </si>
  <si>
    <t xml:space="preserve">Channel numbers are counted conservatively, i.e. if a subset of the dataset is chosen, more channels may be available.</t>
  </si>
  <si>
    <t xml:space="preserve">Reference EEG channels are omitted.</t>
  </si>
  <si>
    <t xml:space="preserve">If 3 chin EMG channels are provided (EMGZ, EMG1, EMG2) one is seen as the reference an not counted.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</si>
</sst>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#,##0"/>
    <numFmt numFmtId="167" formatCode="0.00"/>
    <numFmt numFmtId="168" formatCode="mmm\-yy"/>
    <numFmt numFmtId="169" formatCode="dd\-mmm"/>
    <numFmt numFmtId="170" formatCode="@"/>
    <numFmt numFmtId="171" formatCode="0.0"/>
    <numFmt numFmtId="172" formatCode="mm/dd/yy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sz val="10"/>
      <color theme="1"/>
      <name val="Arial Unicode MS"/>
      <family val="0"/>
      <charset val="1"/>
    </font>
    <font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000000"/>
      <name val="Arial"/>
      <family val="2"/>
      <charset val="1"/>
    </font>
    <font>
      <sz val="7"/>
      <color rgb="FFA31515"/>
      <name val="Consolas"/>
      <family val="3"/>
      <charset val="1"/>
    </font>
    <font>
      <sz val="11"/>
      <color rgb="FF000000"/>
      <name val="Aptos Narrow"/>
      <family val="2"/>
      <charset val="1"/>
    </font>
    <font>
      <sz val="11"/>
      <name val="Arial"/>
      <family val="2"/>
      <charset val="1"/>
    </font>
    <font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0"/>
        <bgColor rgb="FFFBE3D6"/>
      </patternFill>
    </fill>
    <fill>
      <patternFill patternType="solid">
        <fgColor rgb="FFFFC7CE"/>
        <bgColor rgb="FFFBE3D6"/>
      </patternFill>
    </fill>
    <fill>
      <patternFill patternType="solid">
        <fgColor theme="9" tint="0.3999"/>
        <bgColor rgb="FF81D41A"/>
      </patternFill>
    </fill>
    <fill>
      <patternFill patternType="solid">
        <fgColor theme="9" tint="0.7999"/>
        <bgColor rgb="FFCCFFCC"/>
      </patternFill>
    </fill>
    <fill>
      <patternFill patternType="solid">
        <fgColor rgb="FFD4EA6B"/>
        <bgColor rgb="FFD9F2D0"/>
      </patternFill>
    </fill>
    <fill>
      <patternFill patternType="solid">
        <fgColor theme="5" tint="0.7999"/>
        <bgColor rgb="FFFFC7CE"/>
      </patternFill>
    </fill>
    <fill>
      <patternFill patternType="solid">
        <fgColor rgb="FFFF4000"/>
        <bgColor rgb="FFFF0000"/>
      </patternFill>
    </fill>
    <fill>
      <patternFill patternType="solid">
        <fgColor rgb="FF81D41A"/>
        <bgColor rgb="FF8ED973"/>
      </patternFill>
    </fill>
    <fill>
      <patternFill patternType="solid">
        <fgColor rgb="FFCCFFCC"/>
        <bgColor rgb="FFD9F2D0"/>
      </patternFill>
    </fill>
    <fill>
      <patternFill patternType="solid">
        <fgColor theme="7" tint="0.7999"/>
        <bgColor rgb="FFD9F2D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fil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fil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0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1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11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0" fillId="1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8ED973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CFFCC"/>
      <rgbColor rgb="FFD4EA6B"/>
      <rgbColor rgb="FF99CCFF"/>
      <rgbColor rgb="FFFF99CC"/>
      <rgbColor rgb="FFCC99FF"/>
      <rgbColor rgb="FFFFC7CE"/>
      <rgbColor rgb="FF3366FF"/>
      <rgbColor rgb="FF33CCCC"/>
      <rgbColor rgb="FF81D41A"/>
      <rgbColor rgb="FFFFCC00"/>
      <rgbColor rgb="FFFF9900"/>
      <rgbColor rgb="FFFF4000"/>
      <rgbColor rgb="FF467886"/>
      <rgbColor rgb="FF969696"/>
      <rgbColor rgb="FF003366"/>
      <rgbColor rgb="FF4EA72E"/>
      <rgbColor rgb="FF003300"/>
      <rgbColor rgb="FF333300"/>
      <rgbColor rgb="FFA315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leepdata.org/datasets/abc" TargetMode="External"/><Relationship Id="rId2" Type="http://schemas.openxmlformats.org/officeDocument/2006/relationships/hyperlink" Target="https://doi.org/10.25822/nx52-bc11" TargetMode="External"/><Relationship Id="rId3" Type="http://schemas.openxmlformats.org/officeDocument/2006/relationships/hyperlink" Target="https://github.com/nsrr/abc-data-dictionary" TargetMode="External"/><Relationship Id="rId4" Type="http://schemas.openxmlformats.org/officeDocument/2006/relationships/hyperlink" Target="https://doi.org/10.17605/OSF.IO/R26FH" TargetMode="External"/><Relationship Id="rId5" Type="http://schemas.openxmlformats.org/officeDocument/2006/relationships/hyperlink" Target="https://doi.org/10.1038/s41597-024-03722-1" TargetMode="External"/><Relationship Id="rId6" Type="http://schemas.openxmlformats.org/officeDocument/2006/relationships/hyperlink" Target="https://doi.org/10.17605/OSF.IO/R26FH" TargetMode="External"/><Relationship Id="rId7" Type="http://schemas.openxmlformats.org/officeDocument/2006/relationships/hyperlink" Target="https://www.sleepdata.org/datasets/answers" TargetMode="External"/><Relationship Id="rId8" Type="http://schemas.openxmlformats.org/officeDocument/2006/relationships/hyperlink" Target="https://doi.org/10.25822/0vvb-6t89" TargetMode="External"/><Relationship Id="rId9" Type="http://schemas.openxmlformats.org/officeDocument/2006/relationships/hyperlink" Target="https://www.sleepdata.org/datasets/apoe" TargetMode="External"/><Relationship Id="rId10" Type="http://schemas.openxmlformats.org/officeDocument/2006/relationships/hyperlink" Target="https://doi.org/10.25822/6ssj-2157" TargetMode="External"/><Relationship Id="rId11" Type="http://schemas.openxmlformats.org/officeDocument/2006/relationships/hyperlink" Target="https://github.com/nsrr/apoe-data-dictionary" TargetMode="External"/><Relationship Id="rId12" Type="http://schemas.openxmlformats.org/officeDocument/2006/relationships/hyperlink" Target="https://gitlab-scm.partners.org/zzz-public/nsrr/-/blob/master/studies/legacy/abc/sigs.alias" TargetMode="External"/><Relationship Id="rId13" Type="http://schemas.openxmlformats.org/officeDocument/2006/relationships/hyperlink" Target="https://www.sleepdata.org/datasets/apples" TargetMode="External"/><Relationship Id="rId14" Type="http://schemas.openxmlformats.org/officeDocument/2006/relationships/hyperlink" Target="https://doi.org/10.25822/63pr-a591" TargetMode="External"/><Relationship Id="rId15" Type="http://schemas.openxmlformats.org/officeDocument/2006/relationships/hyperlink" Target="https://github.com/nsrr/apples-data-dictionary" TargetMode="External"/><Relationship Id="rId16" Type="http://schemas.openxmlformats.org/officeDocument/2006/relationships/hyperlink" Target="https://doi.org/10.25822/f656-yg39" TargetMode="External"/><Relationship Id="rId17" Type="http://schemas.openxmlformats.org/officeDocument/2006/relationships/hyperlink" Target="https://github.com/nsrr/bestair-data-dictionary" TargetMode="External"/><Relationship Id="rId18" Type="http://schemas.openxmlformats.org/officeDocument/2006/relationships/hyperlink" Target="https://gitlab-scm.partners.org/zzz-public/nsrr/-/blob/master/studies/legacy/bestair/sigs.alias.1" TargetMode="External"/><Relationship Id="rId19" Type="http://schemas.openxmlformats.org/officeDocument/2006/relationships/hyperlink" Target="https://physionet.org/content/capslpdb/1.0.0/" TargetMode="External"/><Relationship Id="rId20" Type="http://schemas.openxmlformats.org/officeDocument/2006/relationships/hyperlink" Target="https://doi.org/10.13026/C2VC79" TargetMode="External"/><Relationship Id="rId21" Type="http://schemas.openxmlformats.org/officeDocument/2006/relationships/hyperlink" Target="https://doi.org/10.25822/jmyx-mz90" TargetMode="External"/><Relationship Id="rId22" Type="http://schemas.openxmlformats.org/officeDocument/2006/relationships/hyperlink" Target="https://gitlab-scm.partners.org/zzz-public/nsrr/-/blob/master/studies/legacy/cfs/sigs.alias" TargetMode="External"/><Relationship Id="rId23" Type="http://schemas.openxmlformats.org/officeDocument/2006/relationships/hyperlink" Target="https://physionet.org/content/cps-dataset-sleep/1.0.0/" TargetMode="External"/><Relationship Id="rId24" Type="http://schemas.openxmlformats.org/officeDocument/2006/relationships/hyperlink" Target="https://doi.org/10.13026/sxs0-h317" TargetMode="External"/><Relationship Id="rId25" Type="http://schemas.openxmlformats.org/officeDocument/2006/relationships/hyperlink" Target="https://erda.ku.dk/public/archives/db553715ecbe1f3ac66c1dc569826eef/published-archive.html" TargetMode="External"/><Relationship Id="rId26" Type="http://schemas.openxmlformats.org/officeDocument/2006/relationships/hyperlink" Target="https://doi.org/10.17894/ucph.282d3c1e-9b98-4c1e-886e-704afdfa9179" TargetMode="External"/><Relationship Id="rId27" Type="http://schemas.openxmlformats.org/officeDocument/2006/relationships/hyperlink" Target="https://ieeexplore.ieee.org/document/9146268" TargetMode="External"/><Relationship Id="rId28" Type="http://schemas.openxmlformats.org/officeDocument/2006/relationships/hyperlink" Target="https://doi.org/10.1109/TNSRE.2020.3011181" TargetMode="External"/><Relationship Id="rId29" Type="http://schemas.openxmlformats.org/officeDocument/2006/relationships/hyperlink" Target="https://github.com/Dreem-Organization/dreem-learning-open" TargetMode="External"/><Relationship Id="rId30" Type="http://schemas.openxmlformats.org/officeDocument/2006/relationships/hyperlink" Target="https://ieeexplore.ieee.org/document/9146268" TargetMode="External"/><Relationship Id="rId31" Type="http://schemas.openxmlformats.org/officeDocument/2006/relationships/hyperlink" Target="https://doi.org/10.1109/TNSRE.2020.3011181" TargetMode="External"/><Relationship Id="rId32" Type="http://schemas.openxmlformats.org/officeDocument/2006/relationships/hyperlink" Target="https://github.com/Dreem-Organization/dreem-learning-open" TargetMode="External"/><Relationship Id="rId33" Type="http://schemas.openxmlformats.org/officeDocument/2006/relationships/hyperlink" Target="https://physionet.org/content/dreamt/1.0.0/" TargetMode="External"/><Relationship Id="rId34" Type="http://schemas.openxmlformats.org/officeDocument/2006/relationships/hyperlink" Target="https://doi.org/10.13026/62an-cb28" TargetMode="External"/><Relationship Id="rId35" Type="http://schemas.openxmlformats.org/officeDocument/2006/relationships/hyperlink" Target="https://www.sleepdata.org/datasets/fdcsr" TargetMode="External"/><Relationship Id="rId36" Type="http://schemas.openxmlformats.org/officeDocument/2006/relationships/hyperlink" Target="https://doi.org/10.25822/cxjt-6585" TargetMode="External"/><Relationship Id="rId37" Type="http://schemas.openxmlformats.org/officeDocument/2006/relationships/hyperlink" Target="https://github.com/nsrr/fdcsr-data-dictionary" TargetMode="External"/><Relationship Id="rId38" Type="http://schemas.openxmlformats.org/officeDocument/2006/relationships/hyperlink" Target="https://sleepdata.org/datasets/heartbeat" TargetMode="External"/><Relationship Id="rId39" Type="http://schemas.openxmlformats.org/officeDocument/2006/relationships/hyperlink" Target="https://doi.org/10.25822/njzh-dk37" TargetMode="External"/><Relationship Id="rId40" Type="http://schemas.openxmlformats.org/officeDocument/2006/relationships/hyperlink" Target="https://github.com/nsrr/heartbeat-data-dictionary" TargetMode="External"/><Relationship Id="rId41" Type="http://schemas.openxmlformats.org/officeDocument/2006/relationships/hyperlink" Target="https://gitlab-scm.partners.org/zzz-eartbeat/sigs.alias" TargetMode="External"/><Relationship Id="rId42" Type="http://schemas.openxmlformats.org/officeDocument/2006/relationships/hyperlink" Target="https://physionet.org/content/hmc-sleep-staging/1.1/" TargetMode="External"/><Relationship Id="rId43" Type="http://schemas.openxmlformats.org/officeDocument/2006/relationships/hyperlink" Target="https://doi.org/10.13026/t4w7-3k21" TargetMode="External"/><Relationship Id="rId44" Type="http://schemas.openxmlformats.org/officeDocument/2006/relationships/hyperlink" Target="https://sleepdata.org/datasets/homepap" TargetMode="External"/><Relationship Id="rId45" Type="http://schemas.openxmlformats.org/officeDocument/2006/relationships/hyperlink" Target="https://doi.org/10.25822/xmwv-yz91" TargetMode="External"/><Relationship Id="rId46" Type="http://schemas.openxmlformats.org/officeDocument/2006/relationships/hyperlink" Target="https://github.com/nsrr/homepap-data-dictionary" TargetMode="External"/><Relationship Id="rId47" Type="http://schemas.openxmlformats.org/officeDocument/2006/relationships/hyperlink" Target="https://doi.org/10.1016/j.cmpb.2015.10.013" TargetMode="External"/><Relationship Id="rId48" Type="http://schemas.openxmlformats.org/officeDocument/2006/relationships/hyperlink" Target="https://doi.org/10.1016/j.cmpb.2015.10.013" TargetMode="External"/><Relationship Id="rId49" Type="http://schemas.openxmlformats.org/officeDocument/2006/relationships/hyperlink" Target="https://doi.org/10.13026/cerq-fc86" TargetMode="External"/><Relationship Id="rId50" Type="http://schemas.openxmlformats.org/officeDocument/2006/relationships/hyperlink" Target="https://doi.org/10.3390/data5040091" TargetMode="External"/><Relationship Id="rId51" Type="http://schemas.openxmlformats.org/officeDocument/2006/relationships/hyperlink" Target="https://sleepdata.org/datasets/mesa" TargetMode="External"/><Relationship Id="rId52" Type="http://schemas.openxmlformats.org/officeDocument/2006/relationships/hyperlink" Target="https://doi.org/10.25822/n7hq-c406" TargetMode="External"/><Relationship Id="rId53" Type="http://schemas.openxmlformats.org/officeDocument/2006/relationships/hyperlink" Target="https://doi.org/10.5665/sleep.4732" TargetMode="External"/><Relationship Id="rId54" Type="http://schemas.openxmlformats.org/officeDocument/2006/relationships/hyperlink" Target="https://github.com/nsrr/mesa-data-dictionary" TargetMode="External"/><Relationship Id="rId55" Type="http://schemas.openxmlformats.org/officeDocument/2006/relationships/hyperlink" Target="https://gitlab-scm.partners.org/zzz-public/nsrr/-/blob/master/studies/legacy/mesa/sigs.alias" TargetMode="External"/><Relationship Id="rId56" Type="http://schemas.openxmlformats.org/officeDocument/2006/relationships/hyperlink" Target="https://physionet.org/content/slpdb/1.0.0/" TargetMode="External"/><Relationship Id="rId57" Type="http://schemas.openxmlformats.org/officeDocument/2006/relationships/hyperlink" Target="https://doi.org/10.13026/C23K5S" TargetMode="External"/><Relationship Id="rId58" Type="http://schemas.openxmlformats.org/officeDocument/2006/relationships/hyperlink" Target="https://sleepdata.org/datasets/mnc" TargetMode="External"/><Relationship Id="rId59" Type="http://schemas.openxmlformats.org/officeDocument/2006/relationships/hyperlink" Target="https://doi.org/10.25822/00tc-zz78" TargetMode="External"/><Relationship Id="rId60" Type="http://schemas.openxmlformats.org/officeDocument/2006/relationships/hyperlink" Target="https://doi.org/10.1038/s41467-018-07229-3" TargetMode="External"/><Relationship Id="rId61" Type="http://schemas.openxmlformats.org/officeDocument/2006/relationships/hyperlink" Target="https://gitlab-scm.partners.org/zzz-public/nsrr/-/blob/master/studies/legacy/mnc/sigs.alias" TargetMode="External"/><Relationship Id="rId62" Type="http://schemas.openxmlformats.org/officeDocument/2006/relationships/hyperlink" Target="https://github.com/nsrr/mnc-documentation" TargetMode="External"/><Relationship Id="rId63" Type="http://schemas.openxmlformats.org/officeDocument/2006/relationships/hyperlink" Target="https://physionet.org/content/sleep-accel/1.0.0/" TargetMode="External"/><Relationship Id="rId64" Type="http://schemas.openxmlformats.org/officeDocument/2006/relationships/hyperlink" Target="https://doi.org/10.1093/sleep/zsz180" TargetMode="External"/><Relationship Id="rId65" Type="http://schemas.openxmlformats.org/officeDocument/2006/relationships/hyperlink" Target="https://doi.org/10.13026/hmhs-py35" TargetMode="External"/><Relationship Id="rId66" Type="http://schemas.openxmlformats.org/officeDocument/2006/relationships/hyperlink" Target="https://sleepdata.org/datasets/mros" TargetMode="External"/><Relationship Id="rId67" Type="http://schemas.openxmlformats.org/officeDocument/2006/relationships/hyperlink" Target="https://doi.org/10.25822/kc27-0425" TargetMode="External"/><Relationship Id="rId68" Type="http://schemas.openxmlformats.org/officeDocument/2006/relationships/hyperlink" Target="https://doi.org/10.1111/j.1532-5415.2011.03731.x" TargetMode="External"/><Relationship Id="rId69" Type="http://schemas.openxmlformats.org/officeDocument/2006/relationships/hyperlink" Target="https://sleepdata.org/datasets/msp" TargetMode="External"/><Relationship Id="rId70" Type="http://schemas.openxmlformats.org/officeDocument/2006/relationships/hyperlink" Target="https://doi.org/10.25822/gc7q-g526" TargetMode="External"/><Relationship Id="rId71" Type="http://schemas.openxmlformats.org/officeDocument/2006/relationships/hyperlink" Target="https://doi.org/10.1002/dev.22118" TargetMode="External"/><Relationship Id="rId72" Type="http://schemas.openxmlformats.org/officeDocument/2006/relationships/hyperlink" Target="https://zenodo.org/records/3251716" TargetMode="External"/><Relationship Id="rId73" Type="http://schemas.openxmlformats.org/officeDocument/2006/relationships/hyperlink" Target="https://doi.org/10.5281/zenodo.3251715" TargetMode="External"/><Relationship Id="rId74" Type="http://schemas.openxmlformats.org/officeDocument/2006/relationships/hyperlink" Target="https://sleepdata.org/datasets/nchsdb" TargetMode="External"/><Relationship Id="rId75" Type="http://schemas.openxmlformats.org/officeDocument/2006/relationships/hyperlink" Target="https://doi.org/10.25822/jpdr-vz50" TargetMode="External"/><Relationship Id="rId76" Type="http://schemas.openxmlformats.org/officeDocument/2006/relationships/hyperlink" Target="https://doi.org/10.1038/s41597-022-01545-6" TargetMode="External"/><Relationship Id="rId77" Type="http://schemas.openxmlformats.org/officeDocument/2006/relationships/hyperlink" Target="https://github.com/liboyue/sleep_study" TargetMode="External"/><Relationship Id="rId78" Type="http://schemas.openxmlformats.org/officeDocument/2006/relationships/hyperlink" Target="https://physionet.org/content/challenge-2018/1.0.0/" TargetMode="External"/><Relationship Id="rId79" Type="http://schemas.openxmlformats.org/officeDocument/2006/relationships/hyperlink" Target="https://bdsp.io/content/hsp/2.0/" TargetMode="External"/><Relationship Id="rId80" Type="http://schemas.openxmlformats.org/officeDocument/2006/relationships/hyperlink" Target="https://sleepdata.org/datasets/shhs" TargetMode="External"/><Relationship Id="rId81" Type="http://schemas.openxmlformats.org/officeDocument/2006/relationships/hyperlink" Target="https://doi.org/10.25822/ghy8-ks59" TargetMode="External"/><Relationship Id="rId82" Type="http://schemas.openxmlformats.org/officeDocument/2006/relationships/hyperlink" Target="https://pubmed.ncbi.nlm.nih.gov/9493915/" TargetMode="External"/><Relationship Id="rId83" Type="http://schemas.openxmlformats.org/officeDocument/2006/relationships/hyperlink" Target="https://www.physionet.org/content/sleep-edfx/1.0.0/" TargetMode="External"/><Relationship Id="rId84" Type="http://schemas.openxmlformats.org/officeDocument/2006/relationships/hyperlink" Target="https://doi.org/10.13026/C2X676" TargetMode="External"/><Relationship Id="rId85" Type="http://schemas.openxmlformats.org/officeDocument/2006/relationships/hyperlink" Target="https://physionet.org/content/sleepbrl/1.0.0/" TargetMode="External"/><Relationship Id="rId86" Type="http://schemas.openxmlformats.org/officeDocument/2006/relationships/hyperlink" Target="https://doi.org/10.13026/C29H4K" TargetMode="External"/><Relationship Id="rId87" Type="http://schemas.openxmlformats.org/officeDocument/2006/relationships/hyperlink" Target="https://sleepdata.org/datasets/sof" TargetMode="External"/><Relationship Id="rId88" Type="http://schemas.openxmlformats.org/officeDocument/2006/relationships/hyperlink" Target="https://doi.org/10.1111/j.1532-5415.2007.01506.x" TargetMode="External"/><Relationship Id="rId89" Type="http://schemas.openxmlformats.org/officeDocument/2006/relationships/hyperlink" Target="https://doi.org/10.25822/e1cf-rx65" TargetMode="External"/><Relationship Id="rId90" Type="http://schemas.openxmlformats.org/officeDocument/2006/relationships/hyperlink" Target="https://sleepdata.org/datasets/stages" TargetMode="External"/><Relationship Id="rId91" Type="http://schemas.openxmlformats.org/officeDocument/2006/relationships/hyperlink" Target="https://doi.org/10.25822/me0d-xs45" TargetMode="External"/><Relationship Id="rId92" Type="http://schemas.openxmlformats.org/officeDocument/2006/relationships/hyperlink" Target="https://physionet.org/content/ucddb/1.0.0/" TargetMode="External"/><Relationship Id="rId93" Type="http://schemas.openxmlformats.org/officeDocument/2006/relationships/hyperlink" Target="https://doi.org/10.13026/C26C7D" TargetMode="External"/><Relationship Id="rId94" Type="http://schemas.openxmlformats.org/officeDocument/2006/relationships/hyperlink" Target="https://www.sleepdata.org/datasets/wsc" TargetMode="External"/><Relationship Id="rId95" Type="http://schemas.openxmlformats.org/officeDocument/2006/relationships/hyperlink" Target="https://doi.org/10.25822/js0k-yh52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sleeptight.isr.uc.p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Y904"/>
  <sheetViews>
    <sheetView showFormulas="false" showGridLines="true" showRowColHeaders="true" showZeros="true" rightToLeft="false" tabSelected="false" showOutlineSymbols="true" defaultGridColor="true" view="normal" topLeftCell="A285" colorId="64" zoomScale="110" zoomScaleNormal="110" zoomScalePageLayoutView="100" workbookViewId="0">
      <selection pane="topLeft" activeCell="C300" activeCellId="0" sqref="C300"/>
    </sheetView>
  </sheetViews>
  <sheetFormatPr defaultColWidth="11.453125" defaultRowHeight="14.25" customHeight="false" zeroHeight="false" outlineLevelRow="0" outlineLevelCol="0"/>
  <cols>
    <col collapsed="false" customWidth="true" hidden="false" outlineLevel="0" max="1" min="1" style="1" width="38.37"/>
    <col collapsed="false" customWidth="true" hidden="false" outlineLevel="0" max="2" min="2" style="1" width="37.09"/>
    <col collapsed="false" customWidth="true" hidden="false" outlineLevel="0" max="3" min="3" style="2" width="14.45"/>
    <col collapsed="false" customWidth="true" hidden="false" outlineLevel="0" max="4" min="4" style="1" width="19.09"/>
    <col collapsed="false" customWidth="true" hidden="false" outlineLevel="0" max="5" min="5" style="1" width="13.09"/>
    <col collapsed="false" customWidth="true" hidden="false" outlineLevel="0" max="6" min="6" style="1" width="17.09"/>
    <col collapsed="false" customWidth="true" hidden="false" outlineLevel="0" max="7" min="7" style="1" width="12.54"/>
    <col collapsed="false" customWidth="true" hidden="false" outlineLevel="0" max="8" min="8" style="1" width="10.45"/>
    <col collapsed="false" customWidth="true" hidden="false" outlineLevel="0" max="9" min="9" style="1" width="12.54"/>
    <col collapsed="false" customWidth="true" hidden="false" outlineLevel="0" max="10" min="10" style="1" width="10.45"/>
    <col collapsed="false" customWidth="true" hidden="false" outlineLevel="0" max="11" min="11" style="1" width="15"/>
    <col collapsed="false" customWidth="true" hidden="false" outlineLevel="0" max="12" min="12" style="1" width="18.45"/>
    <col collapsed="false" customWidth="true" hidden="false" outlineLevel="0" max="13" min="13" style="1" width="14.82"/>
    <col collapsed="false" customWidth="true" hidden="false" outlineLevel="0" max="14" min="14" style="1" width="14.37"/>
    <col collapsed="false" customWidth="true" hidden="false" outlineLevel="0" max="15" min="15" style="1" width="14"/>
    <col collapsed="false" customWidth="true" hidden="false" outlineLevel="0" max="16" min="16" style="1" width="9.36"/>
    <col collapsed="false" customWidth="true" hidden="false" outlineLevel="0" max="18" min="17" style="1" width="9.45"/>
    <col collapsed="false" customWidth="true" hidden="false" outlineLevel="0" max="19" min="19" style="1" width="11.64"/>
    <col collapsed="false" customWidth="true" hidden="false" outlineLevel="0" max="21" min="20" style="1" width="9.45"/>
    <col collapsed="false" customWidth="true" hidden="false" outlineLevel="0" max="22" min="22" style="1" width="8"/>
    <col collapsed="false" customWidth="true" hidden="false" outlineLevel="0" max="23" min="23" style="1" width="8.45"/>
    <col collapsed="false" customWidth="true" hidden="false" outlineLevel="0" max="24" min="24" style="1" width="8.63"/>
    <col collapsed="false" customWidth="true" hidden="false" outlineLevel="0" max="25" min="25" style="1" width="12"/>
    <col collapsed="false" customWidth="true" hidden="false" outlineLevel="0" max="26" min="26" style="1" width="7.45"/>
    <col collapsed="false" customWidth="true" hidden="false" outlineLevel="0" max="27" min="27" style="1" width="10.82"/>
    <col collapsed="false" customWidth="true" hidden="false" outlineLevel="0" max="28" min="28" style="1" width="8"/>
    <col collapsed="false" customWidth="true" hidden="false" outlineLevel="0" max="29" min="29" style="1" width="7.91"/>
    <col collapsed="false" customWidth="true" hidden="false" outlineLevel="0" max="30" min="30" style="1" width="8.82"/>
    <col collapsed="false" customWidth="true" hidden="false" outlineLevel="0" max="31" min="31" style="1" width="12"/>
    <col collapsed="false" customWidth="true" hidden="false" outlineLevel="0" max="32" min="32" style="1" width="9.09"/>
    <col collapsed="false" customWidth="true" hidden="false" outlineLevel="0" max="33" min="33" style="1" width="12"/>
    <col collapsed="false" customWidth="true" hidden="false" outlineLevel="0" max="34" min="34" style="1" width="13.63"/>
    <col collapsed="false" customWidth="true" hidden="false" outlineLevel="0" max="35" min="35" style="1" width="14.37"/>
    <col collapsed="false" customWidth="true" hidden="false" outlineLevel="0" max="36" min="36" style="1" width="4.63"/>
    <col collapsed="false" customWidth="true" hidden="false" outlineLevel="0" max="37" min="37" style="1" width="9.82"/>
    <col collapsed="false" customWidth="true" hidden="false" outlineLevel="0" max="38" min="38" style="1" width="12.82"/>
    <col collapsed="false" customWidth="true" hidden="false" outlineLevel="0" max="40" min="39" style="1" width="6.09"/>
    <col collapsed="false" customWidth="true" hidden="false" outlineLevel="0" max="43" min="41" style="1" width="5.36"/>
    <col collapsed="false" customWidth="true" hidden="false" outlineLevel="0" max="44" min="44" style="1" width="4.36"/>
    <col collapsed="false" customWidth="true" hidden="false" outlineLevel="0" max="45" min="45" style="1" width="8.82"/>
    <col collapsed="false" customWidth="true" hidden="false" outlineLevel="0" max="47" min="46" style="1" width="6.45"/>
    <col collapsed="false" customWidth="true" hidden="false" outlineLevel="0" max="48" min="48" style="1" width="8.36"/>
    <col collapsed="false" customWidth="true" hidden="false" outlineLevel="0" max="49" min="49" style="1" width="6.09"/>
    <col collapsed="false" customWidth="true" hidden="false" outlineLevel="0" max="50" min="50" style="1" width="8"/>
    <col collapsed="false" customWidth="true" hidden="false" outlineLevel="0" max="51" min="51" style="1" width="7.82"/>
    <col collapsed="false" customWidth="true" hidden="false" outlineLevel="0" max="52" min="52" style="1" width="4.36"/>
    <col collapsed="false" customWidth="true" hidden="false" outlineLevel="0" max="55" min="53" style="1" width="4.63"/>
    <col collapsed="false" customWidth="true" hidden="false" outlineLevel="0" max="56" min="56" style="1" width="5.63"/>
    <col collapsed="false" customWidth="true" hidden="false" outlineLevel="0" max="57" min="57" style="1" width="8.36"/>
    <col collapsed="false" customWidth="true" hidden="false" outlineLevel="0" max="58" min="58" style="1" width="6.45"/>
  </cols>
  <sheetData>
    <row r="1" customFormat="false" ht="14.25" hidden="false" customHeight="false" outlineLevel="0" collapsed="false">
      <c r="A1" s="3"/>
      <c r="B1" s="4"/>
    </row>
    <row r="2" customFormat="false" ht="14.25" hidden="false" customHeight="false" outlineLevel="0" collapsed="false">
      <c r="A2" s="5"/>
      <c r="B2" s="6"/>
      <c r="C2" s="7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customFormat="false" ht="14.25" hidden="false" customHeight="false" outlineLevel="0" collapsed="false">
      <c r="A3" s="10" t="s">
        <v>0</v>
      </c>
      <c r="B3" s="11" t="s">
        <v>1</v>
      </c>
      <c r="C3" s="12" t="s">
        <v>2</v>
      </c>
    </row>
    <row r="4" customFormat="false" ht="14.25" hidden="false" customHeight="false" outlineLevel="0" collapsed="false">
      <c r="A4" s="10"/>
      <c r="B4" s="11" t="s">
        <v>3</v>
      </c>
      <c r="C4" s="13" t="s">
        <v>4</v>
      </c>
    </row>
    <row r="5" customFormat="false" ht="16.4" hidden="false" customHeight="false" outlineLevel="0" collapsed="false">
      <c r="A5" s="10"/>
      <c r="B5" s="11" t="s">
        <v>5</v>
      </c>
      <c r="C5" s="14" t="s">
        <v>6</v>
      </c>
    </row>
    <row r="6" customFormat="false" ht="14.25" hidden="false" customHeight="false" outlineLevel="0" collapsed="false">
      <c r="A6" s="10" t="s">
        <v>7</v>
      </c>
      <c r="B6" s="11" t="s">
        <v>8</v>
      </c>
      <c r="C6" s="2" t="s">
        <v>9</v>
      </c>
      <c r="D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customFormat="false" ht="14.25" hidden="false" customHeight="false" outlineLevel="0" collapsed="false">
      <c r="A7" s="10"/>
      <c r="B7" s="11" t="s">
        <v>10</v>
      </c>
      <c r="C7" s="2" t="s">
        <v>11</v>
      </c>
      <c r="D7" s="1" t="s">
        <v>12</v>
      </c>
    </row>
    <row r="8" customFormat="false" ht="14.25" hidden="false" customHeight="false" outlineLevel="0" collapsed="false">
      <c r="A8" s="10" t="s">
        <v>13</v>
      </c>
      <c r="B8" s="11" t="s">
        <v>14</v>
      </c>
      <c r="C8" s="2" t="n">
        <v>49</v>
      </c>
    </row>
    <row r="9" customFormat="false" ht="14.25" hidden="false" customHeight="false" outlineLevel="0" collapsed="false">
      <c r="A9" s="10"/>
      <c r="B9" s="11" t="s">
        <v>15</v>
      </c>
      <c r="C9" s="2" t="s">
        <v>16</v>
      </c>
    </row>
    <row r="10" customFormat="false" ht="14.25" hidden="false" customHeight="false" outlineLevel="0" collapsed="false">
      <c r="A10" s="10"/>
      <c r="B10" s="11" t="s">
        <v>17</v>
      </c>
      <c r="C10" s="2" t="s">
        <v>18</v>
      </c>
    </row>
    <row r="11" customFormat="false" ht="14.25" hidden="false" customHeight="false" outlineLevel="0" collapsed="false">
      <c r="A11" s="10"/>
      <c r="B11" s="11" t="s">
        <v>19</v>
      </c>
      <c r="C11" s="2" t="s">
        <v>20</v>
      </c>
      <c r="D11" s="1" t="s">
        <v>21</v>
      </c>
    </row>
    <row r="12" customFormat="false" ht="14.25" hidden="false" customHeight="false" outlineLevel="0" collapsed="false">
      <c r="A12" s="10" t="s">
        <v>22</v>
      </c>
      <c r="B12" s="11" t="s">
        <v>23</v>
      </c>
      <c r="C12" s="2" t="s">
        <v>24</v>
      </c>
    </row>
    <row r="13" customFormat="false" ht="14.25" hidden="false" customHeight="false" outlineLevel="0" collapsed="false">
      <c r="A13" s="10"/>
      <c r="B13" s="11" t="s">
        <v>25</v>
      </c>
      <c r="C13" s="2" t="s">
        <v>26</v>
      </c>
    </row>
    <row r="14" customFormat="false" ht="14.25" hidden="false" customHeight="false" outlineLevel="0" collapsed="false">
      <c r="A14" s="10"/>
      <c r="B14" s="11" t="s">
        <v>27</v>
      </c>
      <c r="C14" s="2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34</v>
      </c>
      <c r="J14" s="1" t="s">
        <v>35</v>
      </c>
      <c r="K14" s="1" t="s">
        <v>36</v>
      </c>
      <c r="L14" s="2" t="s">
        <v>37</v>
      </c>
      <c r="M14" s="1" t="s">
        <v>38</v>
      </c>
      <c r="N14" s="1" t="s">
        <v>39</v>
      </c>
      <c r="O14" s="1" t="s">
        <v>40</v>
      </c>
      <c r="P14" s="1" t="s">
        <v>41</v>
      </c>
      <c r="Q14" s="1" t="s">
        <v>42</v>
      </c>
      <c r="R14" s="1" t="s">
        <v>43</v>
      </c>
      <c r="S14" s="1" t="s">
        <v>44</v>
      </c>
      <c r="T14" s="1" t="s">
        <v>45</v>
      </c>
      <c r="U14" s="1" t="s">
        <v>46</v>
      </c>
      <c r="V14" s="1" t="s">
        <v>47</v>
      </c>
      <c r="W14" s="1" t="s">
        <v>48</v>
      </c>
      <c r="X14" s="1" t="s">
        <v>49</v>
      </c>
      <c r="Y14" s="1" t="s">
        <v>50</v>
      </c>
      <c r="Z14" s="1" t="s">
        <v>51</v>
      </c>
      <c r="AA14" s="1" t="s">
        <v>52</v>
      </c>
      <c r="AB14" s="1" t="s">
        <v>53</v>
      </c>
      <c r="AC14" s="1" t="s">
        <v>54</v>
      </c>
      <c r="AD14" s="1" t="s">
        <v>55</v>
      </c>
      <c r="AE14" s="1" t="s">
        <v>56</v>
      </c>
      <c r="AF14" s="1" t="s">
        <v>57</v>
      </c>
      <c r="AG14" s="1" t="s">
        <v>58</v>
      </c>
      <c r="AH14" s="1" t="s">
        <v>59</v>
      </c>
      <c r="AI14" s="1" t="s">
        <v>60</v>
      </c>
      <c r="AJ14" s="1" t="s">
        <v>61</v>
      </c>
      <c r="AK14" s="1" t="s">
        <v>62</v>
      </c>
      <c r="AL14" s="1" t="s">
        <v>63</v>
      </c>
    </row>
    <row r="15" customFormat="false" ht="14.25" hidden="false" customHeight="false" outlineLevel="0" collapsed="false">
      <c r="A15" s="10"/>
      <c r="B15" s="11" t="s">
        <v>64</v>
      </c>
      <c r="C15" s="2" t="n">
        <v>32</v>
      </c>
      <c r="D15" s="1" t="n">
        <v>32</v>
      </c>
      <c r="E15" s="1" t="n">
        <v>32</v>
      </c>
      <c r="F15" s="1" t="n">
        <v>16</v>
      </c>
      <c r="G15" s="16" t="n">
        <v>64512</v>
      </c>
      <c r="H15" s="1" t="n">
        <v>256</v>
      </c>
      <c r="I15" s="1" t="n">
        <v>256</v>
      </c>
      <c r="J15" s="1" t="n">
        <v>256</v>
      </c>
      <c r="K15" s="1" t="n">
        <v>256</v>
      </c>
      <c r="L15" s="2" t="n">
        <v>256</v>
      </c>
      <c r="M15" s="1" t="n">
        <v>256</v>
      </c>
      <c r="N15" s="1" t="n">
        <v>256</v>
      </c>
      <c r="O15" s="1" t="n">
        <v>256</v>
      </c>
      <c r="P15" s="1" t="n">
        <v>256</v>
      </c>
      <c r="Q15" s="1" t="n">
        <v>256</v>
      </c>
      <c r="R15" s="1" t="n">
        <v>256</v>
      </c>
      <c r="S15" s="1" t="n">
        <v>256</v>
      </c>
      <c r="T15" s="1" t="n">
        <v>256</v>
      </c>
      <c r="U15" s="1" t="n">
        <v>256</v>
      </c>
      <c r="V15" s="1" t="n">
        <v>256</v>
      </c>
      <c r="W15" s="1" t="n">
        <v>256</v>
      </c>
      <c r="X15" s="1" t="n">
        <v>256</v>
      </c>
      <c r="Y15" s="1" t="n">
        <v>256</v>
      </c>
      <c r="Z15" s="1" t="n">
        <v>256</v>
      </c>
      <c r="AA15" s="1" t="n">
        <v>64</v>
      </c>
      <c r="AB15" s="1" t="n">
        <v>64</v>
      </c>
      <c r="AC15" s="1" t="n">
        <v>32</v>
      </c>
      <c r="AD15" s="1" t="n">
        <v>16</v>
      </c>
      <c r="AE15" s="1" t="n">
        <v>256</v>
      </c>
      <c r="AF15" s="1" t="n">
        <v>16</v>
      </c>
      <c r="AG15" s="1" t="n">
        <v>16</v>
      </c>
      <c r="AH15" s="1" t="n">
        <v>512</v>
      </c>
      <c r="AI15" s="1" t="n">
        <v>256</v>
      </c>
      <c r="AJ15" s="1" t="n">
        <v>16</v>
      </c>
      <c r="AK15" s="1" t="n">
        <v>32</v>
      </c>
      <c r="AL15" s="1" t="n">
        <v>32</v>
      </c>
    </row>
    <row r="16" customFormat="false" ht="14.25" hidden="false" customHeight="false" outlineLevel="0" collapsed="false">
      <c r="A16" s="10" t="s">
        <v>65</v>
      </c>
      <c r="B16" s="11" t="s">
        <v>66</v>
      </c>
      <c r="C16" s="2" t="s">
        <v>67</v>
      </c>
    </row>
    <row r="17" customFormat="false" ht="14.25" hidden="false" customHeight="false" outlineLevel="0" collapsed="false">
      <c r="A17" s="10"/>
      <c r="B17" s="11" t="s">
        <v>68</v>
      </c>
      <c r="C17" s="2" t="s">
        <v>69</v>
      </c>
      <c r="D17" s="1" t="s">
        <v>70</v>
      </c>
    </row>
    <row r="18" customFormat="false" ht="14.25" hidden="false" customHeight="false" outlineLevel="0" collapsed="false">
      <c r="A18" s="10" t="s">
        <v>71</v>
      </c>
      <c r="B18" s="4"/>
      <c r="C18" s="2" t="s">
        <v>72</v>
      </c>
      <c r="D18" s="1" t="s">
        <v>73</v>
      </c>
    </row>
    <row r="19" customFormat="false" ht="14.25" hidden="false" customHeight="false" outlineLevel="0" collapsed="false">
      <c r="A19" s="10" t="s">
        <v>74</v>
      </c>
      <c r="B19" s="11" t="s">
        <v>75</v>
      </c>
    </row>
    <row r="20" customFormat="false" ht="14.25" hidden="false" customHeight="false" outlineLevel="0" collapsed="false">
      <c r="A20" s="10"/>
      <c r="B20" s="11" t="s">
        <v>76</v>
      </c>
    </row>
    <row r="21" customFormat="false" ht="16.4" hidden="false" customHeight="false" outlineLevel="0" collapsed="false">
      <c r="A21" s="10"/>
      <c r="B21" s="11" t="s">
        <v>77</v>
      </c>
      <c r="C21" s="14" t="s">
        <v>78</v>
      </c>
    </row>
    <row r="22" customFormat="false" ht="16.4" hidden="false" customHeight="false" outlineLevel="0" collapsed="false">
      <c r="A22" s="17" t="s">
        <v>79</v>
      </c>
      <c r="B22" s="4"/>
      <c r="C22" s="14" t="s">
        <v>80</v>
      </c>
      <c r="D22" s="15"/>
    </row>
    <row r="23" customFormat="false" ht="14.25" hidden="false" customHeight="false" outlineLevel="0" collapsed="false">
      <c r="A23" s="3"/>
      <c r="B23" s="4"/>
      <c r="D23" s="15"/>
    </row>
    <row r="24" customFormat="false" ht="14.25" hidden="false" customHeight="false" outlineLevel="0" collapsed="false">
      <c r="A24" s="5"/>
      <c r="B24" s="6"/>
      <c r="C24" s="18"/>
      <c r="D24" s="19"/>
    </row>
    <row r="25" customFormat="false" ht="14.25" hidden="false" customHeight="false" outlineLevel="0" collapsed="false">
      <c r="A25" s="10" t="s">
        <v>0</v>
      </c>
      <c r="B25" s="11" t="s">
        <v>1</v>
      </c>
      <c r="C25" s="20" t="s">
        <v>81</v>
      </c>
      <c r="D25" s="15"/>
    </row>
    <row r="26" customFormat="false" ht="14.25" hidden="false" customHeight="false" outlineLevel="0" collapsed="false">
      <c r="A26" s="10"/>
      <c r="B26" s="11" t="s">
        <v>3</v>
      </c>
      <c r="C26" s="2" t="n">
        <v>2024</v>
      </c>
      <c r="D26" s="15"/>
    </row>
    <row r="27" customFormat="false" ht="16.4" hidden="false" customHeight="false" outlineLevel="0" collapsed="false">
      <c r="A27" s="10"/>
      <c r="B27" s="11" t="s">
        <v>5</v>
      </c>
      <c r="C27" s="21" t="s">
        <v>82</v>
      </c>
      <c r="D27" s="15"/>
    </row>
    <row r="28" customFormat="false" ht="14.25" hidden="false" customHeight="false" outlineLevel="0" collapsed="false">
      <c r="A28" s="10" t="s">
        <v>7</v>
      </c>
      <c r="B28" s="11" t="s">
        <v>8</v>
      </c>
      <c r="C28" s="2" t="s">
        <v>83</v>
      </c>
      <c r="D28" s="15"/>
    </row>
    <row r="29" customFormat="false" ht="14.25" hidden="false" customHeight="false" outlineLevel="0" collapsed="false">
      <c r="A29" s="10"/>
      <c r="B29" s="11" t="s">
        <v>10</v>
      </c>
      <c r="C29" s="2" t="s">
        <v>84</v>
      </c>
    </row>
    <row r="30" customFormat="false" ht="14.25" hidden="false" customHeight="false" outlineLevel="0" collapsed="false">
      <c r="A30" s="10" t="s">
        <v>13</v>
      </c>
      <c r="B30" s="11" t="s">
        <v>14</v>
      </c>
      <c r="C30" s="2" t="n">
        <v>29</v>
      </c>
    </row>
    <row r="31" customFormat="false" ht="14.25" hidden="false" customHeight="false" outlineLevel="0" collapsed="false">
      <c r="A31" s="10"/>
      <c r="B31" s="11" t="s">
        <v>15</v>
      </c>
      <c r="C31" s="2" t="s">
        <v>85</v>
      </c>
    </row>
    <row r="32" customFormat="false" ht="14.25" hidden="false" customHeight="false" outlineLevel="0" collapsed="false">
      <c r="A32" s="10"/>
      <c r="B32" s="11" t="s">
        <v>17</v>
      </c>
      <c r="C32" s="2" t="s">
        <v>86</v>
      </c>
    </row>
    <row r="33" customFormat="false" ht="14.25" hidden="false" customHeight="false" outlineLevel="0" collapsed="false">
      <c r="A33" s="10"/>
      <c r="B33" s="11" t="s">
        <v>19</v>
      </c>
      <c r="C33" s="2" t="s">
        <v>87</v>
      </c>
    </row>
    <row r="34" customFormat="false" ht="14.25" hidden="false" customHeight="false" outlineLevel="0" collapsed="false">
      <c r="A34" s="10" t="s">
        <v>22</v>
      </c>
      <c r="B34" s="11" t="s">
        <v>23</v>
      </c>
      <c r="C34" s="2" t="n">
        <v>29</v>
      </c>
    </row>
    <row r="35" customFormat="false" ht="14.25" hidden="false" customHeight="false" outlineLevel="0" collapsed="false">
      <c r="A35" s="10"/>
      <c r="B35" s="11" t="s">
        <v>25</v>
      </c>
      <c r="C35" s="2" t="n">
        <v>1</v>
      </c>
    </row>
    <row r="36" customFormat="false" ht="14.25" hidden="false" customHeight="false" outlineLevel="0" collapsed="false">
      <c r="A36" s="10"/>
      <c r="B36" s="11" t="s">
        <v>27</v>
      </c>
      <c r="C36" s="2" t="s">
        <v>88</v>
      </c>
    </row>
    <row r="37" customFormat="false" ht="14.25" hidden="false" customHeight="false" outlineLevel="0" collapsed="false">
      <c r="A37" s="10"/>
      <c r="B37" s="11" t="s">
        <v>64</v>
      </c>
      <c r="C37" s="2" t="s">
        <v>88</v>
      </c>
    </row>
    <row r="38" customFormat="false" ht="14.25" hidden="false" customHeight="false" outlineLevel="0" collapsed="false">
      <c r="A38" s="10" t="s">
        <v>65</v>
      </c>
      <c r="B38" s="11" t="s">
        <v>66</v>
      </c>
      <c r="C38" s="2" t="s">
        <v>67</v>
      </c>
    </row>
    <row r="39" customFormat="false" ht="14.25" hidden="false" customHeight="false" outlineLevel="0" collapsed="false">
      <c r="A39" s="10"/>
      <c r="B39" s="11" t="s">
        <v>68</v>
      </c>
      <c r="C39" s="2" t="s">
        <v>84</v>
      </c>
    </row>
    <row r="40" customFormat="false" ht="14.25" hidden="false" customHeight="false" outlineLevel="0" collapsed="false">
      <c r="A40" s="10" t="s">
        <v>71</v>
      </c>
      <c r="B40" s="4"/>
      <c r="C40" s="2" t="s">
        <v>72</v>
      </c>
      <c r="D40" s="1" t="s">
        <v>89</v>
      </c>
    </row>
    <row r="41" customFormat="false" ht="14.25" hidden="false" customHeight="false" outlineLevel="0" collapsed="false">
      <c r="A41" s="10" t="s">
        <v>74</v>
      </c>
      <c r="B41" s="11" t="s">
        <v>75</v>
      </c>
    </row>
    <row r="42" customFormat="false" ht="14.25" hidden="false" customHeight="false" outlineLevel="0" collapsed="false">
      <c r="A42" s="10"/>
      <c r="B42" s="11" t="s">
        <v>76</v>
      </c>
      <c r="D42" s="15"/>
    </row>
    <row r="43" customFormat="false" ht="16.4" hidden="false" customHeight="false" outlineLevel="0" collapsed="false">
      <c r="A43" s="10"/>
      <c r="B43" s="11" t="s">
        <v>77</v>
      </c>
      <c r="C43" s="21" t="s">
        <v>90</v>
      </c>
      <c r="D43" s="21" t="s">
        <v>82</v>
      </c>
    </row>
    <row r="44" customFormat="false" ht="14.25" hidden="false" customHeight="false" outlineLevel="0" collapsed="false">
      <c r="A44" s="17" t="s">
        <v>79</v>
      </c>
      <c r="B44" s="4"/>
      <c r="D44" s="15"/>
    </row>
    <row r="45" customFormat="false" ht="14.25" hidden="false" customHeight="false" outlineLevel="0" collapsed="false">
      <c r="A45" s="3"/>
      <c r="B45" s="4"/>
      <c r="D45" s="15"/>
    </row>
    <row r="46" customFormat="false" ht="14.25" hidden="false" customHeight="false" outlineLevel="0" collapsed="false">
      <c r="A46" s="22"/>
      <c r="B46" s="23"/>
      <c r="C46" s="18"/>
      <c r="D46" s="19"/>
    </row>
    <row r="47" customFormat="false" ht="14.25" hidden="false" customHeight="false" outlineLevel="0" collapsed="false">
      <c r="A47" s="10" t="s">
        <v>0</v>
      </c>
      <c r="B47" s="11" t="s">
        <v>1</v>
      </c>
      <c r="C47" s="2" t="s">
        <v>91</v>
      </c>
    </row>
    <row r="48" customFormat="false" ht="14.25" hidden="false" customHeight="false" outlineLevel="0" collapsed="false">
      <c r="A48" s="10"/>
      <c r="B48" s="11" t="s">
        <v>3</v>
      </c>
      <c r="C48" s="2" t="s">
        <v>92</v>
      </c>
    </row>
    <row r="49" customFormat="false" ht="16.4" hidden="false" customHeight="false" outlineLevel="0" collapsed="false">
      <c r="A49" s="10"/>
      <c r="B49" s="11" t="s">
        <v>5</v>
      </c>
      <c r="C49" s="14" t="s">
        <v>93</v>
      </c>
    </row>
    <row r="50" customFormat="false" ht="14.25" hidden="false" customHeight="false" outlineLevel="0" collapsed="false">
      <c r="A50" s="10" t="s">
        <v>7</v>
      </c>
      <c r="B50" s="11" t="s">
        <v>8</v>
      </c>
      <c r="C50" s="2" t="s">
        <v>94</v>
      </c>
    </row>
    <row r="51" customFormat="false" ht="14.25" hidden="false" customHeight="false" outlineLevel="0" collapsed="false">
      <c r="A51" s="10"/>
      <c r="B51" s="11" t="s">
        <v>10</v>
      </c>
      <c r="C51" s="2" t="s">
        <v>84</v>
      </c>
    </row>
    <row r="52" customFormat="false" ht="14.25" hidden="false" customHeight="false" outlineLevel="0" collapsed="false">
      <c r="A52" s="10" t="s">
        <v>13</v>
      </c>
      <c r="B52" s="11" t="s">
        <v>14</v>
      </c>
      <c r="C52" s="2" t="n">
        <v>971</v>
      </c>
    </row>
    <row r="53" customFormat="false" ht="14.25" hidden="false" customHeight="false" outlineLevel="0" collapsed="false">
      <c r="A53" s="10"/>
      <c r="B53" s="11" t="s">
        <v>15</v>
      </c>
      <c r="C53" s="2" t="s">
        <v>95</v>
      </c>
      <c r="D53" s="1" t="s">
        <v>96</v>
      </c>
    </row>
    <row r="54" customFormat="false" ht="14.25" hidden="false" customHeight="false" outlineLevel="0" collapsed="false">
      <c r="A54" s="10"/>
      <c r="B54" s="11" t="s">
        <v>17</v>
      </c>
      <c r="C54" s="2" t="s">
        <v>97</v>
      </c>
    </row>
    <row r="55" customFormat="false" ht="14.25" hidden="false" customHeight="false" outlineLevel="0" collapsed="false">
      <c r="A55" s="10"/>
      <c r="B55" s="11" t="s">
        <v>19</v>
      </c>
      <c r="C55" s="2" t="s">
        <v>84</v>
      </c>
    </row>
    <row r="56" customFormat="false" ht="14.25" hidden="false" customHeight="false" outlineLevel="0" collapsed="false">
      <c r="A56" s="10" t="s">
        <v>22</v>
      </c>
      <c r="B56" s="11" t="s">
        <v>23</v>
      </c>
      <c r="C56" s="2" t="s">
        <v>84</v>
      </c>
    </row>
    <row r="57" customFormat="false" ht="14.25" hidden="false" customHeight="false" outlineLevel="0" collapsed="false">
      <c r="A57" s="10"/>
      <c r="B57" s="11" t="s">
        <v>25</v>
      </c>
      <c r="C57" s="2" t="s">
        <v>84</v>
      </c>
    </row>
    <row r="58" customFormat="false" ht="14.25" hidden="false" customHeight="false" outlineLevel="0" collapsed="false">
      <c r="A58" s="10"/>
      <c r="B58" s="11" t="s">
        <v>27</v>
      </c>
      <c r="C58" s="2" t="s">
        <v>84</v>
      </c>
    </row>
    <row r="59" customFormat="false" ht="14.25" hidden="false" customHeight="false" outlineLevel="0" collapsed="false">
      <c r="A59" s="10"/>
      <c r="B59" s="11" t="s">
        <v>64</v>
      </c>
      <c r="C59" s="2" t="s">
        <v>84</v>
      </c>
    </row>
    <row r="60" customFormat="false" ht="14.25" hidden="false" customHeight="false" outlineLevel="0" collapsed="false">
      <c r="A60" s="10" t="s">
        <v>65</v>
      </c>
      <c r="B60" s="11" t="s">
        <v>66</v>
      </c>
      <c r="C60" s="2" t="s">
        <v>84</v>
      </c>
    </row>
    <row r="61" customFormat="false" ht="14.25" hidden="false" customHeight="false" outlineLevel="0" collapsed="false">
      <c r="A61" s="10"/>
      <c r="B61" s="11" t="s">
        <v>68</v>
      </c>
      <c r="C61" s="2" t="s">
        <v>98</v>
      </c>
      <c r="D61" s="15" t="s">
        <v>99</v>
      </c>
      <c r="E61" s="1" t="s">
        <v>100</v>
      </c>
      <c r="F61" s="15" t="s">
        <v>101</v>
      </c>
      <c r="G61" s="15" t="s">
        <v>102</v>
      </c>
    </row>
    <row r="62" customFormat="false" ht="14.25" hidden="false" customHeight="false" outlineLevel="0" collapsed="false">
      <c r="A62" s="10" t="s">
        <v>71</v>
      </c>
      <c r="B62" s="4"/>
      <c r="C62" s="2" t="s">
        <v>103</v>
      </c>
    </row>
    <row r="63" customFormat="false" ht="14.25" hidden="false" customHeight="false" outlineLevel="0" collapsed="false">
      <c r="A63" s="10" t="s">
        <v>74</v>
      </c>
      <c r="B63" s="11" t="s">
        <v>75</v>
      </c>
    </row>
    <row r="64" customFormat="false" ht="14.25" hidden="false" customHeight="false" outlineLevel="0" collapsed="false">
      <c r="A64" s="10"/>
      <c r="B64" s="11" t="s">
        <v>76</v>
      </c>
    </row>
    <row r="65" customFormat="false" ht="16.4" hidden="false" customHeight="false" outlineLevel="0" collapsed="false">
      <c r="A65" s="10"/>
      <c r="B65" s="11" t="s">
        <v>77</v>
      </c>
      <c r="C65" s="14" t="s">
        <v>104</v>
      </c>
    </row>
    <row r="66" customFormat="false" ht="14.25" hidden="false" customHeight="false" outlineLevel="0" collapsed="false">
      <c r="A66" s="17" t="s">
        <v>79</v>
      </c>
      <c r="B66" s="4"/>
    </row>
    <row r="67" customFormat="false" ht="14.25" hidden="false" customHeight="false" outlineLevel="0" collapsed="false">
      <c r="A67" s="3"/>
      <c r="B67" s="4"/>
    </row>
    <row r="68" customFormat="false" ht="14.25" hidden="false" customHeight="false" outlineLevel="0" collapsed="false">
      <c r="A68" s="22"/>
      <c r="B68" s="23"/>
      <c r="C68" s="18"/>
      <c r="D68" s="24"/>
    </row>
    <row r="69" customFormat="false" ht="14.25" hidden="false" customHeight="false" outlineLevel="0" collapsed="false">
      <c r="A69" s="10" t="s">
        <v>0</v>
      </c>
      <c r="B69" s="11" t="s">
        <v>1</v>
      </c>
      <c r="C69" s="20" t="s">
        <v>105</v>
      </c>
    </row>
    <row r="70" customFormat="false" ht="14.25" hidden="false" customHeight="false" outlineLevel="0" collapsed="false">
      <c r="A70" s="10"/>
      <c r="B70" s="11" t="s">
        <v>3</v>
      </c>
      <c r="C70" s="2" t="s">
        <v>106</v>
      </c>
    </row>
    <row r="71" customFormat="false" ht="16.4" hidden="false" customHeight="false" outlineLevel="0" collapsed="false">
      <c r="A71" s="10"/>
      <c r="B71" s="11" t="s">
        <v>5</v>
      </c>
      <c r="C71" s="14" t="s">
        <v>107</v>
      </c>
      <c r="D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customFormat="false" ht="14.25" hidden="false" customHeight="false" outlineLevel="0" collapsed="false">
      <c r="A72" s="10" t="s">
        <v>7</v>
      </c>
      <c r="B72" s="11" t="s">
        <v>8</v>
      </c>
      <c r="C72" s="2" t="s">
        <v>108</v>
      </c>
      <c r="D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customFormat="false" ht="14.25" hidden="false" customHeight="false" outlineLevel="0" collapsed="false">
      <c r="A73" s="10"/>
      <c r="B73" s="11" t="s">
        <v>10</v>
      </c>
      <c r="C73" s="2" t="s">
        <v>84</v>
      </c>
    </row>
    <row r="74" customFormat="false" ht="14.25" hidden="false" customHeight="false" outlineLevel="0" collapsed="false">
      <c r="A74" s="10" t="s">
        <v>13</v>
      </c>
      <c r="B74" s="11" t="s">
        <v>14</v>
      </c>
      <c r="C74" s="2" t="n">
        <v>712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</row>
    <row r="75" customFormat="false" ht="14.25" hidden="false" customHeight="false" outlineLevel="0" collapsed="false">
      <c r="A75" s="10"/>
      <c r="B75" s="11" t="s">
        <v>15</v>
      </c>
      <c r="C75" s="2" t="s">
        <v>109</v>
      </c>
      <c r="D75" s="1" t="s">
        <v>110</v>
      </c>
    </row>
    <row r="76" customFormat="false" ht="14.25" hidden="false" customHeight="false" outlineLevel="0" collapsed="false">
      <c r="A76" s="10"/>
      <c r="B76" s="11" t="s">
        <v>17</v>
      </c>
      <c r="C76" s="2" t="s">
        <v>111</v>
      </c>
      <c r="F76" s="26"/>
    </row>
    <row r="77" customFormat="false" ht="14.25" hidden="false" customHeight="false" outlineLevel="0" collapsed="false">
      <c r="A77" s="10"/>
      <c r="B77" s="11" t="s">
        <v>19</v>
      </c>
      <c r="C77" s="2" t="s">
        <v>112</v>
      </c>
    </row>
    <row r="78" customFormat="false" ht="14.25" hidden="false" customHeight="false" outlineLevel="0" collapsed="false">
      <c r="A78" s="10" t="s">
        <v>22</v>
      </c>
      <c r="B78" s="11" t="s">
        <v>23</v>
      </c>
      <c r="C78" s="2" t="n">
        <v>712</v>
      </c>
    </row>
    <row r="79" customFormat="false" ht="14.25" hidden="false" customHeight="false" outlineLevel="0" collapsed="false">
      <c r="A79" s="10"/>
      <c r="B79" s="11" t="s">
        <v>25</v>
      </c>
      <c r="C79" s="2" t="n">
        <v>1</v>
      </c>
    </row>
    <row r="80" customFormat="false" ht="14.25" hidden="false" customHeight="false" outlineLevel="0" collapsed="false">
      <c r="A80" s="10"/>
      <c r="B80" s="11" t="s">
        <v>27</v>
      </c>
      <c r="C80" s="2" t="s">
        <v>113</v>
      </c>
    </row>
    <row r="81" customFormat="false" ht="14.25" hidden="false" customHeight="false" outlineLevel="0" collapsed="false">
      <c r="A81" s="10"/>
      <c r="B81" s="11" t="s">
        <v>64</v>
      </c>
      <c r="C81" s="2" t="s">
        <v>113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customFormat="false" ht="14.25" hidden="false" customHeight="false" outlineLevel="0" collapsed="false">
      <c r="A82" s="10" t="s">
        <v>65</v>
      </c>
      <c r="B82" s="11" t="s">
        <v>66</v>
      </c>
      <c r="C82" s="2" t="s">
        <v>114</v>
      </c>
    </row>
    <row r="83" customFormat="false" ht="14.25" hidden="false" customHeight="false" outlineLevel="0" collapsed="false">
      <c r="A83" s="10"/>
      <c r="B83" s="11" t="s">
        <v>68</v>
      </c>
      <c r="C83" s="2" t="s">
        <v>115</v>
      </c>
    </row>
    <row r="84" customFormat="false" ht="14.25" hidden="false" customHeight="false" outlineLevel="0" collapsed="false">
      <c r="A84" s="10" t="s">
        <v>71</v>
      </c>
      <c r="B84" s="4"/>
      <c r="C84" s="2" t="s">
        <v>72</v>
      </c>
      <c r="D84" s="1" t="s">
        <v>116</v>
      </c>
    </row>
    <row r="85" customFormat="false" ht="14.25" hidden="false" customHeight="false" outlineLevel="0" collapsed="false">
      <c r="A85" s="10" t="s">
        <v>74</v>
      </c>
      <c r="B85" s="11" t="s">
        <v>75</v>
      </c>
    </row>
    <row r="86" customFormat="false" ht="14.25" hidden="false" customHeight="false" outlineLevel="0" collapsed="false">
      <c r="A86" s="10"/>
      <c r="B86" s="11" t="s">
        <v>76</v>
      </c>
    </row>
    <row r="87" customFormat="false" ht="16.4" hidden="false" customHeight="false" outlineLevel="0" collapsed="false">
      <c r="A87" s="10"/>
      <c r="B87" s="11" t="s">
        <v>77</v>
      </c>
      <c r="C87" s="14" t="s">
        <v>117</v>
      </c>
    </row>
    <row r="88" customFormat="false" ht="16.4" hidden="false" customHeight="false" outlineLevel="0" collapsed="false">
      <c r="A88" s="17" t="s">
        <v>79</v>
      </c>
      <c r="B88" s="4"/>
      <c r="C88" s="14" t="s">
        <v>118</v>
      </c>
    </row>
    <row r="89" customFormat="false" ht="16.4" hidden="false" customHeight="false" outlineLevel="0" collapsed="false">
      <c r="A89" s="3"/>
      <c r="B89" s="4"/>
      <c r="C89" s="14" t="s">
        <v>119</v>
      </c>
    </row>
    <row r="90" customFormat="false" ht="14.25" hidden="false" customHeight="false" outlineLevel="0" collapsed="false">
      <c r="A90" s="22"/>
      <c r="B90" s="23"/>
      <c r="C90" s="18"/>
      <c r="D90" s="24"/>
    </row>
    <row r="91" customFormat="false" ht="14.25" hidden="false" customHeight="false" outlineLevel="0" collapsed="false">
      <c r="A91" s="10" t="s">
        <v>0</v>
      </c>
      <c r="B91" s="11" t="s">
        <v>1</v>
      </c>
      <c r="C91" s="20" t="s">
        <v>120</v>
      </c>
    </row>
    <row r="92" customFormat="false" ht="14.25" hidden="false" customHeight="false" outlineLevel="0" collapsed="false">
      <c r="A92" s="10"/>
      <c r="B92" s="11" t="s">
        <v>3</v>
      </c>
      <c r="C92" s="2" t="s">
        <v>121</v>
      </c>
    </row>
    <row r="93" customFormat="false" ht="16.4" hidden="false" customHeight="false" outlineLevel="0" collapsed="false">
      <c r="A93" s="10"/>
      <c r="B93" s="11" t="s">
        <v>5</v>
      </c>
      <c r="C93" s="14" t="s">
        <v>122</v>
      </c>
    </row>
    <row r="94" customFormat="false" ht="14.25" hidden="false" customHeight="false" outlineLevel="0" collapsed="false">
      <c r="A94" s="10" t="s">
        <v>7</v>
      </c>
      <c r="B94" s="11" t="s">
        <v>8</v>
      </c>
      <c r="C94" s="2" t="s">
        <v>123</v>
      </c>
    </row>
    <row r="95" customFormat="false" ht="14.25" hidden="false" customHeight="false" outlineLevel="0" collapsed="false">
      <c r="A95" s="10"/>
      <c r="B95" s="11" t="s">
        <v>10</v>
      </c>
      <c r="C95" s="2" t="s">
        <v>124</v>
      </c>
    </row>
    <row r="96" customFormat="false" ht="14.25" hidden="false" customHeight="false" outlineLevel="0" collapsed="false">
      <c r="A96" s="10" t="s">
        <v>13</v>
      </c>
      <c r="B96" s="11" t="s">
        <v>14</v>
      </c>
      <c r="C96" s="2" t="s">
        <v>125</v>
      </c>
      <c r="D96" s="1" t="s">
        <v>126</v>
      </c>
    </row>
    <row r="97" customFormat="false" ht="14.25" hidden="false" customHeight="false" outlineLevel="0" collapsed="false">
      <c r="A97" s="10"/>
      <c r="B97" s="11" t="s">
        <v>15</v>
      </c>
      <c r="C97" s="2" t="s">
        <v>127</v>
      </c>
      <c r="D97" s="1" t="s">
        <v>128</v>
      </c>
    </row>
    <row r="98" customFormat="false" ht="14.25" hidden="false" customHeight="false" outlineLevel="0" collapsed="false">
      <c r="A98" s="10"/>
      <c r="B98" s="11" t="s">
        <v>17</v>
      </c>
      <c r="C98" s="2" t="s">
        <v>129</v>
      </c>
      <c r="Y98" s="27"/>
    </row>
    <row r="99" customFormat="false" ht="14.25" hidden="false" customHeight="false" outlineLevel="0" collapsed="false">
      <c r="A99" s="10"/>
      <c r="B99" s="11" t="s">
        <v>19</v>
      </c>
      <c r="C99" s="2" t="s">
        <v>130</v>
      </c>
      <c r="Y99" s="27"/>
    </row>
    <row r="100" customFormat="false" ht="14.25" hidden="false" customHeight="false" outlineLevel="0" collapsed="false">
      <c r="A100" s="10" t="s">
        <v>22</v>
      </c>
      <c r="B100" s="11" t="s">
        <v>23</v>
      </c>
      <c r="C100" s="2" t="n">
        <v>1104</v>
      </c>
      <c r="Y100" s="27"/>
    </row>
    <row r="101" customFormat="false" ht="14.25" hidden="false" customHeight="false" outlineLevel="0" collapsed="false">
      <c r="A101" s="10"/>
      <c r="B101" s="11" t="s">
        <v>25</v>
      </c>
      <c r="C101" s="2" t="n">
        <v>1</v>
      </c>
      <c r="Y101" s="27"/>
    </row>
    <row r="102" customFormat="false" ht="14.25" hidden="false" customHeight="false" outlineLevel="0" collapsed="false">
      <c r="A102" s="10"/>
      <c r="B102" s="11" t="s">
        <v>27</v>
      </c>
      <c r="C102" s="2" t="s">
        <v>131</v>
      </c>
      <c r="D102" s="2" t="s">
        <v>132</v>
      </c>
      <c r="E102" s="2" t="s">
        <v>133</v>
      </c>
      <c r="F102" s="2" t="s">
        <v>134</v>
      </c>
      <c r="G102" s="2" t="s">
        <v>135</v>
      </c>
      <c r="H102" s="2" t="s">
        <v>136</v>
      </c>
      <c r="I102" s="2" t="s">
        <v>137</v>
      </c>
      <c r="J102" s="2" t="s">
        <v>138</v>
      </c>
      <c r="K102" s="2" t="s">
        <v>139</v>
      </c>
      <c r="L102" s="2" t="s">
        <v>140</v>
      </c>
      <c r="M102" s="2" t="s">
        <v>141</v>
      </c>
      <c r="N102" s="2" t="s">
        <v>142</v>
      </c>
      <c r="O102" s="2" t="s">
        <v>143</v>
      </c>
      <c r="P102" s="2" t="s">
        <v>61</v>
      </c>
      <c r="Q102" s="2" t="s">
        <v>144</v>
      </c>
      <c r="R102" s="2" t="s">
        <v>145</v>
      </c>
      <c r="Y102" s="27"/>
    </row>
    <row r="103" customFormat="false" ht="14.25" hidden="false" customHeight="false" outlineLevel="0" collapsed="false">
      <c r="A103" s="10"/>
      <c r="B103" s="11" t="s">
        <v>64</v>
      </c>
      <c r="C103" s="2" t="s">
        <v>146</v>
      </c>
      <c r="D103" s="2" t="s">
        <v>147</v>
      </c>
      <c r="E103" s="2" t="s">
        <v>147</v>
      </c>
      <c r="F103" s="2" t="n">
        <v>100</v>
      </c>
      <c r="G103" s="2" t="s">
        <v>147</v>
      </c>
      <c r="H103" s="2" t="n">
        <v>100</v>
      </c>
      <c r="I103" s="2" t="s">
        <v>148</v>
      </c>
      <c r="J103" s="2" t="s">
        <v>146</v>
      </c>
      <c r="K103" s="2" t="s">
        <v>147</v>
      </c>
      <c r="L103" s="2" t="s">
        <v>147</v>
      </c>
      <c r="M103" s="2" t="n">
        <v>1</v>
      </c>
      <c r="N103" s="2" t="n">
        <v>100</v>
      </c>
      <c r="O103" s="2" t="s">
        <v>149</v>
      </c>
      <c r="P103" s="2" t="s">
        <v>150</v>
      </c>
      <c r="Q103" s="2" t="s">
        <v>146</v>
      </c>
      <c r="R103" s="2" t="s">
        <v>146</v>
      </c>
      <c r="Y103" s="27"/>
    </row>
    <row r="104" customFormat="false" ht="14.25" hidden="false" customHeight="false" outlineLevel="0" collapsed="false">
      <c r="A104" s="10" t="s">
        <v>65</v>
      </c>
      <c r="B104" s="11" t="s">
        <v>66</v>
      </c>
      <c r="C104" s="2" t="s">
        <v>114</v>
      </c>
      <c r="Y104" s="27"/>
    </row>
    <row r="105" customFormat="false" ht="14.25" hidden="false" customHeight="false" outlineLevel="0" collapsed="false">
      <c r="A105" s="10"/>
      <c r="B105" s="11" t="s">
        <v>68</v>
      </c>
      <c r="C105" s="2" t="s">
        <v>151</v>
      </c>
      <c r="D105" s="1" t="s">
        <v>152</v>
      </c>
      <c r="F105" s="1" t="s">
        <v>153</v>
      </c>
      <c r="L105" s="28" t="s">
        <v>154</v>
      </c>
      <c r="Y105" s="27"/>
    </row>
    <row r="106" customFormat="false" ht="14.25" hidden="false" customHeight="false" outlineLevel="0" collapsed="false">
      <c r="A106" s="10" t="s">
        <v>71</v>
      </c>
      <c r="B106" s="4"/>
      <c r="C106" s="2" t="s">
        <v>72</v>
      </c>
      <c r="D106" s="1" t="s">
        <v>155</v>
      </c>
      <c r="L106" s="28" t="s">
        <v>154</v>
      </c>
      <c r="Y106" s="27"/>
    </row>
    <row r="107" customFormat="false" ht="14.25" hidden="false" customHeight="false" outlineLevel="0" collapsed="false">
      <c r="A107" s="10" t="s">
        <v>74</v>
      </c>
      <c r="B107" s="11" t="s">
        <v>75</v>
      </c>
      <c r="L107" s="28" t="s">
        <v>154</v>
      </c>
      <c r="Y107" s="27"/>
    </row>
    <row r="108" customFormat="false" ht="14.25" hidden="false" customHeight="false" outlineLevel="0" collapsed="false">
      <c r="A108" s="10"/>
      <c r="B108" s="11" t="s">
        <v>76</v>
      </c>
      <c r="L108" s="28" t="s">
        <v>154</v>
      </c>
      <c r="Y108" s="27"/>
    </row>
    <row r="109" customFormat="false" ht="16.4" hidden="false" customHeight="false" outlineLevel="0" collapsed="false">
      <c r="A109" s="10"/>
      <c r="B109" s="11" t="s">
        <v>77</v>
      </c>
      <c r="C109" s="14" t="s">
        <v>156</v>
      </c>
      <c r="L109" s="28" t="s">
        <v>154</v>
      </c>
      <c r="Y109" s="27"/>
    </row>
    <row r="110" customFormat="false" ht="16.4" hidden="false" customHeight="false" outlineLevel="0" collapsed="false">
      <c r="A110" s="17" t="s">
        <v>79</v>
      </c>
      <c r="B110" s="4"/>
      <c r="C110" s="14" t="s">
        <v>157</v>
      </c>
      <c r="L110" s="28" t="s">
        <v>154</v>
      </c>
      <c r="Y110" s="27"/>
    </row>
    <row r="111" customFormat="false" ht="14.25" hidden="false" customHeight="false" outlineLevel="0" collapsed="false">
      <c r="A111" s="3"/>
      <c r="B111" s="4"/>
      <c r="L111" s="28" t="s">
        <v>154</v>
      </c>
      <c r="Y111" s="27"/>
    </row>
    <row r="112" customFormat="false" ht="14.25" hidden="false" customHeight="false" outlineLevel="0" collapsed="false">
      <c r="A112" s="22"/>
      <c r="B112" s="23"/>
      <c r="C112" s="18"/>
      <c r="D112" s="24"/>
      <c r="L112" s="28" t="s">
        <v>154</v>
      </c>
      <c r="Y112" s="27"/>
    </row>
    <row r="113" customFormat="false" ht="14.25" hidden="false" customHeight="false" outlineLevel="0" collapsed="false">
      <c r="A113" s="10" t="s">
        <v>0</v>
      </c>
      <c r="B113" s="11" t="s">
        <v>1</v>
      </c>
      <c r="C113" s="20" t="s">
        <v>158</v>
      </c>
      <c r="Y113" s="27"/>
      <c r="AF113" s="1" t="s">
        <v>159</v>
      </c>
    </row>
    <row r="114" customFormat="false" ht="14.25" hidden="false" customHeight="false" outlineLevel="0" collapsed="false">
      <c r="A114" s="10"/>
      <c r="B114" s="11" t="s">
        <v>3</v>
      </c>
      <c r="C114" s="2" t="s">
        <v>4</v>
      </c>
    </row>
    <row r="115" customFormat="false" ht="14.25" hidden="false" customHeight="false" outlineLevel="0" collapsed="false">
      <c r="A115" s="10"/>
      <c r="B115" s="11" t="s">
        <v>5</v>
      </c>
      <c r="C115" s="2" t="s">
        <v>160</v>
      </c>
    </row>
    <row r="116" customFormat="false" ht="14.25" hidden="false" customHeight="false" outlineLevel="0" collapsed="false">
      <c r="A116" s="10" t="s">
        <v>7</v>
      </c>
      <c r="B116" s="11" t="s">
        <v>8</v>
      </c>
      <c r="C116" s="2" t="s">
        <v>161</v>
      </c>
    </row>
    <row r="117" customFormat="false" ht="14.25" hidden="false" customHeight="false" outlineLevel="0" collapsed="false">
      <c r="A117" s="10"/>
      <c r="B117" s="11" t="s">
        <v>10</v>
      </c>
      <c r="C117" s="29" t="s">
        <v>162</v>
      </c>
      <c r="D117" s="29" t="s">
        <v>163</v>
      </c>
      <c r="E117" s="9" t="s">
        <v>164</v>
      </c>
      <c r="F117" s="29" t="s">
        <v>165</v>
      </c>
    </row>
    <row r="118" customFormat="false" ht="14.25" hidden="false" customHeight="false" outlineLevel="0" collapsed="false">
      <c r="A118" s="10" t="s">
        <v>13</v>
      </c>
      <c r="B118" s="11" t="s">
        <v>14</v>
      </c>
      <c r="C118" s="2" t="n">
        <v>169</v>
      </c>
    </row>
    <row r="119" customFormat="false" ht="14.25" hidden="false" customHeight="false" outlineLevel="0" collapsed="false">
      <c r="A119" s="10"/>
      <c r="B119" s="11" t="s">
        <v>15</v>
      </c>
      <c r="C119" s="2" t="s">
        <v>166</v>
      </c>
      <c r="D119" s="1" t="s">
        <v>167</v>
      </c>
    </row>
    <row r="120" customFormat="false" ht="14.25" hidden="false" customHeight="false" outlineLevel="0" collapsed="false">
      <c r="A120" s="10"/>
      <c r="B120" s="11" t="s">
        <v>17</v>
      </c>
      <c r="C120" s="2" t="s">
        <v>168</v>
      </c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customFormat="false" ht="14.25" hidden="false" customHeight="false" outlineLevel="0" collapsed="false">
      <c r="A121" s="10"/>
      <c r="B121" s="11" t="s">
        <v>19</v>
      </c>
      <c r="C121" s="2" t="s">
        <v>169</v>
      </c>
    </row>
    <row r="122" customFormat="false" ht="14.25" hidden="false" customHeight="false" outlineLevel="0" collapsed="false">
      <c r="A122" s="10" t="s">
        <v>22</v>
      </c>
      <c r="B122" s="11" t="s">
        <v>23</v>
      </c>
      <c r="C122" s="2" t="s">
        <v>170</v>
      </c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customFormat="false" ht="14.25" hidden="false" customHeight="false" outlineLevel="0" collapsed="false">
      <c r="A123" s="10"/>
      <c r="B123" s="11" t="s">
        <v>25</v>
      </c>
      <c r="C123" s="2" t="s">
        <v>171</v>
      </c>
      <c r="D123" s="31"/>
    </row>
    <row r="124" customFormat="false" ht="13.5" hidden="false" customHeight="true" outlineLevel="0" collapsed="false">
      <c r="A124" s="10"/>
      <c r="B124" s="11" t="s">
        <v>27</v>
      </c>
      <c r="C124" s="2" t="s">
        <v>172</v>
      </c>
    </row>
    <row r="125" customFormat="false" ht="14.25" hidden="false" customHeight="false" outlineLevel="0" collapsed="false">
      <c r="A125" s="10"/>
      <c r="B125" s="11" t="s">
        <v>64</v>
      </c>
      <c r="C125" s="2" t="s">
        <v>172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customFormat="false" ht="14.25" hidden="false" customHeight="false" outlineLevel="0" collapsed="false">
      <c r="A126" s="10" t="s">
        <v>65</v>
      </c>
      <c r="B126" s="11" t="s">
        <v>66</v>
      </c>
      <c r="C126" s="2" t="s">
        <v>67</v>
      </c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customFormat="false" ht="14.25" hidden="false" customHeight="false" outlineLevel="0" collapsed="false">
      <c r="A127" s="10"/>
      <c r="B127" s="11" t="s">
        <v>68</v>
      </c>
      <c r="C127" s="2" t="s">
        <v>173</v>
      </c>
    </row>
    <row r="128" customFormat="false" ht="14.25" hidden="false" customHeight="false" outlineLevel="0" collapsed="false">
      <c r="A128" s="10" t="s">
        <v>71</v>
      </c>
      <c r="B128" s="4"/>
      <c r="C128" s="2" t="s">
        <v>72</v>
      </c>
      <c r="D128" s="1" t="s">
        <v>73</v>
      </c>
    </row>
    <row r="129" customFormat="false" ht="14.25" hidden="false" customHeight="false" outlineLevel="0" collapsed="false">
      <c r="A129" s="10" t="s">
        <v>74</v>
      </c>
      <c r="B129" s="11" t="s">
        <v>75</v>
      </c>
    </row>
    <row r="130" customFormat="false" ht="14.25" hidden="false" customHeight="false" outlineLevel="0" collapsed="false">
      <c r="A130" s="10"/>
      <c r="B130" s="11" t="s">
        <v>76</v>
      </c>
    </row>
    <row r="131" customFormat="false" ht="16.4" hidden="false" customHeight="false" outlineLevel="0" collapsed="false">
      <c r="A131" s="10"/>
      <c r="B131" s="11" t="s">
        <v>77</v>
      </c>
      <c r="C131" s="14" t="s">
        <v>174</v>
      </c>
    </row>
    <row r="132" customFormat="false" ht="16.4" hidden="false" customHeight="false" outlineLevel="0" collapsed="false">
      <c r="A132" s="17" t="s">
        <v>79</v>
      </c>
      <c r="B132" s="4"/>
      <c r="C132" s="14" t="s">
        <v>175</v>
      </c>
    </row>
    <row r="133" customFormat="false" ht="16.4" hidden="false" customHeight="false" outlineLevel="0" collapsed="false">
      <c r="A133" s="3"/>
      <c r="B133" s="4"/>
      <c r="C133" s="14" t="s">
        <v>176</v>
      </c>
    </row>
    <row r="134" customFormat="false" ht="14.25" hidden="false" customHeight="false" outlineLevel="0" collapsed="false">
      <c r="A134" s="22"/>
      <c r="B134" s="23"/>
      <c r="C134" s="33"/>
      <c r="D134" s="24"/>
    </row>
    <row r="135" customFormat="false" ht="14.25" hidden="false" customHeight="false" outlineLevel="0" collapsed="false">
      <c r="A135" s="10" t="s">
        <v>0</v>
      </c>
      <c r="B135" s="11" t="s">
        <v>1</v>
      </c>
      <c r="C135" s="34" t="s">
        <v>177</v>
      </c>
    </row>
    <row r="136" customFormat="false" ht="14.25" hidden="false" customHeight="false" outlineLevel="0" collapsed="false">
      <c r="A136" s="10"/>
      <c r="B136" s="11" t="s">
        <v>3</v>
      </c>
      <c r="C136" s="35" t="n">
        <v>2012</v>
      </c>
    </row>
    <row r="137" customFormat="false" ht="16.4" hidden="false" customHeight="false" outlineLevel="0" collapsed="false">
      <c r="A137" s="10"/>
      <c r="B137" s="11" t="s">
        <v>5</v>
      </c>
      <c r="C137" s="14" t="s">
        <v>178</v>
      </c>
    </row>
    <row r="138" customFormat="false" ht="14.25" hidden="false" customHeight="false" outlineLevel="0" collapsed="false">
      <c r="A138" s="10" t="s">
        <v>7</v>
      </c>
      <c r="B138" s="11" t="s">
        <v>8</v>
      </c>
      <c r="C138" s="35" t="s">
        <v>179</v>
      </c>
    </row>
    <row r="139" customFormat="false" ht="14.25" hidden="false" customHeight="false" outlineLevel="0" collapsed="false">
      <c r="A139" s="10"/>
      <c r="B139" s="11" t="s">
        <v>10</v>
      </c>
      <c r="C139" s="35" t="s">
        <v>84</v>
      </c>
    </row>
    <row r="140" customFormat="false" ht="14.25" hidden="false" customHeight="false" outlineLevel="0" collapsed="false">
      <c r="A140" s="10" t="s">
        <v>13</v>
      </c>
      <c r="B140" s="11" t="s">
        <v>14</v>
      </c>
      <c r="C140" s="35" t="n">
        <v>108</v>
      </c>
    </row>
    <row r="141" customFormat="false" ht="14.25" hidden="false" customHeight="false" outlineLevel="0" collapsed="false">
      <c r="A141" s="10"/>
      <c r="B141" s="11" t="s">
        <v>15</v>
      </c>
      <c r="C141" s="35" t="s">
        <v>180</v>
      </c>
    </row>
    <row r="142" customFormat="false" ht="14.25" hidden="false" customHeight="false" outlineLevel="0" collapsed="false">
      <c r="A142" s="10"/>
      <c r="B142" s="11" t="s">
        <v>17</v>
      </c>
      <c r="C142" s="35" t="s">
        <v>181</v>
      </c>
    </row>
    <row r="143" customFormat="false" ht="14.25" hidden="false" customHeight="false" outlineLevel="0" collapsed="false">
      <c r="A143" s="10"/>
      <c r="B143" s="11" t="s">
        <v>19</v>
      </c>
      <c r="C143" s="9" t="s">
        <v>182</v>
      </c>
      <c r="D143" s="9" t="s">
        <v>183</v>
      </c>
      <c r="E143" s="9" t="s">
        <v>184</v>
      </c>
      <c r="F143" s="9" t="s">
        <v>185</v>
      </c>
      <c r="G143" s="9" t="s">
        <v>186</v>
      </c>
      <c r="H143" s="9" t="s">
        <v>187</v>
      </c>
      <c r="I143" s="9" t="s">
        <v>188</v>
      </c>
      <c r="J143" s="9" t="s">
        <v>189</v>
      </c>
      <c r="K143" s="36"/>
    </row>
    <row r="144" customFormat="false" ht="14.25" hidden="false" customHeight="false" outlineLevel="0" collapsed="false">
      <c r="A144" s="10"/>
      <c r="B144" s="11" t="s">
        <v>190</v>
      </c>
      <c r="C144" s="9" t="s">
        <v>191</v>
      </c>
      <c r="D144" s="9" t="s">
        <v>192</v>
      </c>
      <c r="E144" s="9" t="s">
        <v>193</v>
      </c>
      <c r="F144" s="9" t="s">
        <v>194</v>
      </c>
      <c r="G144" s="9" t="s">
        <v>195</v>
      </c>
      <c r="H144" s="9" t="s">
        <v>196</v>
      </c>
      <c r="I144" s="9" t="s">
        <v>197</v>
      </c>
      <c r="J144" s="9" t="s">
        <v>198</v>
      </c>
    </row>
    <row r="145" customFormat="false" ht="14.25" hidden="false" customHeight="false" outlineLevel="0" collapsed="false">
      <c r="A145" s="10" t="s">
        <v>22</v>
      </c>
      <c r="B145" s="11" t="s">
        <v>23</v>
      </c>
      <c r="C145" s="35" t="n">
        <v>108</v>
      </c>
    </row>
    <row r="146" customFormat="false" ht="14.25" hidden="false" customHeight="false" outlineLevel="0" collapsed="false">
      <c r="A146" s="10"/>
      <c r="B146" s="11" t="s">
        <v>25</v>
      </c>
      <c r="C146" s="35" t="n">
        <v>1</v>
      </c>
      <c r="D146" s="14"/>
      <c r="E146" s="14"/>
      <c r="F146" s="36"/>
      <c r="G146" s="32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</row>
    <row r="147" customFormat="false" ht="14.25" hidden="false" customHeight="false" outlineLevel="0" collapsed="false">
      <c r="A147" s="10"/>
      <c r="B147" s="11" t="s">
        <v>27</v>
      </c>
      <c r="C147" s="35" t="s">
        <v>199</v>
      </c>
    </row>
    <row r="148" customFormat="false" ht="14.25" hidden="false" customHeight="false" outlineLevel="0" collapsed="false">
      <c r="A148" s="10"/>
      <c r="B148" s="11" t="s">
        <v>64</v>
      </c>
      <c r="C148" s="35" t="s">
        <v>199</v>
      </c>
      <c r="F148" s="36"/>
      <c r="G148" s="32"/>
    </row>
    <row r="149" customFormat="false" ht="14.25" hidden="false" customHeight="false" outlineLevel="0" collapsed="false">
      <c r="A149" s="10" t="s">
        <v>65</v>
      </c>
      <c r="B149" s="11" t="s">
        <v>66</v>
      </c>
      <c r="C149" s="35" t="s">
        <v>114</v>
      </c>
      <c r="F149" s="36"/>
      <c r="G149" s="32"/>
    </row>
    <row r="150" customFormat="false" ht="14.25" hidden="false" customHeight="false" outlineLevel="0" collapsed="false">
      <c r="A150" s="10"/>
      <c r="B150" s="11" t="s">
        <v>68</v>
      </c>
      <c r="C150" s="35" t="s">
        <v>200</v>
      </c>
      <c r="F150" s="36"/>
      <c r="G150" s="32"/>
    </row>
    <row r="151" customFormat="false" ht="14.25" hidden="false" customHeight="false" outlineLevel="0" collapsed="false">
      <c r="A151" s="10" t="s">
        <v>71</v>
      </c>
      <c r="B151" s="4"/>
      <c r="C151" s="35" t="s">
        <v>72</v>
      </c>
      <c r="D151" s="1" t="s">
        <v>89</v>
      </c>
      <c r="F151" s="36"/>
      <c r="G151" s="32"/>
    </row>
    <row r="152" customFormat="false" ht="14.25" hidden="false" customHeight="false" outlineLevel="0" collapsed="false">
      <c r="A152" s="10" t="s">
        <v>74</v>
      </c>
      <c r="B152" s="11" t="s">
        <v>75</v>
      </c>
      <c r="C152" s="35"/>
      <c r="F152" s="36"/>
      <c r="G152" s="32"/>
    </row>
    <row r="153" customFormat="false" ht="14.25" hidden="false" customHeight="false" outlineLevel="0" collapsed="false">
      <c r="A153" s="10"/>
      <c r="B153" s="11" t="s">
        <v>76</v>
      </c>
      <c r="C153" s="35"/>
    </row>
    <row r="154" customFormat="false" ht="16.4" hidden="false" customHeight="false" outlineLevel="0" collapsed="false">
      <c r="A154" s="10"/>
      <c r="B154" s="11" t="s">
        <v>77</v>
      </c>
      <c r="C154" s="21" t="s">
        <v>201</v>
      </c>
    </row>
    <row r="155" customFormat="false" ht="14.25" hidden="false" customHeight="false" outlineLevel="0" collapsed="false">
      <c r="A155" s="17" t="s">
        <v>79</v>
      </c>
      <c r="B155" s="4"/>
      <c r="C155" s="14"/>
    </row>
    <row r="156" customFormat="false" ht="14.25" hidden="false" customHeight="false" outlineLevel="0" collapsed="false">
      <c r="A156" s="3"/>
      <c r="B156" s="4"/>
      <c r="C156" s="14"/>
    </row>
    <row r="157" customFormat="false" ht="14.25" hidden="false" customHeight="false" outlineLevel="0" collapsed="false">
      <c r="A157" s="5"/>
      <c r="B157" s="6"/>
      <c r="C157" s="18"/>
      <c r="D157" s="24"/>
    </row>
    <row r="158" customFormat="false" ht="14.25" hidden="false" customHeight="false" outlineLevel="0" collapsed="false">
      <c r="A158" s="10" t="s">
        <v>0</v>
      </c>
      <c r="B158" s="11" t="s">
        <v>1</v>
      </c>
      <c r="C158" s="20" t="s">
        <v>202</v>
      </c>
    </row>
    <row r="159" customFormat="false" ht="14.25" hidden="false" customHeight="false" outlineLevel="0" collapsed="false">
      <c r="A159" s="10"/>
      <c r="B159" s="11" t="s">
        <v>3</v>
      </c>
      <c r="C159" s="2" t="s">
        <v>203</v>
      </c>
    </row>
    <row r="160" customFormat="false" ht="14.25" hidden="false" customHeight="false" outlineLevel="0" collapsed="false">
      <c r="A160" s="10"/>
      <c r="B160" s="11" t="s">
        <v>5</v>
      </c>
      <c r="C160" s="2" t="s">
        <v>204</v>
      </c>
    </row>
    <row r="161" customFormat="false" ht="14.25" hidden="false" customHeight="false" outlineLevel="0" collapsed="false">
      <c r="A161" s="10" t="s">
        <v>7</v>
      </c>
      <c r="B161" s="11" t="s">
        <v>8</v>
      </c>
      <c r="C161" s="2" t="s">
        <v>205</v>
      </c>
    </row>
    <row r="162" customFormat="false" ht="14.25" hidden="false" customHeight="false" outlineLevel="0" collapsed="false">
      <c r="A162" s="10"/>
      <c r="B162" s="11" t="s">
        <v>10</v>
      </c>
      <c r="C162" s="2" t="s">
        <v>84</v>
      </c>
    </row>
    <row r="163" customFormat="false" ht="14.25" hidden="false" customHeight="false" outlineLevel="0" collapsed="false">
      <c r="A163" s="10" t="s">
        <v>13</v>
      </c>
      <c r="B163" s="11" t="s">
        <v>14</v>
      </c>
      <c r="C163" s="2" t="n">
        <v>2284</v>
      </c>
    </row>
    <row r="164" customFormat="false" ht="14.25" hidden="false" customHeight="false" outlineLevel="0" collapsed="false">
      <c r="A164" s="10"/>
      <c r="B164" s="11" t="s">
        <v>15</v>
      </c>
      <c r="C164" s="37" t="s">
        <v>206</v>
      </c>
    </row>
    <row r="165" customFormat="false" ht="14.25" hidden="false" customHeight="false" outlineLevel="0" collapsed="false">
      <c r="A165" s="10"/>
      <c r="B165" s="11" t="s">
        <v>17</v>
      </c>
      <c r="C165" s="2" t="s">
        <v>207</v>
      </c>
    </row>
    <row r="166" customFormat="false" ht="14.25" hidden="false" customHeight="false" outlineLevel="0" collapsed="false">
      <c r="A166" s="10"/>
      <c r="B166" s="11" t="s">
        <v>19</v>
      </c>
      <c r="C166" s="2" t="s">
        <v>84</v>
      </c>
    </row>
    <row r="167" customFormat="false" ht="14.25" hidden="false" customHeight="false" outlineLevel="0" collapsed="false">
      <c r="A167" s="10" t="s">
        <v>22</v>
      </c>
      <c r="B167" s="11" t="s">
        <v>23</v>
      </c>
      <c r="C167" s="2" t="s">
        <v>208</v>
      </c>
    </row>
    <row r="168" customFormat="false" ht="14.25" hidden="false" customHeight="false" outlineLevel="0" collapsed="false">
      <c r="A168" s="10"/>
      <c r="B168" s="11" t="s">
        <v>25</v>
      </c>
      <c r="C168" s="2" t="n">
        <v>1</v>
      </c>
    </row>
    <row r="169" customFormat="false" ht="14.25" hidden="false" customHeight="false" outlineLevel="0" collapsed="false">
      <c r="A169" s="10"/>
      <c r="B169" s="11" t="s">
        <v>27</v>
      </c>
      <c r="C169" s="2" t="s">
        <v>209</v>
      </c>
      <c r="D169" s="1" t="s">
        <v>210</v>
      </c>
      <c r="E169" s="1" t="s">
        <v>211</v>
      </c>
      <c r="F169" s="1" t="s">
        <v>212</v>
      </c>
      <c r="G169" s="1" t="s">
        <v>213</v>
      </c>
      <c r="H169" s="1" t="s">
        <v>214</v>
      </c>
      <c r="I169" s="1" t="s">
        <v>215</v>
      </c>
      <c r="J169" s="1" t="s">
        <v>216</v>
      </c>
      <c r="K169" s="1" t="s">
        <v>217</v>
      </c>
      <c r="L169" s="1" t="s">
        <v>218</v>
      </c>
      <c r="M169" s="38" t="s">
        <v>219</v>
      </c>
      <c r="N169" s="1" t="s">
        <v>52</v>
      </c>
      <c r="O169" s="1" t="s">
        <v>137</v>
      </c>
      <c r="P169" s="1" t="s">
        <v>220</v>
      </c>
      <c r="Q169" s="1" t="s">
        <v>221</v>
      </c>
      <c r="R169" s="1" t="s">
        <v>222</v>
      </c>
      <c r="S169" s="1" t="s">
        <v>223</v>
      </c>
      <c r="T169" s="1" t="s">
        <v>224</v>
      </c>
      <c r="U169" s="1" t="s">
        <v>225</v>
      </c>
      <c r="V169" s="1" t="s">
        <v>226</v>
      </c>
      <c r="W169" s="1" t="s">
        <v>227</v>
      </c>
      <c r="X169" s="1" t="s">
        <v>228</v>
      </c>
      <c r="Y169" s="1" t="s">
        <v>229</v>
      </c>
      <c r="Z169" s="1" t="s">
        <v>142</v>
      </c>
      <c r="AA169" s="1" t="s">
        <v>230</v>
      </c>
      <c r="AB169" s="1" t="s">
        <v>231</v>
      </c>
      <c r="AC169" s="1" t="s">
        <v>61</v>
      </c>
      <c r="AD169" s="1" t="s">
        <v>232</v>
      </c>
      <c r="AE169" s="1" t="s">
        <v>233</v>
      </c>
    </row>
    <row r="170" customFormat="false" ht="14.25" hidden="false" customHeight="false" outlineLevel="0" collapsed="false">
      <c r="A170" s="10"/>
      <c r="B170" s="11" t="s">
        <v>64</v>
      </c>
      <c r="C170" s="16" t="s">
        <v>234</v>
      </c>
      <c r="D170" s="16" t="s">
        <v>235</v>
      </c>
      <c r="E170" s="16" t="s">
        <v>236</v>
      </c>
      <c r="F170" s="16" t="s">
        <v>236</v>
      </c>
      <c r="G170" s="16" t="s">
        <v>237</v>
      </c>
      <c r="H170" s="16" t="s">
        <v>237</v>
      </c>
      <c r="I170" s="16" t="n">
        <v>256</v>
      </c>
      <c r="J170" s="16" t="n">
        <v>256</v>
      </c>
      <c r="K170" s="16" t="n">
        <v>256</v>
      </c>
      <c r="L170" s="16" t="n">
        <v>512</v>
      </c>
      <c r="M170" s="2" t="s">
        <v>238</v>
      </c>
      <c r="N170" s="16" t="n">
        <v>512</v>
      </c>
      <c r="O170" s="16" t="s">
        <v>236</v>
      </c>
      <c r="P170" s="16" t="s">
        <v>236</v>
      </c>
      <c r="Q170" s="16" t="s">
        <v>236</v>
      </c>
      <c r="R170" s="16" t="n">
        <v>1</v>
      </c>
      <c r="S170" s="1" t="s">
        <v>239</v>
      </c>
      <c r="T170" s="16" t="n">
        <v>1</v>
      </c>
      <c r="U170" s="1" t="n">
        <v>32</v>
      </c>
      <c r="V170" s="16" t="n">
        <v>128</v>
      </c>
      <c r="W170" s="1" t="s">
        <v>240</v>
      </c>
      <c r="X170" s="16" t="n">
        <v>1</v>
      </c>
      <c r="Y170" s="1" t="s">
        <v>238</v>
      </c>
      <c r="Z170" s="16" t="s">
        <v>236</v>
      </c>
      <c r="AA170" s="16" t="n">
        <v>1</v>
      </c>
      <c r="AB170" s="16" t="s">
        <v>241</v>
      </c>
      <c r="AC170" s="16" t="n">
        <v>1</v>
      </c>
      <c r="AD170" s="16" t="n">
        <v>32</v>
      </c>
      <c r="AE170" s="16" t="s">
        <v>234</v>
      </c>
    </row>
    <row r="171" customFormat="false" ht="14.25" hidden="false" customHeight="false" outlineLevel="0" collapsed="false">
      <c r="A171" s="10" t="s">
        <v>65</v>
      </c>
      <c r="B171" s="11" t="s">
        <v>66</v>
      </c>
      <c r="C171" s="2" t="s">
        <v>114</v>
      </c>
    </row>
    <row r="172" customFormat="false" ht="14.25" hidden="false" customHeight="false" outlineLevel="0" collapsed="false">
      <c r="A172" s="10"/>
      <c r="B172" s="11" t="s">
        <v>68</v>
      </c>
      <c r="C172" s="2" t="s">
        <v>242</v>
      </c>
      <c r="D172" s="1" t="s">
        <v>243</v>
      </c>
      <c r="E172" s="1" t="s">
        <v>152</v>
      </c>
    </row>
    <row r="173" customFormat="false" ht="14.25" hidden="false" customHeight="false" outlineLevel="0" collapsed="false">
      <c r="A173" s="10" t="s">
        <v>71</v>
      </c>
      <c r="B173" s="4"/>
      <c r="C173" s="2" t="s">
        <v>72</v>
      </c>
      <c r="D173" s="1" t="s">
        <v>73</v>
      </c>
    </row>
    <row r="174" customFormat="false" ht="14.25" hidden="false" customHeight="false" outlineLevel="0" collapsed="false">
      <c r="A174" s="10" t="s">
        <v>74</v>
      </c>
      <c r="B174" s="11" t="s">
        <v>75</v>
      </c>
    </row>
    <row r="175" customFormat="false" ht="14.25" hidden="false" customHeight="false" outlineLevel="0" collapsed="false">
      <c r="A175" s="10"/>
      <c r="B175" s="11" t="s">
        <v>76</v>
      </c>
    </row>
    <row r="176" customFormat="false" ht="16.4" hidden="false" customHeight="false" outlineLevel="0" collapsed="false">
      <c r="A176" s="10"/>
      <c r="B176" s="11" t="s">
        <v>77</v>
      </c>
      <c r="C176" s="21" t="s">
        <v>244</v>
      </c>
    </row>
    <row r="177" customFormat="false" ht="16.4" hidden="false" customHeight="false" outlineLevel="0" collapsed="false">
      <c r="A177" s="17" t="s">
        <v>79</v>
      </c>
      <c r="B177" s="4"/>
      <c r="C177" s="14" t="s">
        <v>245</v>
      </c>
    </row>
    <row r="178" customFormat="false" ht="14.25" hidden="false" customHeight="false" outlineLevel="0" collapsed="false">
      <c r="A178" s="3"/>
      <c r="B178" s="4"/>
    </row>
    <row r="179" customFormat="false" ht="14.25" hidden="false" customHeight="false" outlineLevel="0" collapsed="false">
      <c r="A179" s="3"/>
      <c r="B179" s="4"/>
      <c r="C179" s="18"/>
      <c r="D179" s="24"/>
    </row>
    <row r="180" customFormat="false" ht="14.25" hidden="false" customHeight="false" outlineLevel="0" collapsed="false">
      <c r="A180" s="39" t="s">
        <v>0</v>
      </c>
      <c r="B180" s="40" t="s">
        <v>1</v>
      </c>
      <c r="C180" s="20" t="s">
        <v>246</v>
      </c>
    </row>
    <row r="181" customFormat="false" ht="14.25" hidden="false" customHeight="false" outlineLevel="0" collapsed="false">
      <c r="A181" s="39"/>
      <c r="B181" s="11" t="s">
        <v>3</v>
      </c>
      <c r="C181" s="2" t="s">
        <v>247</v>
      </c>
    </row>
    <row r="182" customFormat="false" ht="16.4" hidden="false" customHeight="false" outlineLevel="0" collapsed="false">
      <c r="A182" s="39"/>
      <c r="B182" s="11" t="s">
        <v>5</v>
      </c>
      <c r="C182" s="14" t="s">
        <v>248</v>
      </c>
    </row>
    <row r="183" customFormat="false" ht="14.25" hidden="false" customHeight="false" outlineLevel="0" collapsed="false">
      <c r="A183" s="41" t="s">
        <v>7</v>
      </c>
      <c r="B183" s="11" t="s">
        <v>8</v>
      </c>
      <c r="C183" s="2" t="s">
        <v>249</v>
      </c>
    </row>
    <row r="184" customFormat="false" ht="14.25" hidden="false" customHeight="false" outlineLevel="0" collapsed="false">
      <c r="A184" s="41"/>
      <c r="B184" s="11" t="s">
        <v>10</v>
      </c>
      <c r="C184" s="2" t="s">
        <v>250</v>
      </c>
    </row>
    <row r="185" customFormat="false" ht="14.25" hidden="false" customHeight="false" outlineLevel="0" collapsed="false">
      <c r="A185" s="41" t="s">
        <v>13</v>
      </c>
      <c r="B185" s="11" t="s">
        <v>14</v>
      </c>
      <c r="C185" s="2" t="n">
        <v>113</v>
      </c>
    </row>
    <row r="186" customFormat="false" ht="14.25" hidden="false" customHeight="false" outlineLevel="0" collapsed="false">
      <c r="A186" s="41"/>
      <c r="B186" s="11" t="s">
        <v>15</v>
      </c>
      <c r="C186" s="2" t="s">
        <v>251</v>
      </c>
    </row>
    <row r="187" customFormat="false" ht="14.25" hidden="false" customHeight="false" outlineLevel="0" collapsed="false">
      <c r="A187" s="41"/>
      <c r="B187" s="11" t="s">
        <v>17</v>
      </c>
      <c r="C187" s="2" t="s">
        <v>84</v>
      </c>
    </row>
    <row r="188" customFormat="false" ht="14.25" hidden="false" customHeight="false" outlineLevel="0" collapsed="false">
      <c r="A188" s="41"/>
      <c r="B188" s="11" t="s">
        <v>19</v>
      </c>
      <c r="C188" s="2" t="s">
        <v>84</v>
      </c>
    </row>
    <row r="189" customFormat="false" ht="14.25" hidden="false" customHeight="false" outlineLevel="0" collapsed="false">
      <c r="A189" s="41" t="s">
        <v>22</v>
      </c>
      <c r="B189" s="11" t="s">
        <v>23</v>
      </c>
      <c r="C189" s="2" t="n">
        <v>113</v>
      </c>
    </row>
    <row r="190" customFormat="false" ht="14.25" hidden="false" customHeight="false" outlineLevel="0" collapsed="false">
      <c r="A190" s="41"/>
      <c r="B190" s="11" t="s">
        <v>25</v>
      </c>
      <c r="C190" s="2" t="n">
        <v>1</v>
      </c>
    </row>
    <row r="191" customFormat="false" ht="14.25" hidden="false" customHeight="false" outlineLevel="0" collapsed="false">
      <c r="A191" s="41"/>
      <c r="B191" s="11" t="s">
        <v>27</v>
      </c>
      <c r="C191" s="2" t="s">
        <v>252</v>
      </c>
      <c r="D191" s="1" t="s">
        <v>253</v>
      </c>
      <c r="E191" s="1" t="s">
        <v>254</v>
      </c>
      <c r="F191" s="1" t="s">
        <v>255</v>
      </c>
      <c r="G191" s="1" t="s">
        <v>256</v>
      </c>
      <c r="H191" s="1" t="s">
        <v>257</v>
      </c>
      <c r="I191" s="1" t="s">
        <v>258</v>
      </c>
      <c r="J191" s="1" t="s">
        <v>259</v>
      </c>
      <c r="K191" s="1" t="s">
        <v>260</v>
      </c>
      <c r="L191" s="1" t="s">
        <v>261</v>
      </c>
      <c r="M191" s="1" t="s">
        <v>262</v>
      </c>
      <c r="N191" s="1" t="s">
        <v>263</v>
      </c>
      <c r="O191" s="1" t="s">
        <v>264</v>
      </c>
      <c r="P191" s="1" t="s">
        <v>265</v>
      </c>
      <c r="Q191" s="1" t="s">
        <v>266</v>
      </c>
      <c r="R191" s="1" t="s">
        <v>267</v>
      </c>
      <c r="S191" s="1" t="s">
        <v>268</v>
      </c>
      <c r="T191" s="1" t="s">
        <v>269</v>
      </c>
      <c r="U191" s="1" t="s">
        <v>270</v>
      </c>
      <c r="V191" s="1" t="s">
        <v>271</v>
      </c>
      <c r="W191" s="1" t="s">
        <v>272</v>
      </c>
      <c r="X191" s="1" t="s">
        <v>273</v>
      </c>
      <c r="Y191" s="1" t="s">
        <v>274</v>
      </c>
      <c r="Z191" s="1" t="s">
        <v>275</v>
      </c>
      <c r="AA191" s="1" t="s">
        <v>276</v>
      </c>
      <c r="AB191" s="1" t="s">
        <v>135</v>
      </c>
      <c r="AC191" s="1" t="s">
        <v>277</v>
      </c>
      <c r="AD191" s="1" t="s">
        <v>278</v>
      </c>
      <c r="AE191" s="1" t="s">
        <v>279</v>
      </c>
      <c r="AF191" s="1" t="s">
        <v>280</v>
      </c>
      <c r="AG191" s="1" t="s">
        <v>281</v>
      </c>
      <c r="AH191" s="1" t="s">
        <v>282</v>
      </c>
      <c r="AI191" s="42" t="s">
        <v>283</v>
      </c>
      <c r="AJ191" s="1" t="s">
        <v>284</v>
      </c>
      <c r="AK191" s="1" t="s">
        <v>285</v>
      </c>
      <c r="AL191" s="1" t="s">
        <v>286</v>
      </c>
      <c r="AM191" s="1" t="s">
        <v>287</v>
      </c>
    </row>
    <row r="192" customFormat="false" ht="14.25" hidden="false" customHeight="false" outlineLevel="0" collapsed="false">
      <c r="A192" s="41"/>
      <c r="B192" s="11" t="s">
        <v>64</v>
      </c>
      <c r="C192" s="2" t="n">
        <v>256</v>
      </c>
      <c r="D192" s="2" t="n">
        <v>256</v>
      </c>
      <c r="E192" s="2" t="n">
        <v>256</v>
      </c>
      <c r="F192" s="2" t="n">
        <v>256</v>
      </c>
      <c r="G192" s="2" t="n">
        <v>256</v>
      </c>
      <c r="H192" s="2" t="n">
        <v>256</v>
      </c>
      <c r="I192" s="2" t="n">
        <v>256</v>
      </c>
      <c r="J192" s="2" t="n">
        <v>256</v>
      </c>
      <c r="K192" s="2" t="n">
        <v>256</v>
      </c>
      <c r="L192" s="2" t="n">
        <v>256</v>
      </c>
      <c r="M192" s="2" t="n">
        <v>256</v>
      </c>
      <c r="N192" s="2" t="n">
        <v>256</v>
      </c>
      <c r="O192" s="2" t="n">
        <v>256</v>
      </c>
      <c r="P192" s="2" t="n">
        <v>256</v>
      </c>
      <c r="Q192" s="2" t="n">
        <v>256</v>
      </c>
      <c r="R192" s="2" t="n">
        <v>256</v>
      </c>
      <c r="S192" s="2" t="n">
        <v>256</v>
      </c>
      <c r="T192" s="2" t="n">
        <v>256</v>
      </c>
      <c r="U192" s="2" t="n">
        <v>256</v>
      </c>
      <c r="V192" s="2" t="n">
        <v>256</v>
      </c>
      <c r="W192" s="2" t="n">
        <v>256</v>
      </c>
      <c r="X192" s="2" t="n">
        <v>256</v>
      </c>
      <c r="Y192" s="2" t="n">
        <v>256</v>
      </c>
      <c r="Z192" s="2" t="n">
        <v>256</v>
      </c>
      <c r="AA192" s="2" t="n">
        <v>256</v>
      </c>
      <c r="AB192" s="2" t="n">
        <v>256</v>
      </c>
      <c r="AC192" s="2" t="n">
        <v>256</v>
      </c>
      <c r="AD192" s="2" t="n">
        <v>256</v>
      </c>
      <c r="AE192" s="2" t="n">
        <v>256</v>
      </c>
      <c r="AF192" s="2" t="n">
        <v>256</v>
      </c>
      <c r="AG192" s="2" t="n">
        <v>256</v>
      </c>
      <c r="AH192" s="2" t="n">
        <v>256</v>
      </c>
      <c r="AI192" s="2" t="n">
        <v>256</v>
      </c>
      <c r="AJ192" s="2" t="n">
        <v>256</v>
      </c>
      <c r="AK192" s="2" t="n">
        <v>256</v>
      </c>
      <c r="AL192" s="2" t="n">
        <v>256</v>
      </c>
      <c r="AM192" s="2" t="n">
        <v>256</v>
      </c>
    </row>
    <row r="193" customFormat="false" ht="14.25" hidden="false" customHeight="false" outlineLevel="0" collapsed="false">
      <c r="A193" s="41" t="s">
        <v>65</v>
      </c>
      <c r="B193" s="11" t="s">
        <v>66</v>
      </c>
      <c r="C193" s="2" t="s">
        <v>67</v>
      </c>
    </row>
    <row r="194" customFormat="false" ht="14.25" hidden="false" customHeight="false" outlineLevel="0" collapsed="false">
      <c r="A194" s="41"/>
      <c r="B194" s="11" t="s">
        <v>68</v>
      </c>
      <c r="C194" s="2" t="s">
        <v>288</v>
      </c>
    </row>
    <row r="195" customFormat="false" ht="14.25" hidden="false" customHeight="false" outlineLevel="0" collapsed="false">
      <c r="A195" s="41" t="s">
        <v>71</v>
      </c>
      <c r="B195" s="4"/>
      <c r="C195" s="2" t="s">
        <v>289</v>
      </c>
      <c r="D195" s="1" t="s">
        <v>89</v>
      </c>
    </row>
    <row r="196" customFormat="false" ht="14.25" hidden="false" customHeight="false" outlineLevel="0" collapsed="false">
      <c r="A196" s="41" t="s">
        <v>74</v>
      </c>
      <c r="B196" s="11" t="s">
        <v>75</v>
      </c>
    </row>
    <row r="197" customFormat="false" ht="14.25" hidden="false" customHeight="false" outlineLevel="0" collapsed="false">
      <c r="A197" s="41"/>
      <c r="B197" s="11" t="s">
        <v>76</v>
      </c>
    </row>
    <row r="198" customFormat="false" ht="16.4" hidden="false" customHeight="false" outlineLevel="0" collapsed="false">
      <c r="A198" s="41"/>
      <c r="B198" s="11" t="s">
        <v>77</v>
      </c>
      <c r="C198" s="21" t="s">
        <v>290</v>
      </c>
    </row>
    <row r="199" customFormat="false" ht="14.25" hidden="false" customHeight="false" outlineLevel="0" collapsed="false">
      <c r="A199" s="43" t="s">
        <v>79</v>
      </c>
      <c r="B199" s="4"/>
    </row>
    <row r="200" customFormat="false" ht="14.25" hidden="false" customHeight="false" outlineLevel="0" collapsed="false">
      <c r="A200" s="44"/>
      <c r="B200" s="4"/>
    </row>
    <row r="201" customFormat="false" ht="14.25" hidden="false" customHeight="false" outlineLevel="0" collapsed="false">
      <c r="A201" s="45"/>
      <c r="B201" s="23"/>
      <c r="C201" s="18"/>
      <c r="D201" s="24"/>
    </row>
    <row r="202" customFormat="false" ht="14.25" hidden="false" customHeight="false" outlineLevel="0" collapsed="false">
      <c r="A202" s="46" t="s">
        <v>0</v>
      </c>
      <c r="B202" s="11" t="s">
        <v>1</v>
      </c>
      <c r="C202" s="20" t="s">
        <v>291</v>
      </c>
    </row>
    <row r="203" customFormat="false" ht="14.25" hidden="false" customHeight="false" outlineLevel="0" collapsed="false">
      <c r="A203" s="46"/>
      <c r="B203" s="11" t="s">
        <v>3</v>
      </c>
      <c r="C203" s="2" t="s">
        <v>292</v>
      </c>
    </row>
    <row r="204" customFormat="false" ht="16.4" hidden="false" customHeight="false" outlineLevel="0" collapsed="false">
      <c r="A204" s="46"/>
      <c r="B204" s="11" t="s">
        <v>5</v>
      </c>
      <c r="C204" s="14" t="s">
        <v>293</v>
      </c>
    </row>
    <row r="205" customFormat="false" ht="14.25" hidden="false" customHeight="false" outlineLevel="0" collapsed="false">
      <c r="A205" s="10" t="s">
        <v>7</v>
      </c>
      <c r="B205" s="11" t="s">
        <v>8</v>
      </c>
      <c r="C205" s="2" t="s">
        <v>294</v>
      </c>
    </row>
    <row r="206" customFormat="false" ht="14.25" hidden="false" customHeight="false" outlineLevel="0" collapsed="false">
      <c r="A206" s="10"/>
      <c r="B206" s="11" t="s">
        <v>10</v>
      </c>
      <c r="C206" s="2" t="s">
        <v>84</v>
      </c>
    </row>
    <row r="207" customFormat="false" ht="14.25" hidden="false" customHeight="false" outlineLevel="0" collapsed="false">
      <c r="A207" s="10" t="s">
        <v>13</v>
      </c>
      <c r="B207" s="11" t="s">
        <v>14</v>
      </c>
      <c r="C207" s="2" t="n">
        <v>255</v>
      </c>
    </row>
    <row r="208" customFormat="false" ht="14.25" hidden="false" customHeight="false" outlineLevel="0" collapsed="false">
      <c r="A208" s="10"/>
      <c r="B208" s="11" t="s">
        <v>15</v>
      </c>
      <c r="C208" s="2" t="s">
        <v>84</v>
      </c>
    </row>
    <row r="209" customFormat="false" ht="14.25" hidden="false" customHeight="false" outlineLevel="0" collapsed="false">
      <c r="A209" s="10"/>
      <c r="B209" s="11" t="s">
        <v>17</v>
      </c>
      <c r="C209" s="2" t="s">
        <v>84</v>
      </c>
    </row>
    <row r="210" customFormat="false" ht="14.25" hidden="false" customHeight="false" outlineLevel="0" collapsed="false">
      <c r="A210" s="10"/>
      <c r="B210" s="11" t="s">
        <v>19</v>
      </c>
      <c r="C210" s="2" t="s">
        <v>295</v>
      </c>
    </row>
    <row r="211" customFormat="false" ht="14.25" hidden="false" customHeight="false" outlineLevel="0" collapsed="false">
      <c r="A211" s="10" t="s">
        <v>22</v>
      </c>
      <c r="B211" s="11" t="s">
        <v>23</v>
      </c>
      <c r="C211" s="2" t="n">
        <v>255</v>
      </c>
    </row>
    <row r="212" customFormat="false" ht="14.25" hidden="false" customHeight="false" outlineLevel="0" collapsed="false">
      <c r="A212" s="10"/>
      <c r="B212" s="11" t="s">
        <v>25</v>
      </c>
      <c r="C212" s="2" t="n">
        <v>1</v>
      </c>
    </row>
    <row r="213" customFormat="false" ht="14.25" hidden="false" customHeight="false" outlineLevel="0" collapsed="false">
      <c r="A213" s="10"/>
      <c r="B213" s="11" t="s">
        <v>27</v>
      </c>
      <c r="C213" s="2" t="s">
        <v>296</v>
      </c>
      <c r="D213" s="1" t="s">
        <v>297</v>
      </c>
      <c r="E213" s="1" t="s">
        <v>298</v>
      </c>
      <c r="F213" s="1" t="s">
        <v>299</v>
      </c>
      <c r="G213" s="1" t="s">
        <v>300</v>
      </c>
      <c r="H213" s="1" t="s">
        <v>301</v>
      </c>
      <c r="I213" s="1" t="s">
        <v>302</v>
      </c>
      <c r="J213" s="1" t="s">
        <v>303</v>
      </c>
      <c r="K213" s="1" t="s">
        <v>304</v>
      </c>
      <c r="L213" s="1" t="s">
        <v>305</v>
      </c>
      <c r="M213" s="1" t="s">
        <v>306</v>
      </c>
      <c r="N213" s="1" t="s">
        <v>307</v>
      </c>
      <c r="O213" s="1" t="s">
        <v>308</v>
      </c>
      <c r="P213" s="1" t="s">
        <v>309</v>
      </c>
      <c r="Q213" s="1" t="s">
        <v>310</v>
      </c>
      <c r="R213" s="1" t="s">
        <v>311</v>
      </c>
      <c r="S213" s="9" t="s">
        <v>312</v>
      </c>
    </row>
    <row r="214" customFormat="false" ht="14.25" hidden="false" customHeight="false" outlineLevel="0" collapsed="false">
      <c r="A214" s="10"/>
      <c r="B214" s="11" t="s">
        <v>64</v>
      </c>
      <c r="C214" s="2" t="n">
        <v>256</v>
      </c>
      <c r="D214" s="2" t="n">
        <v>256</v>
      </c>
      <c r="E214" s="2" t="n">
        <v>256</v>
      </c>
      <c r="F214" s="2" t="n">
        <v>256</v>
      </c>
      <c r="G214" s="2" t="n">
        <v>256</v>
      </c>
      <c r="H214" s="2" t="n">
        <v>256</v>
      </c>
      <c r="I214" s="2" t="n">
        <v>256</v>
      </c>
      <c r="J214" s="2" t="n">
        <v>256</v>
      </c>
      <c r="K214" s="2" t="n">
        <v>256</v>
      </c>
      <c r="L214" s="2" t="n">
        <v>256</v>
      </c>
      <c r="M214" s="2" t="n">
        <v>256</v>
      </c>
      <c r="N214" s="2" t="n">
        <v>256</v>
      </c>
      <c r="O214" s="2" t="n">
        <v>256</v>
      </c>
      <c r="P214" s="2" t="n">
        <v>256</v>
      </c>
      <c r="Q214" s="2" t="n">
        <v>256</v>
      </c>
      <c r="R214" s="2" t="n">
        <v>256</v>
      </c>
      <c r="S214" s="2" t="n">
        <v>256</v>
      </c>
    </row>
    <row r="215" customFormat="false" ht="14.25" hidden="false" customHeight="false" outlineLevel="0" collapsed="false">
      <c r="A215" s="10" t="s">
        <v>65</v>
      </c>
      <c r="B215" s="11" t="s">
        <v>66</v>
      </c>
      <c r="C215" s="2" t="s">
        <v>67</v>
      </c>
    </row>
    <row r="216" customFormat="false" ht="14.25" hidden="false" customHeight="false" outlineLevel="0" collapsed="false">
      <c r="A216" s="10"/>
      <c r="B216" s="11" t="s">
        <v>68</v>
      </c>
      <c r="C216" s="2" t="s">
        <v>84</v>
      </c>
    </row>
    <row r="217" customFormat="false" ht="14.25" hidden="false" customHeight="false" outlineLevel="0" collapsed="false">
      <c r="A217" s="10" t="s">
        <v>71</v>
      </c>
      <c r="B217" s="4"/>
      <c r="C217" s="2" t="s">
        <v>313</v>
      </c>
      <c r="D217" s="1" t="s">
        <v>314</v>
      </c>
    </row>
    <row r="218" customFormat="false" ht="14.25" hidden="false" customHeight="false" outlineLevel="0" collapsed="false">
      <c r="A218" s="10" t="s">
        <v>74</v>
      </c>
      <c r="B218" s="11" t="s">
        <v>75</v>
      </c>
    </row>
    <row r="219" customFormat="false" ht="14.25" hidden="false" customHeight="false" outlineLevel="0" collapsed="false">
      <c r="A219" s="10"/>
      <c r="B219" s="11" t="s">
        <v>76</v>
      </c>
    </row>
    <row r="220" customFormat="false" ht="16.4" hidden="false" customHeight="false" outlineLevel="0" collapsed="false">
      <c r="A220" s="10"/>
      <c r="B220" s="11" t="s">
        <v>77</v>
      </c>
      <c r="C220" s="21" t="s">
        <v>315</v>
      </c>
    </row>
    <row r="221" customFormat="false" ht="14.25" hidden="false" customHeight="false" outlineLevel="0" collapsed="false">
      <c r="A221" s="17" t="s">
        <v>79</v>
      </c>
      <c r="B221" s="4"/>
    </row>
    <row r="222" customFormat="false" ht="14.25" hidden="false" customHeight="false" outlineLevel="0" collapsed="false">
      <c r="A222" s="3"/>
      <c r="B222" s="4" t="s">
        <v>316</v>
      </c>
      <c r="C222" s="25" t="s">
        <v>317</v>
      </c>
    </row>
    <row r="223" customFormat="false" ht="14.25" hidden="false" customHeight="false" outlineLevel="0" collapsed="false">
      <c r="A223" s="22"/>
      <c r="B223" s="23"/>
      <c r="C223" s="18"/>
      <c r="D223" s="24"/>
    </row>
    <row r="224" customFormat="false" ht="14.25" hidden="false" customHeight="false" outlineLevel="0" collapsed="false">
      <c r="A224" s="10" t="s">
        <v>0</v>
      </c>
      <c r="B224" s="11" t="s">
        <v>1</v>
      </c>
      <c r="C224" s="20" t="s">
        <v>318</v>
      </c>
    </row>
    <row r="225" customFormat="false" ht="14.25" hidden="false" customHeight="false" outlineLevel="0" collapsed="false">
      <c r="A225" s="10"/>
      <c r="B225" s="11" t="s">
        <v>3</v>
      </c>
      <c r="C225" s="2" t="n">
        <v>2020</v>
      </c>
    </row>
    <row r="226" customFormat="false" ht="16.4" hidden="false" customHeight="false" outlineLevel="0" collapsed="false">
      <c r="A226" s="10"/>
      <c r="B226" s="11" t="s">
        <v>5</v>
      </c>
      <c r="C226" s="14" t="s">
        <v>319</v>
      </c>
    </row>
    <row r="227" customFormat="false" ht="14.25" hidden="false" customHeight="false" outlineLevel="0" collapsed="false">
      <c r="A227" s="10" t="s">
        <v>7</v>
      </c>
      <c r="B227" s="11" t="s">
        <v>8</v>
      </c>
      <c r="C227" s="2" t="s">
        <v>320</v>
      </c>
    </row>
    <row r="228" customFormat="false" ht="14.25" hidden="false" customHeight="false" outlineLevel="0" collapsed="false">
      <c r="A228" s="10"/>
      <c r="B228" s="11" t="s">
        <v>10</v>
      </c>
      <c r="C228" s="2" t="s">
        <v>84</v>
      </c>
    </row>
    <row r="229" customFormat="false" ht="14.25" hidden="false" customHeight="false" outlineLevel="0" collapsed="false">
      <c r="A229" s="10" t="s">
        <v>13</v>
      </c>
      <c r="B229" s="11" t="s">
        <v>14</v>
      </c>
      <c r="C229" s="2" t="n">
        <v>25</v>
      </c>
    </row>
    <row r="230" customFormat="false" ht="14.25" hidden="false" customHeight="false" outlineLevel="0" collapsed="false">
      <c r="A230" s="10"/>
      <c r="B230" s="11" t="s">
        <v>15</v>
      </c>
      <c r="C230" s="2" t="s">
        <v>321</v>
      </c>
      <c r="D230" s="1" t="s">
        <v>322</v>
      </c>
    </row>
    <row r="231" customFormat="false" ht="14.25" hidden="false" customHeight="false" outlineLevel="0" collapsed="false">
      <c r="A231" s="10"/>
      <c r="B231" s="11" t="s">
        <v>17</v>
      </c>
      <c r="C231" s="47" t="n">
        <v>45462</v>
      </c>
    </row>
    <row r="232" customFormat="false" ht="14.25" hidden="false" customHeight="false" outlineLevel="0" collapsed="false">
      <c r="A232" s="10"/>
      <c r="B232" s="11" t="s">
        <v>19</v>
      </c>
      <c r="C232" s="2" t="s">
        <v>87</v>
      </c>
    </row>
    <row r="233" customFormat="false" ht="14.25" hidden="false" customHeight="false" outlineLevel="0" collapsed="false">
      <c r="A233" s="10" t="s">
        <v>22</v>
      </c>
      <c r="B233" s="11" t="s">
        <v>23</v>
      </c>
      <c r="C233" s="2" t="n">
        <v>25</v>
      </c>
    </row>
    <row r="234" customFormat="false" ht="14.25" hidden="false" customHeight="false" outlineLevel="0" collapsed="false">
      <c r="A234" s="10"/>
      <c r="B234" s="11" t="s">
        <v>25</v>
      </c>
      <c r="C234" s="2" t="n">
        <v>1</v>
      </c>
    </row>
    <row r="235" customFormat="false" ht="14.25" hidden="false" customHeight="false" outlineLevel="0" collapsed="false">
      <c r="A235" s="10"/>
      <c r="B235" s="11" t="s">
        <v>27</v>
      </c>
      <c r="C235" s="2" t="s">
        <v>323</v>
      </c>
      <c r="D235" s="1" t="s">
        <v>324</v>
      </c>
      <c r="E235" s="1" t="s">
        <v>325</v>
      </c>
      <c r="F235" s="1" t="s">
        <v>326</v>
      </c>
      <c r="G235" s="1" t="s">
        <v>327</v>
      </c>
      <c r="H235" s="1" t="s">
        <v>328</v>
      </c>
      <c r="I235" s="1" t="s">
        <v>329</v>
      </c>
      <c r="J235" s="1" t="s">
        <v>330</v>
      </c>
      <c r="K235" s="1" t="s">
        <v>331</v>
      </c>
      <c r="L235" s="1" t="s">
        <v>332</v>
      </c>
      <c r="M235" s="1" t="s">
        <v>333</v>
      </c>
      <c r="N235" s="1" t="s">
        <v>334</v>
      </c>
      <c r="O235" s="1" t="s">
        <v>135</v>
      </c>
      <c r="P235" s="1" t="s">
        <v>335</v>
      </c>
      <c r="Q235" s="1" t="s">
        <v>336</v>
      </c>
      <c r="R235" s="1" t="s">
        <v>134</v>
      </c>
    </row>
    <row r="236" customFormat="false" ht="14.25" hidden="false" customHeight="false" outlineLevel="0" collapsed="false">
      <c r="A236" s="10"/>
      <c r="B236" s="11" t="s">
        <v>64</v>
      </c>
      <c r="C236" s="2" t="n">
        <v>250</v>
      </c>
      <c r="D236" s="2" t="n">
        <v>250</v>
      </c>
      <c r="E236" s="2" t="n">
        <v>250</v>
      </c>
      <c r="F236" s="2" t="n">
        <v>250</v>
      </c>
      <c r="G236" s="2" t="n">
        <v>250</v>
      </c>
      <c r="H236" s="2" t="n">
        <v>250</v>
      </c>
      <c r="I236" s="2" t="n">
        <v>250</v>
      </c>
      <c r="J236" s="2" t="n">
        <v>250</v>
      </c>
      <c r="K236" s="2" t="n">
        <v>250</v>
      </c>
      <c r="L236" s="2" t="n">
        <v>250</v>
      </c>
      <c r="M236" s="2" t="n">
        <v>250</v>
      </c>
      <c r="N236" s="2" t="n">
        <v>250</v>
      </c>
      <c r="O236" s="2" t="n">
        <v>250</v>
      </c>
      <c r="P236" s="2" t="n">
        <v>250</v>
      </c>
      <c r="Q236" s="2" t="n">
        <v>250</v>
      </c>
      <c r="R236" s="2" t="n">
        <v>250</v>
      </c>
    </row>
    <row r="237" customFormat="false" ht="14.25" hidden="false" customHeight="false" outlineLevel="0" collapsed="false">
      <c r="A237" s="10" t="s">
        <v>65</v>
      </c>
      <c r="B237" s="11" t="s">
        <v>66</v>
      </c>
      <c r="C237" s="2" t="s">
        <v>337</v>
      </c>
    </row>
    <row r="238" customFormat="false" ht="14.25" hidden="false" customHeight="false" outlineLevel="0" collapsed="false">
      <c r="A238" s="10"/>
      <c r="B238" s="11" t="s">
        <v>68</v>
      </c>
      <c r="C238" s="2" t="s">
        <v>84</v>
      </c>
    </row>
    <row r="239" customFormat="false" ht="14.25" hidden="false" customHeight="false" outlineLevel="0" collapsed="false">
      <c r="A239" s="10" t="s">
        <v>71</v>
      </c>
      <c r="B239" s="4"/>
      <c r="C239" s="2" t="s">
        <v>338</v>
      </c>
    </row>
    <row r="240" customFormat="false" ht="14.25" hidden="false" customHeight="false" outlineLevel="0" collapsed="false">
      <c r="A240" s="10" t="s">
        <v>74</v>
      </c>
      <c r="B240" s="11" t="s">
        <v>75</v>
      </c>
    </row>
    <row r="241" customFormat="false" ht="14.25" hidden="false" customHeight="false" outlineLevel="0" collapsed="false">
      <c r="A241" s="10"/>
      <c r="B241" s="11" t="s">
        <v>76</v>
      </c>
    </row>
    <row r="242" customFormat="false" ht="16.4" hidden="false" customHeight="false" outlineLevel="0" collapsed="false">
      <c r="A242" s="10"/>
      <c r="B242" s="11" t="s">
        <v>77</v>
      </c>
      <c r="C242" s="21" t="s">
        <v>339</v>
      </c>
    </row>
    <row r="243" customFormat="false" ht="16.4" hidden="false" customHeight="false" outlineLevel="0" collapsed="false">
      <c r="A243" s="17" t="s">
        <v>79</v>
      </c>
      <c r="B243" s="4"/>
      <c r="C243" s="14" t="s">
        <v>340</v>
      </c>
    </row>
    <row r="244" customFormat="false" ht="14.25" hidden="false" customHeight="false" outlineLevel="0" collapsed="false">
      <c r="A244" s="3"/>
      <c r="B244" s="4"/>
    </row>
    <row r="245" customFormat="false" ht="14.25" hidden="false" customHeight="false" outlineLevel="0" collapsed="false">
      <c r="A245" s="22"/>
      <c r="B245" s="23"/>
      <c r="C245" s="18"/>
      <c r="D245" s="24"/>
    </row>
    <row r="246" customFormat="false" ht="14.25" hidden="false" customHeight="false" outlineLevel="0" collapsed="false">
      <c r="A246" s="10" t="s">
        <v>0</v>
      </c>
      <c r="B246" s="11" t="s">
        <v>1</v>
      </c>
      <c r="C246" s="20" t="s">
        <v>341</v>
      </c>
    </row>
    <row r="247" customFormat="false" ht="14.25" hidden="false" customHeight="false" outlineLevel="0" collapsed="false">
      <c r="A247" s="10"/>
      <c r="B247" s="11" t="s">
        <v>3</v>
      </c>
      <c r="C247" s="2" t="n">
        <v>2020</v>
      </c>
    </row>
    <row r="248" customFormat="false" ht="16.4" hidden="false" customHeight="false" outlineLevel="0" collapsed="false">
      <c r="A248" s="10"/>
      <c r="B248" s="11" t="s">
        <v>5</v>
      </c>
      <c r="C248" s="14" t="s">
        <v>342</v>
      </c>
    </row>
    <row r="249" customFormat="false" ht="14.25" hidden="false" customHeight="false" outlineLevel="0" collapsed="false">
      <c r="A249" s="10" t="s">
        <v>7</v>
      </c>
      <c r="B249" s="11" t="s">
        <v>8</v>
      </c>
      <c r="C249" s="2" t="s">
        <v>320</v>
      </c>
    </row>
    <row r="250" customFormat="false" ht="14.25" hidden="false" customHeight="false" outlineLevel="0" collapsed="false">
      <c r="A250" s="10"/>
      <c r="B250" s="11" t="s">
        <v>10</v>
      </c>
      <c r="C250" s="2" t="s">
        <v>84</v>
      </c>
    </row>
    <row r="251" customFormat="false" ht="14.25" hidden="false" customHeight="false" outlineLevel="0" collapsed="false">
      <c r="A251" s="10" t="s">
        <v>13</v>
      </c>
      <c r="B251" s="11" t="s">
        <v>14</v>
      </c>
      <c r="C251" s="2" t="n">
        <v>55</v>
      </c>
    </row>
    <row r="252" customFormat="false" ht="14.25" hidden="false" customHeight="false" outlineLevel="0" collapsed="false">
      <c r="A252" s="10"/>
      <c r="B252" s="11" t="s">
        <v>15</v>
      </c>
      <c r="D252" s="1" t="s">
        <v>343</v>
      </c>
    </row>
    <row r="253" customFormat="false" ht="14.25" hidden="false" customHeight="false" outlineLevel="0" collapsed="false">
      <c r="A253" s="10"/>
      <c r="B253" s="11" t="s">
        <v>17</v>
      </c>
      <c r="C253" s="2" t="s">
        <v>344</v>
      </c>
    </row>
    <row r="254" customFormat="false" ht="14.25" hidden="false" customHeight="false" outlineLevel="0" collapsed="false">
      <c r="A254" s="10"/>
      <c r="B254" s="11" t="s">
        <v>19</v>
      </c>
      <c r="C254" s="2" t="s">
        <v>345</v>
      </c>
    </row>
    <row r="255" customFormat="false" ht="14.25" hidden="false" customHeight="false" outlineLevel="0" collapsed="false">
      <c r="A255" s="10" t="s">
        <v>22</v>
      </c>
      <c r="B255" s="11" t="s">
        <v>23</v>
      </c>
      <c r="C255" s="2" t="n">
        <v>57</v>
      </c>
    </row>
    <row r="256" customFormat="false" ht="14.25" hidden="false" customHeight="false" outlineLevel="0" collapsed="false">
      <c r="A256" s="10"/>
      <c r="B256" s="11" t="s">
        <v>25</v>
      </c>
      <c r="C256" s="2" t="n">
        <v>1</v>
      </c>
      <c r="D256" s="48"/>
    </row>
    <row r="257" customFormat="false" ht="14.25" hidden="false" customHeight="false" outlineLevel="0" collapsed="false">
      <c r="A257" s="10"/>
      <c r="B257" s="11" t="s">
        <v>27</v>
      </c>
      <c r="C257" s="2" t="s">
        <v>323</v>
      </c>
      <c r="D257" s="1" t="s">
        <v>346</v>
      </c>
      <c r="E257" s="1" t="s">
        <v>325</v>
      </c>
      <c r="F257" s="1" t="s">
        <v>326</v>
      </c>
      <c r="G257" s="1" t="s">
        <v>327</v>
      </c>
      <c r="H257" s="1" t="s">
        <v>328</v>
      </c>
      <c r="I257" s="1" t="s">
        <v>347</v>
      </c>
      <c r="J257" s="1" t="s">
        <v>348</v>
      </c>
      <c r="K257" s="1" t="s">
        <v>135</v>
      </c>
      <c r="L257" s="1" t="s">
        <v>349</v>
      </c>
      <c r="M257" s="1" t="s">
        <v>350</v>
      </c>
      <c r="N257" s="1" t="s">
        <v>134</v>
      </c>
    </row>
    <row r="258" customFormat="false" ht="14.25" hidden="false" customHeight="false" outlineLevel="0" collapsed="false">
      <c r="A258" s="10"/>
      <c r="B258" s="11" t="s">
        <v>64</v>
      </c>
      <c r="C258" s="2" t="n">
        <v>250</v>
      </c>
      <c r="D258" s="2" t="n">
        <v>250</v>
      </c>
      <c r="E258" s="2" t="n">
        <v>250</v>
      </c>
      <c r="F258" s="2" t="n">
        <v>250</v>
      </c>
      <c r="G258" s="2" t="n">
        <v>250</v>
      </c>
      <c r="H258" s="2" t="n">
        <v>250</v>
      </c>
      <c r="I258" s="2" t="n">
        <v>250</v>
      </c>
      <c r="J258" s="2" t="n">
        <v>250</v>
      </c>
      <c r="K258" s="2" t="n">
        <v>250</v>
      </c>
      <c r="L258" s="2" t="n">
        <v>250</v>
      </c>
      <c r="M258" s="2" t="n">
        <v>250</v>
      </c>
      <c r="N258" s="2" t="n">
        <v>250</v>
      </c>
    </row>
    <row r="259" customFormat="false" ht="14.25" hidden="false" customHeight="false" outlineLevel="0" collapsed="false">
      <c r="A259" s="10" t="s">
        <v>65</v>
      </c>
      <c r="B259" s="11" t="s">
        <v>66</v>
      </c>
      <c r="C259" s="2" t="s">
        <v>337</v>
      </c>
    </row>
    <row r="260" customFormat="false" ht="14.25" hidden="false" customHeight="false" outlineLevel="0" collapsed="false">
      <c r="A260" s="10"/>
      <c r="B260" s="11" t="s">
        <v>68</v>
      </c>
      <c r="C260" s="2" t="s">
        <v>84</v>
      </c>
    </row>
    <row r="261" customFormat="false" ht="14.25" hidden="false" customHeight="false" outlineLevel="0" collapsed="false">
      <c r="A261" s="10" t="s">
        <v>71</v>
      </c>
      <c r="B261" s="4"/>
      <c r="C261" s="2" t="s">
        <v>338</v>
      </c>
    </row>
    <row r="262" customFormat="false" ht="14.25" hidden="false" customHeight="false" outlineLevel="0" collapsed="false">
      <c r="A262" s="10" t="s">
        <v>74</v>
      </c>
      <c r="B262" s="11" t="s">
        <v>75</v>
      </c>
    </row>
    <row r="263" customFormat="false" ht="14.25" hidden="false" customHeight="false" outlineLevel="0" collapsed="false">
      <c r="A263" s="10"/>
      <c r="B263" s="11" t="s">
        <v>76</v>
      </c>
    </row>
    <row r="264" customFormat="false" ht="16.4" hidden="false" customHeight="false" outlineLevel="0" collapsed="false">
      <c r="A264" s="10"/>
      <c r="B264" s="11" t="s">
        <v>77</v>
      </c>
      <c r="C264" s="21" t="s">
        <v>339</v>
      </c>
      <c r="O264" s="49"/>
    </row>
    <row r="265" customFormat="false" ht="16.4" hidden="false" customHeight="false" outlineLevel="0" collapsed="false">
      <c r="A265" s="17" t="s">
        <v>79</v>
      </c>
      <c r="B265" s="4"/>
      <c r="C265" s="14" t="s">
        <v>340</v>
      </c>
    </row>
    <row r="266" customFormat="false" ht="14.25" hidden="false" customHeight="false" outlineLevel="0" collapsed="false">
      <c r="A266" s="3"/>
      <c r="B266" s="4"/>
    </row>
    <row r="267" customFormat="false" ht="14.25" hidden="false" customHeight="false" outlineLevel="0" collapsed="false">
      <c r="A267" s="22"/>
      <c r="B267" s="23"/>
      <c r="C267" s="18"/>
      <c r="D267" s="24"/>
    </row>
    <row r="268" customFormat="false" ht="14.25" hidden="false" customHeight="false" outlineLevel="0" collapsed="false">
      <c r="A268" s="10" t="s">
        <v>0</v>
      </c>
      <c r="B268" s="11" t="s">
        <v>1</v>
      </c>
      <c r="C268" s="20" t="s">
        <v>351</v>
      </c>
    </row>
    <row r="269" customFormat="false" ht="14.25" hidden="false" customHeight="false" outlineLevel="0" collapsed="false">
      <c r="A269" s="10"/>
      <c r="B269" s="11" t="s">
        <v>3</v>
      </c>
      <c r="C269" s="2" t="n">
        <v>2022</v>
      </c>
    </row>
    <row r="270" customFormat="false" ht="16.4" hidden="false" customHeight="false" outlineLevel="0" collapsed="false">
      <c r="A270" s="10"/>
      <c r="B270" s="11" t="s">
        <v>5</v>
      </c>
      <c r="C270" s="14" t="s">
        <v>352</v>
      </c>
    </row>
    <row r="271" customFormat="false" ht="14.25" hidden="false" customHeight="false" outlineLevel="0" collapsed="false">
      <c r="A271" s="10" t="s">
        <v>7</v>
      </c>
      <c r="B271" s="11" t="s">
        <v>8</v>
      </c>
      <c r="C271" s="2" t="s">
        <v>353</v>
      </c>
    </row>
    <row r="272" customFormat="false" ht="14.25" hidden="false" customHeight="false" outlineLevel="0" collapsed="false">
      <c r="A272" s="10"/>
      <c r="B272" s="11" t="s">
        <v>10</v>
      </c>
      <c r="C272" s="2" t="s">
        <v>84</v>
      </c>
    </row>
    <row r="273" customFormat="false" ht="14.25" hidden="false" customHeight="false" outlineLevel="0" collapsed="false">
      <c r="A273" s="10" t="s">
        <v>13</v>
      </c>
      <c r="B273" s="11" t="s">
        <v>14</v>
      </c>
      <c r="C273" s="2" t="n">
        <v>100</v>
      </c>
    </row>
    <row r="274" customFormat="false" ht="14.25" hidden="false" customHeight="false" outlineLevel="0" collapsed="false">
      <c r="A274" s="10"/>
      <c r="B274" s="11" t="s">
        <v>15</v>
      </c>
      <c r="D274" s="1" t="s">
        <v>354</v>
      </c>
    </row>
    <row r="275" customFormat="false" ht="14.25" hidden="false" customHeight="false" outlineLevel="0" collapsed="false">
      <c r="A275" s="10"/>
      <c r="B275" s="11" t="s">
        <v>17</v>
      </c>
      <c r="C275" s="2" t="s">
        <v>84</v>
      </c>
    </row>
    <row r="276" customFormat="false" ht="14.25" hidden="false" customHeight="false" outlineLevel="0" collapsed="false">
      <c r="A276" s="10"/>
      <c r="B276" s="11" t="s">
        <v>19</v>
      </c>
      <c r="C276" s="2" t="s">
        <v>355</v>
      </c>
    </row>
    <row r="277" customFormat="false" ht="14.25" hidden="false" customHeight="false" outlineLevel="0" collapsed="false">
      <c r="A277" s="10" t="s">
        <v>22</v>
      </c>
      <c r="B277" s="11" t="s">
        <v>23</v>
      </c>
      <c r="C277" s="2" t="n">
        <v>100</v>
      </c>
    </row>
    <row r="278" customFormat="false" ht="14.25" hidden="false" customHeight="false" outlineLevel="0" collapsed="false">
      <c r="A278" s="10"/>
      <c r="B278" s="11" t="s">
        <v>25</v>
      </c>
      <c r="C278" s="2" t="n">
        <v>1</v>
      </c>
    </row>
    <row r="279" customFormat="false" ht="14.25" hidden="false" customHeight="false" outlineLevel="0" collapsed="false">
      <c r="A279" s="10"/>
      <c r="B279" s="11" t="s">
        <v>27</v>
      </c>
      <c r="C279" s="2" t="s">
        <v>356</v>
      </c>
      <c r="D279" s="1" t="s">
        <v>357</v>
      </c>
      <c r="E279" s="1" t="s">
        <v>358</v>
      </c>
      <c r="F279" s="2" t="s">
        <v>359</v>
      </c>
      <c r="G279" s="1" t="s">
        <v>360</v>
      </c>
      <c r="H279" s="1" t="s">
        <v>361</v>
      </c>
      <c r="I279" s="1" t="s">
        <v>362</v>
      </c>
      <c r="L279" s="2"/>
      <c r="M279" s="2"/>
    </row>
    <row r="280" customFormat="false" ht="14.25" hidden="false" customHeight="false" outlineLevel="0" collapsed="false">
      <c r="A280" s="10"/>
      <c r="B280" s="11" t="s">
        <v>64</v>
      </c>
      <c r="C280" s="2" t="n">
        <v>64</v>
      </c>
      <c r="D280" s="2" t="n">
        <v>64</v>
      </c>
      <c r="E280" s="2" t="n">
        <v>64</v>
      </c>
      <c r="F280" s="2" t="n">
        <v>64</v>
      </c>
      <c r="G280" s="2" t="n">
        <v>64</v>
      </c>
      <c r="H280" s="2" t="n">
        <v>64</v>
      </c>
      <c r="I280" s="2" t="n">
        <v>64</v>
      </c>
    </row>
    <row r="281" customFormat="false" ht="14.25" hidden="false" customHeight="false" outlineLevel="0" collapsed="false">
      <c r="A281" s="10" t="s">
        <v>65</v>
      </c>
      <c r="B281" s="11" t="s">
        <v>66</v>
      </c>
      <c r="C281" s="2" t="s">
        <v>67</v>
      </c>
    </row>
    <row r="282" customFormat="false" ht="14.25" hidden="false" customHeight="false" outlineLevel="0" collapsed="false">
      <c r="A282" s="10"/>
      <c r="B282" s="11" t="s">
        <v>68</v>
      </c>
      <c r="C282" s="2" t="s">
        <v>363</v>
      </c>
    </row>
    <row r="283" customFormat="false" ht="14.25" hidden="false" customHeight="false" outlineLevel="0" collapsed="false">
      <c r="A283" s="10" t="s">
        <v>71</v>
      </c>
      <c r="B283" s="4"/>
      <c r="C283" s="2" t="s">
        <v>103</v>
      </c>
    </row>
    <row r="284" customFormat="false" ht="14.25" hidden="false" customHeight="false" outlineLevel="0" collapsed="false">
      <c r="A284" s="10" t="s">
        <v>74</v>
      </c>
      <c r="B284" s="11" t="s">
        <v>75</v>
      </c>
    </row>
    <row r="285" customFormat="false" ht="14.25" hidden="false" customHeight="false" outlineLevel="0" collapsed="false">
      <c r="A285" s="10"/>
      <c r="B285" s="11" t="s">
        <v>76</v>
      </c>
    </row>
    <row r="286" customFormat="false" ht="16.4" hidden="false" customHeight="false" outlineLevel="0" collapsed="false">
      <c r="A286" s="10"/>
      <c r="B286" s="11" t="s">
        <v>77</v>
      </c>
      <c r="C286" s="21" t="s">
        <v>364</v>
      </c>
    </row>
    <row r="287" customFormat="false" ht="14.25" hidden="false" customHeight="false" outlineLevel="0" collapsed="false">
      <c r="A287" s="17" t="s">
        <v>79</v>
      </c>
      <c r="B287" s="4"/>
    </row>
    <row r="288" customFormat="false" ht="14.25" hidden="false" customHeight="false" outlineLevel="0" collapsed="false">
      <c r="A288" s="3"/>
      <c r="B288" s="4"/>
    </row>
    <row r="289" customFormat="false" ht="14.25" hidden="false" customHeight="false" outlineLevel="0" collapsed="false">
      <c r="A289" s="5"/>
      <c r="B289" s="6"/>
      <c r="C289" s="18"/>
      <c r="D289" s="24"/>
    </row>
    <row r="290" customFormat="false" ht="14.25" hidden="false" customHeight="false" outlineLevel="0" collapsed="false">
      <c r="A290" s="10" t="s">
        <v>0</v>
      </c>
      <c r="B290" s="11" t="s">
        <v>1</v>
      </c>
      <c r="C290" s="20" t="s">
        <v>365</v>
      </c>
    </row>
    <row r="291" customFormat="false" ht="14.25" hidden="false" customHeight="false" outlineLevel="0" collapsed="false">
      <c r="A291" s="10"/>
      <c r="B291" s="11" t="s">
        <v>3</v>
      </c>
      <c r="C291" s="2" t="s">
        <v>366</v>
      </c>
    </row>
    <row r="292" customFormat="false" ht="16.4" hidden="false" customHeight="false" outlineLevel="0" collapsed="false">
      <c r="A292" s="10"/>
      <c r="B292" s="11" t="s">
        <v>5</v>
      </c>
      <c r="C292" s="14" t="s">
        <v>367</v>
      </c>
      <c r="K292" s="49"/>
    </row>
    <row r="293" customFormat="false" ht="14.25" hidden="false" customHeight="false" outlineLevel="0" collapsed="false">
      <c r="A293" s="10" t="s">
        <v>7</v>
      </c>
      <c r="B293" s="11" t="s">
        <v>8</v>
      </c>
      <c r="C293" s="2" t="s">
        <v>368</v>
      </c>
    </row>
    <row r="294" customFormat="false" ht="14.25" hidden="false" customHeight="false" outlineLevel="0" collapsed="false">
      <c r="A294" s="10"/>
      <c r="B294" s="11" t="s">
        <v>10</v>
      </c>
      <c r="C294" s="2" t="s">
        <v>369</v>
      </c>
    </row>
    <row r="295" customFormat="false" ht="14.25" hidden="false" customHeight="false" outlineLevel="0" collapsed="false">
      <c r="A295" s="10" t="s">
        <v>13</v>
      </c>
      <c r="B295" s="11" t="s">
        <v>14</v>
      </c>
      <c r="C295" s="2" t="n">
        <v>28</v>
      </c>
    </row>
    <row r="296" customFormat="false" ht="14.25" hidden="false" customHeight="false" outlineLevel="0" collapsed="false">
      <c r="A296" s="10"/>
      <c r="B296" s="11" t="s">
        <v>15</v>
      </c>
      <c r="C296" s="2" t="s">
        <v>370</v>
      </c>
      <c r="N296" s="1" t="s">
        <v>159</v>
      </c>
    </row>
    <row r="297" customFormat="false" ht="14.25" hidden="false" customHeight="false" outlineLevel="0" collapsed="false">
      <c r="A297" s="10"/>
      <c r="B297" s="11" t="s">
        <v>17</v>
      </c>
      <c r="C297" s="2" t="s">
        <v>371</v>
      </c>
      <c r="N297" s="1" t="s">
        <v>159</v>
      </c>
    </row>
    <row r="298" customFormat="false" ht="14.25" hidden="false" customHeight="false" outlineLevel="0" collapsed="false">
      <c r="A298" s="10"/>
      <c r="B298" s="11" t="s">
        <v>19</v>
      </c>
      <c r="C298" s="2" t="s">
        <v>87</v>
      </c>
      <c r="N298" s="1" t="s">
        <v>159</v>
      </c>
    </row>
    <row r="299" customFormat="false" ht="14.25" hidden="false" customHeight="false" outlineLevel="0" collapsed="false">
      <c r="A299" s="10" t="s">
        <v>22</v>
      </c>
      <c r="B299" s="11" t="s">
        <v>23</v>
      </c>
      <c r="C299" s="2" t="n">
        <v>868</v>
      </c>
      <c r="N299" s="1" t="s">
        <v>159</v>
      </c>
    </row>
    <row r="300" customFormat="false" ht="14.25" hidden="false" customHeight="false" outlineLevel="0" collapsed="false">
      <c r="A300" s="10"/>
      <c r="B300" s="11" t="s">
        <v>25</v>
      </c>
      <c r="C300" s="2" t="n">
        <v>31</v>
      </c>
      <c r="N300" s="1" t="s">
        <v>159</v>
      </c>
    </row>
    <row r="301" customFormat="false" ht="14.25" hidden="false" customHeight="false" outlineLevel="0" collapsed="false">
      <c r="A301" s="10"/>
      <c r="B301" s="11" t="s">
        <v>27</v>
      </c>
      <c r="C301" s="2" t="s">
        <v>372</v>
      </c>
      <c r="D301" s="2" t="s">
        <v>373</v>
      </c>
      <c r="E301" s="2" t="s">
        <v>374</v>
      </c>
      <c r="F301" s="2" t="s">
        <v>375</v>
      </c>
      <c r="G301" s="2" t="s">
        <v>376</v>
      </c>
      <c r="H301" s="2" t="s">
        <v>377</v>
      </c>
      <c r="I301" s="2" t="s">
        <v>378</v>
      </c>
      <c r="J301" s="2" t="s">
        <v>379</v>
      </c>
      <c r="K301" s="2" t="s">
        <v>380</v>
      </c>
      <c r="L301" s="2" t="s">
        <v>381</v>
      </c>
      <c r="M301" s="2" t="s">
        <v>134</v>
      </c>
      <c r="N301" s="2" t="s">
        <v>382</v>
      </c>
      <c r="O301" s="2" t="s">
        <v>382</v>
      </c>
      <c r="P301" s="2" t="s">
        <v>383</v>
      </c>
      <c r="Q301" s="2" t="s">
        <v>384</v>
      </c>
      <c r="R301" s="2" t="s">
        <v>385</v>
      </c>
      <c r="S301" s="2" t="s">
        <v>386</v>
      </c>
      <c r="T301" s="2" t="s">
        <v>386</v>
      </c>
      <c r="U301" s="2" t="s">
        <v>387</v>
      </c>
      <c r="V301" s="2" t="s">
        <v>388</v>
      </c>
      <c r="W301" s="2" t="s">
        <v>389</v>
      </c>
      <c r="X301" s="2" t="s">
        <v>390</v>
      </c>
      <c r="Y301" s="2" t="s">
        <v>391</v>
      </c>
      <c r="Z301" s="2" t="s">
        <v>392</v>
      </c>
      <c r="AA301" s="2" t="s">
        <v>393</v>
      </c>
      <c r="AB301" s="2" t="s">
        <v>394</v>
      </c>
      <c r="AC301" s="2" t="s">
        <v>395</v>
      </c>
    </row>
    <row r="302" customFormat="false" ht="14.25" hidden="false" customHeight="false" outlineLevel="0" collapsed="false">
      <c r="A302" s="10"/>
      <c r="B302" s="11" t="s">
        <v>64</v>
      </c>
      <c r="C302" s="2" t="n">
        <v>128</v>
      </c>
      <c r="D302" s="2" t="n">
        <v>128</v>
      </c>
      <c r="E302" s="2" t="n">
        <v>256</v>
      </c>
      <c r="F302" s="2" t="n">
        <v>128</v>
      </c>
      <c r="G302" s="2" t="n">
        <v>128</v>
      </c>
      <c r="H302" s="2" t="n">
        <v>256</v>
      </c>
      <c r="I302" s="2" t="n">
        <v>128</v>
      </c>
      <c r="J302" s="2" t="n">
        <v>256</v>
      </c>
      <c r="K302" s="2" t="n">
        <v>256</v>
      </c>
      <c r="L302" s="2" t="n">
        <v>256</v>
      </c>
      <c r="M302" s="2" t="n">
        <v>256</v>
      </c>
      <c r="N302" s="2" t="n">
        <v>128</v>
      </c>
      <c r="O302" s="2" t="n">
        <v>256</v>
      </c>
      <c r="P302" s="2" t="n">
        <v>128</v>
      </c>
      <c r="Q302" s="2" t="n">
        <v>256</v>
      </c>
      <c r="R302" s="2" t="n">
        <v>64</v>
      </c>
      <c r="S302" s="2" t="n">
        <v>64</v>
      </c>
      <c r="T302" s="2" t="n">
        <v>128</v>
      </c>
      <c r="U302" s="2" t="s">
        <v>396</v>
      </c>
      <c r="V302" s="2" t="n">
        <v>128</v>
      </c>
      <c r="W302" s="2" t="n">
        <v>128</v>
      </c>
      <c r="X302" s="2" t="n">
        <v>128</v>
      </c>
      <c r="Y302" s="2" t="n">
        <v>256</v>
      </c>
      <c r="Z302" s="2" t="n">
        <v>128</v>
      </c>
      <c r="AA302" s="2" t="n">
        <v>256</v>
      </c>
      <c r="AB302" s="2" t="n">
        <v>64</v>
      </c>
      <c r="AC302" s="2" t="s">
        <v>397</v>
      </c>
    </row>
    <row r="303" customFormat="false" ht="14.25" hidden="false" customHeight="false" outlineLevel="0" collapsed="false">
      <c r="A303" s="10" t="s">
        <v>65</v>
      </c>
      <c r="B303" s="11" t="s">
        <v>66</v>
      </c>
      <c r="C303" s="2" t="s">
        <v>114</v>
      </c>
      <c r="N303" s="1" t="s">
        <v>159</v>
      </c>
    </row>
    <row r="304" customFormat="false" ht="14.25" hidden="false" customHeight="false" outlineLevel="0" collapsed="false">
      <c r="A304" s="10"/>
      <c r="B304" s="11" t="s">
        <v>68</v>
      </c>
      <c r="C304" s="2" t="s">
        <v>84</v>
      </c>
      <c r="N304" s="1" t="s">
        <v>159</v>
      </c>
    </row>
    <row r="305" customFormat="false" ht="14.25" hidden="false" customHeight="false" outlineLevel="0" collapsed="false">
      <c r="A305" s="10" t="s">
        <v>71</v>
      </c>
      <c r="B305" s="4"/>
      <c r="C305" s="2" t="s">
        <v>72</v>
      </c>
      <c r="D305" s="1" t="s">
        <v>103</v>
      </c>
      <c r="N305" s="1" t="s">
        <v>159</v>
      </c>
    </row>
    <row r="306" customFormat="false" ht="14.25" hidden="false" customHeight="false" outlineLevel="0" collapsed="false">
      <c r="A306" s="10" t="s">
        <v>74</v>
      </c>
      <c r="B306" s="11" t="s">
        <v>75</v>
      </c>
      <c r="N306" s="1" t="s">
        <v>159</v>
      </c>
    </row>
    <row r="307" customFormat="false" ht="14.25" hidden="false" customHeight="false" outlineLevel="0" collapsed="false">
      <c r="A307" s="10"/>
      <c r="B307" s="11" t="s">
        <v>76</v>
      </c>
      <c r="N307" s="1" t="s">
        <v>159</v>
      </c>
    </row>
    <row r="308" customFormat="false" ht="16.4" hidden="false" customHeight="false" outlineLevel="0" collapsed="false">
      <c r="A308" s="10"/>
      <c r="B308" s="11" t="s">
        <v>77</v>
      </c>
      <c r="C308" s="21" t="s">
        <v>398</v>
      </c>
      <c r="N308" s="1" t="s">
        <v>159</v>
      </c>
    </row>
    <row r="309" customFormat="false" ht="16.4" hidden="false" customHeight="false" outlineLevel="0" collapsed="false">
      <c r="A309" s="17" t="s">
        <v>79</v>
      </c>
      <c r="B309" s="4"/>
      <c r="C309" s="21" t="s">
        <v>399</v>
      </c>
      <c r="N309" s="1" t="s">
        <v>159</v>
      </c>
    </row>
    <row r="310" customFormat="false" ht="14.25" hidden="false" customHeight="false" outlineLevel="0" collapsed="false">
      <c r="A310" s="3"/>
      <c r="B310" s="4"/>
      <c r="N310" s="1" t="s">
        <v>159</v>
      </c>
    </row>
    <row r="311" customFormat="false" ht="14.25" hidden="false" customHeight="false" outlineLevel="0" collapsed="false">
      <c r="A311" s="22"/>
      <c r="B311" s="23"/>
      <c r="C311" s="18"/>
      <c r="D311" s="24"/>
      <c r="N311" s="1" t="s">
        <v>159</v>
      </c>
    </row>
    <row r="312" customFormat="false" ht="14.25" hidden="false" customHeight="false" outlineLevel="0" collapsed="false">
      <c r="A312" s="10" t="s">
        <v>0</v>
      </c>
      <c r="B312" s="11" t="s">
        <v>1</v>
      </c>
      <c r="C312" s="2" t="s">
        <v>400</v>
      </c>
      <c r="N312" s="1" t="s">
        <v>159</v>
      </c>
    </row>
    <row r="313" customFormat="false" ht="14.25" hidden="false" customHeight="false" outlineLevel="0" collapsed="false">
      <c r="A313" s="10"/>
      <c r="B313" s="11" t="s">
        <v>3</v>
      </c>
      <c r="C313" s="2" t="s">
        <v>401</v>
      </c>
      <c r="N313" s="1" t="s">
        <v>159</v>
      </c>
    </row>
    <row r="314" customFormat="false" ht="16.4" hidden="false" customHeight="false" outlineLevel="0" collapsed="false">
      <c r="A314" s="10"/>
      <c r="B314" s="11" t="s">
        <v>5</v>
      </c>
      <c r="C314" s="14" t="s">
        <v>402</v>
      </c>
      <c r="N314" s="1" t="s">
        <v>159</v>
      </c>
    </row>
    <row r="315" customFormat="false" ht="14.25" hidden="false" customHeight="false" outlineLevel="0" collapsed="false">
      <c r="A315" s="10" t="s">
        <v>7</v>
      </c>
      <c r="B315" s="11" t="s">
        <v>8</v>
      </c>
      <c r="C315" s="2" t="s">
        <v>403</v>
      </c>
      <c r="N315" s="1" t="s">
        <v>159</v>
      </c>
    </row>
    <row r="316" customFormat="false" ht="14.25" hidden="false" customHeight="false" outlineLevel="0" collapsed="false">
      <c r="A316" s="10"/>
      <c r="B316" s="11" t="s">
        <v>10</v>
      </c>
      <c r="C316" s="2" t="s">
        <v>404</v>
      </c>
      <c r="N316" s="1" t="s">
        <v>159</v>
      </c>
    </row>
    <row r="317" customFormat="false" ht="14.25" hidden="false" customHeight="false" outlineLevel="0" collapsed="false">
      <c r="A317" s="10" t="s">
        <v>13</v>
      </c>
      <c r="B317" s="11" t="s">
        <v>14</v>
      </c>
      <c r="C317" s="2" t="n">
        <v>317</v>
      </c>
      <c r="N317" s="1" t="s">
        <v>159</v>
      </c>
    </row>
    <row r="318" customFormat="false" ht="14.25" hidden="false" customHeight="false" outlineLevel="0" collapsed="false">
      <c r="A318" s="10"/>
      <c r="B318" s="11" t="s">
        <v>15</v>
      </c>
      <c r="C318" s="2" t="s">
        <v>405</v>
      </c>
      <c r="N318" s="1" t="s">
        <v>159</v>
      </c>
    </row>
    <row r="319" customFormat="false" ht="14.25" hidden="false" customHeight="false" outlineLevel="0" collapsed="false">
      <c r="A319" s="10"/>
      <c r="B319" s="11" t="s">
        <v>17</v>
      </c>
      <c r="C319" s="2" t="s">
        <v>406</v>
      </c>
      <c r="N319" s="1" t="s">
        <v>159</v>
      </c>
    </row>
    <row r="320" customFormat="false" ht="14.25" hidden="false" customHeight="false" outlineLevel="0" collapsed="false">
      <c r="A320" s="10"/>
      <c r="B320" s="11" t="s">
        <v>19</v>
      </c>
      <c r="C320" s="2" t="s">
        <v>407</v>
      </c>
      <c r="N320" s="1" t="s">
        <v>159</v>
      </c>
    </row>
    <row r="321" customFormat="false" ht="14.25" hidden="false" customHeight="false" outlineLevel="0" collapsed="false">
      <c r="A321" s="10" t="s">
        <v>22</v>
      </c>
      <c r="B321" s="11" t="s">
        <v>23</v>
      </c>
      <c r="C321" s="2" t="n">
        <v>591</v>
      </c>
      <c r="N321" s="1" t="s">
        <v>159</v>
      </c>
    </row>
    <row r="322" customFormat="false" ht="14.25" hidden="false" customHeight="false" outlineLevel="0" collapsed="false">
      <c r="A322" s="10"/>
      <c r="B322" s="11" t="s">
        <v>25</v>
      </c>
      <c r="C322" s="2" t="n">
        <v>2</v>
      </c>
      <c r="D322" s="1" t="s">
        <v>408</v>
      </c>
      <c r="N322" s="1" t="s">
        <v>159</v>
      </c>
    </row>
    <row r="323" customFormat="false" ht="14.25" hidden="false" customHeight="false" outlineLevel="0" collapsed="false">
      <c r="A323" s="10"/>
      <c r="B323" s="11" t="s">
        <v>27</v>
      </c>
      <c r="C323" s="2" t="s">
        <v>409</v>
      </c>
      <c r="D323" s="1" t="s">
        <v>410</v>
      </c>
      <c r="E323" s="1" t="s">
        <v>411</v>
      </c>
      <c r="F323" s="1" t="s">
        <v>412</v>
      </c>
      <c r="G323" s="1" t="s">
        <v>413</v>
      </c>
      <c r="H323" s="1" t="s">
        <v>414</v>
      </c>
      <c r="I323" s="1" t="s">
        <v>415</v>
      </c>
      <c r="J323" s="1" t="s">
        <v>416</v>
      </c>
      <c r="K323" s="1" t="s">
        <v>417</v>
      </c>
      <c r="L323" s="1" t="s">
        <v>418</v>
      </c>
      <c r="M323" s="1" t="s">
        <v>419</v>
      </c>
      <c r="N323" s="1" t="s">
        <v>420</v>
      </c>
      <c r="O323" s="1" t="s">
        <v>421</v>
      </c>
      <c r="P323" s="1" t="s">
        <v>422</v>
      </c>
      <c r="Q323" s="1" t="s">
        <v>423</v>
      </c>
      <c r="R323" s="1" t="s">
        <v>424</v>
      </c>
      <c r="S323" s="1" t="s">
        <v>425</v>
      </c>
      <c r="T323" s="1" t="s">
        <v>426</v>
      </c>
      <c r="U323" s="1" t="s">
        <v>427</v>
      </c>
      <c r="V323" s="1" t="s">
        <v>428</v>
      </c>
      <c r="W323" s="1" t="s">
        <v>271</v>
      </c>
      <c r="X323" s="1" t="s">
        <v>429</v>
      </c>
      <c r="Y323" s="1" t="s">
        <v>430</v>
      </c>
      <c r="Z323" s="1" t="s">
        <v>431</v>
      </c>
      <c r="AA323" s="1" t="s">
        <v>432</v>
      </c>
      <c r="AB323" s="1" t="s">
        <v>433</v>
      </c>
      <c r="AC323" s="1" t="s">
        <v>434</v>
      </c>
      <c r="AD323" s="1" t="s">
        <v>435</v>
      </c>
      <c r="AE323" s="1" t="s">
        <v>436</v>
      </c>
      <c r="AF323" s="1" t="s">
        <v>437</v>
      </c>
      <c r="AG323" s="1" t="s">
        <v>438</v>
      </c>
      <c r="AH323" s="1" t="s">
        <v>439</v>
      </c>
      <c r="AI323" s="1" t="s">
        <v>440</v>
      </c>
      <c r="AJ323" s="1" t="s">
        <v>441</v>
      </c>
      <c r="AK323" s="1" t="s">
        <v>442</v>
      </c>
      <c r="AL323" s="1" t="s">
        <v>443</v>
      </c>
      <c r="AM323" s="1" t="s">
        <v>444</v>
      </c>
      <c r="AN323" s="1" t="s">
        <v>445</v>
      </c>
      <c r="AO323" s="1" t="s">
        <v>446</v>
      </c>
      <c r="AP323" s="1" t="s">
        <v>447</v>
      </c>
      <c r="AQ323" s="1" t="s">
        <v>448</v>
      </c>
      <c r="AR323" s="1" t="s">
        <v>449</v>
      </c>
      <c r="AS323" s="2" t="s">
        <v>450</v>
      </c>
    </row>
    <row r="324" customFormat="false" ht="14.25" hidden="false" customHeight="false" outlineLevel="0" collapsed="false">
      <c r="A324" s="10"/>
      <c r="B324" s="11" t="s">
        <v>64</v>
      </c>
      <c r="N324" s="1" t="s">
        <v>159</v>
      </c>
    </row>
    <row r="325" customFormat="false" ht="14.25" hidden="false" customHeight="false" outlineLevel="0" collapsed="false">
      <c r="A325" s="10" t="s">
        <v>65</v>
      </c>
      <c r="B325" s="11" t="s">
        <v>66</v>
      </c>
      <c r="C325" s="50" t="s">
        <v>451</v>
      </c>
      <c r="N325" s="1" t="s">
        <v>159</v>
      </c>
    </row>
    <row r="326" customFormat="false" ht="14.25" hidden="false" customHeight="false" outlineLevel="0" collapsed="false">
      <c r="A326" s="10"/>
      <c r="B326" s="11" t="s">
        <v>68</v>
      </c>
      <c r="C326" s="2" t="s">
        <v>452</v>
      </c>
    </row>
    <row r="327" customFormat="false" ht="14.25" hidden="false" customHeight="false" outlineLevel="0" collapsed="false">
      <c r="A327" s="10" t="s">
        <v>71</v>
      </c>
      <c r="B327" s="4"/>
      <c r="C327" s="2" t="s">
        <v>72</v>
      </c>
    </row>
    <row r="328" customFormat="false" ht="14.25" hidden="false" customHeight="false" outlineLevel="0" collapsed="false">
      <c r="A328" s="10" t="s">
        <v>74</v>
      </c>
      <c r="B328" s="11" t="s">
        <v>75</v>
      </c>
    </row>
    <row r="329" customFormat="false" ht="14.25" hidden="false" customHeight="false" outlineLevel="0" collapsed="false">
      <c r="A329" s="10"/>
      <c r="B329" s="11" t="s">
        <v>76</v>
      </c>
    </row>
    <row r="330" customFormat="false" ht="16.4" hidden="false" customHeight="false" outlineLevel="0" collapsed="false">
      <c r="A330" s="10"/>
      <c r="B330" s="11" t="s">
        <v>77</v>
      </c>
      <c r="C330" s="21" t="s">
        <v>453</v>
      </c>
    </row>
    <row r="331" customFormat="false" ht="16.4" hidden="false" customHeight="false" outlineLevel="0" collapsed="false">
      <c r="A331" s="17" t="s">
        <v>79</v>
      </c>
      <c r="B331" s="4"/>
      <c r="C331" s="14" t="s">
        <v>454</v>
      </c>
    </row>
    <row r="332" customFormat="false" ht="16.4" hidden="false" customHeight="false" outlineLevel="0" collapsed="false">
      <c r="A332" s="3"/>
      <c r="B332" s="4"/>
      <c r="C332" s="14" t="s">
        <v>455</v>
      </c>
    </row>
    <row r="333" customFormat="false" ht="14.25" hidden="false" customHeight="false" outlineLevel="0" collapsed="false">
      <c r="A333" s="22"/>
      <c r="B333" s="23"/>
      <c r="C333" s="18"/>
      <c r="D333" s="24"/>
    </row>
    <row r="334" customFormat="false" ht="14.25" hidden="false" customHeight="false" outlineLevel="0" collapsed="false">
      <c r="A334" s="10" t="s">
        <v>0</v>
      </c>
      <c r="B334" s="11" t="s">
        <v>1</v>
      </c>
      <c r="C334" s="20" t="s">
        <v>456</v>
      </c>
    </row>
    <row r="335" customFormat="false" ht="14.25" hidden="false" customHeight="false" outlineLevel="0" collapsed="false">
      <c r="A335" s="10"/>
      <c r="B335" s="11" t="s">
        <v>3</v>
      </c>
      <c r="C335" s="2" t="n">
        <v>2018</v>
      </c>
    </row>
    <row r="336" customFormat="false" ht="16.4" hidden="false" customHeight="false" outlineLevel="0" collapsed="false">
      <c r="A336" s="10"/>
      <c r="B336" s="11" t="s">
        <v>5</v>
      </c>
      <c r="C336" s="14" t="s">
        <v>457</v>
      </c>
    </row>
    <row r="337" customFormat="false" ht="14.25" hidden="false" customHeight="false" outlineLevel="0" collapsed="false">
      <c r="A337" s="10" t="s">
        <v>7</v>
      </c>
      <c r="B337" s="11" t="s">
        <v>8</v>
      </c>
      <c r="C337" s="2" t="s">
        <v>458</v>
      </c>
    </row>
    <row r="338" customFormat="false" ht="14.25" hidden="false" customHeight="false" outlineLevel="0" collapsed="false">
      <c r="A338" s="10"/>
      <c r="B338" s="11" t="s">
        <v>10</v>
      </c>
      <c r="C338" s="2" t="s">
        <v>84</v>
      </c>
    </row>
    <row r="339" customFormat="false" ht="14.25" hidden="false" customHeight="false" outlineLevel="0" collapsed="false">
      <c r="A339" s="10" t="s">
        <v>13</v>
      </c>
      <c r="B339" s="11" t="s">
        <v>14</v>
      </c>
      <c r="C339" s="2" t="n">
        <v>151</v>
      </c>
    </row>
    <row r="340" customFormat="false" ht="14.25" hidden="false" customHeight="false" outlineLevel="0" collapsed="false">
      <c r="A340" s="10"/>
      <c r="B340" s="11" t="s">
        <v>15</v>
      </c>
      <c r="C340" s="2" t="s">
        <v>459</v>
      </c>
    </row>
    <row r="341" customFormat="false" ht="14.25" hidden="false" customHeight="false" outlineLevel="0" collapsed="false">
      <c r="A341" s="10"/>
      <c r="B341" s="11" t="s">
        <v>17</v>
      </c>
      <c r="C341" s="2" t="s">
        <v>460</v>
      </c>
    </row>
    <row r="342" customFormat="false" ht="14.25" hidden="false" customHeight="false" outlineLevel="0" collapsed="false">
      <c r="A342" s="10"/>
      <c r="B342" s="11" t="s">
        <v>19</v>
      </c>
      <c r="C342" s="2" t="s">
        <v>461</v>
      </c>
    </row>
    <row r="343" customFormat="false" ht="14.25" hidden="false" customHeight="false" outlineLevel="0" collapsed="false">
      <c r="A343" s="10" t="s">
        <v>22</v>
      </c>
      <c r="B343" s="11" t="s">
        <v>23</v>
      </c>
      <c r="C343" s="2" t="n">
        <v>151</v>
      </c>
    </row>
    <row r="344" customFormat="false" ht="14.25" hidden="false" customHeight="false" outlineLevel="0" collapsed="false">
      <c r="A344" s="10"/>
      <c r="B344" s="11" t="s">
        <v>25</v>
      </c>
      <c r="C344" s="2" t="n">
        <v>1</v>
      </c>
    </row>
    <row r="345" customFormat="false" ht="14.25" hidden="false" customHeight="false" outlineLevel="0" collapsed="false">
      <c r="A345" s="10"/>
      <c r="B345" s="11" t="s">
        <v>27</v>
      </c>
      <c r="C345" s="2" t="s">
        <v>132</v>
      </c>
      <c r="D345" s="2" t="s">
        <v>133</v>
      </c>
      <c r="E345" s="2" t="s">
        <v>312</v>
      </c>
      <c r="F345" s="2" t="s">
        <v>462</v>
      </c>
      <c r="G345" s="2" t="s">
        <v>134</v>
      </c>
      <c r="H345" s="2" t="s">
        <v>463</v>
      </c>
      <c r="I345" s="2" t="s">
        <v>464</v>
      </c>
      <c r="J345" s="2" t="s">
        <v>140</v>
      </c>
    </row>
    <row r="346" customFormat="false" ht="14.25" hidden="false" customHeight="false" outlineLevel="0" collapsed="false">
      <c r="A346" s="10"/>
      <c r="B346" s="11" t="s">
        <v>64</v>
      </c>
      <c r="C346" s="2" t="n">
        <v>256</v>
      </c>
      <c r="D346" s="2" t="n">
        <v>256</v>
      </c>
      <c r="E346" s="2" t="n">
        <v>256</v>
      </c>
      <c r="F346" s="2" t="n">
        <v>256</v>
      </c>
      <c r="G346" s="2" t="n">
        <v>256</v>
      </c>
      <c r="H346" s="2" t="n">
        <v>256</v>
      </c>
      <c r="I346" s="2" t="n">
        <v>256</v>
      </c>
      <c r="J346" s="2" t="n">
        <v>256</v>
      </c>
    </row>
    <row r="347" customFormat="false" ht="14.25" hidden="false" customHeight="false" outlineLevel="0" collapsed="false">
      <c r="A347" s="10" t="s">
        <v>65</v>
      </c>
      <c r="B347" s="11" t="s">
        <v>66</v>
      </c>
      <c r="C347" s="2" t="s">
        <v>67</v>
      </c>
    </row>
    <row r="348" customFormat="false" ht="14.25" hidden="false" customHeight="false" outlineLevel="0" collapsed="false">
      <c r="A348" s="10"/>
      <c r="B348" s="11" t="s">
        <v>68</v>
      </c>
      <c r="C348" s="2" t="s">
        <v>84</v>
      </c>
    </row>
    <row r="349" customFormat="false" ht="14.25" hidden="false" customHeight="false" outlineLevel="0" collapsed="false">
      <c r="A349" s="10" t="s">
        <v>71</v>
      </c>
      <c r="B349" s="4"/>
      <c r="C349" s="2" t="s">
        <v>72</v>
      </c>
      <c r="D349" s="1" t="s">
        <v>465</v>
      </c>
    </row>
    <row r="350" customFormat="false" ht="14.25" hidden="false" customHeight="false" outlineLevel="0" collapsed="false">
      <c r="A350" s="10" t="s">
        <v>74</v>
      </c>
      <c r="B350" s="11" t="s">
        <v>75</v>
      </c>
    </row>
    <row r="351" customFormat="false" ht="14.25" hidden="false" customHeight="false" outlineLevel="0" collapsed="false">
      <c r="A351" s="10"/>
      <c r="B351" s="11" t="s">
        <v>76</v>
      </c>
    </row>
    <row r="352" customFormat="false" ht="16.4" hidden="false" customHeight="false" outlineLevel="0" collapsed="false">
      <c r="A352" s="10"/>
      <c r="B352" s="11" t="s">
        <v>77</v>
      </c>
      <c r="C352" s="21" t="s">
        <v>466</v>
      </c>
    </row>
    <row r="353" customFormat="false" ht="14.25" hidden="false" customHeight="false" outlineLevel="0" collapsed="false">
      <c r="A353" s="17" t="s">
        <v>79</v>
      </c>
      <c r="B353" s="4"/>
    </row>
    <row r="354" customFormat="false" ht="14.25" hidden="false" customHeight="false" outlineLevel="0" collapsed="false">
      <c r="A354" s="3"/>
      <c r="B354" s="4"/>
    </row>
    <row r="355" customFormat="false" ht="14.25" hidden="false" customHeight="false" outlineLevel="0" collapsed="false">
      <c r="A355" s="22"/>
      <c r="B355" s="23"/>
      <c r="C355" s="18"/>
      <c r="D355" s="24"/>
    </row>
    <row r="356" customFormat="false" ht="14.25" hidden="false" customHeight="false" outlineLevel="0" collapsed="false">
      <c r="A356" s="10" t="s">
        <v>0</v>
      </c>
      <c r="B356" s="11" t="s">
        <v>1</v>
      </c>
      <c r="C356" s="20" t="s">
        <v>467</v>
      </c>
    </row>
    <row r="357" customFormat="false" ht="14.25" hidden="false" customHeight="false" outlineLevel="0" collapsed="false">
      <c r="A357" s="10"/>
      <c r="B357" s="11" t="s">
        <v>3</v>
      </c>
      <c r="C357" s="2" t="s">
        <v>468</v>
      </c>
    </row>
    <row r="358" customFormat="false" ht="16.4" hidden="false" customHeight="false" outlineLevel="0" collapsed="false">
      <c r="A358" s="10"/>
      <c r="B358" s="11" t="s">
        <v>5</v>
      </c>
      <c r="C358" s="14" t="s">
        <v>469</v>
      </c>
    </row>
    <row r="359" customFormat="false" ht="14.25" hidden="false" customHeight="false" outlineLevel="0" collapsed="false">
      <c r="A359" s="10" t="s">
        <v>7</v>
      </c>
      <c r="B359" s="11" t="s">
        <v>8</v>
      </c>
      <c r="C359" s="2" t="s">
        <v>470</v>
      </c>
    </row>
    <row r="360" customFormat="false" ht="14.25" hidden="false" customHeight="false" outlineLevel="0" collapsed="false">
      <c r="A360" s="10"/>
      <c r="B360" s="11" t="s">
        <v>10</v>
      </c>
      <c r="C360" s="2" t="s">
        <v>471</v>
      </c>
    </row>
    <row r="361" customFormat="false" ht="14.25" hidden="false" customHeight="false" outlineLevel="0" collapsed="false">
      <c r="A361" s="10" t="s">
        <v>13</v>
      </c>
      <c r="B361" s="11" t="s">
        <v>14</v>
      </c>
      <c r="C361" s="2" t="s">
        <v>472</v>
      </c>
    </row>
    <row r="362" customFormat="false" ht="14.25" hidden="false" customHeight="false" outlineLevel="0" collapsed="false">
      <c r="A362" s="10"/>
      <c r="B362" s="11" t="s">
        <v>15</v>
      </c>
      <c r="C362" s="2" t="s">
        <v>473</v>
      </c>
    </row>
    <row r="363" customFormat="false" ht="14.25" hidden="false" customHeight="false" outlineLevel="0" collapsed="false">
      <c r="A363" s="10"/>
      <c r="B363" s="11" t="s">
        <v>17</v>
      </c>
      <c r="C363" s="2" t="s">
        <v>474</v>
      </c>
    </row>
    <row r="364" customFormat="false" ht="14.25" hidden="false" customHeight="false" outlineLevel="0" collapsed="false">
      <c r="A364" s="10"/>
      <c r="B364" s="11" t="s">
        <v>19</v>
      </c>
      <c r="C364" s="2" t="s">
        <v>475</v>
      </c>
    </row>
    <row r="365" customFormat="false" ht="14.25" hidden="false" customHeight="false" outlineLevel="0" collapsed="false">
      <c r="A365" s="10" t="s">
        <v>22</v>
      </c>
      <c r="B365" s="11" t="s">
        <v>23</v>
      </c>
      <c r="C365" s="2" t="s">
        <v>476</v>
      </c>
    </row>
    <row r="366" customFormat="false" ht="14.25" hidden="false" customHeight="false" outlineLevel="0" collapsed="false">
      <c r="A366" s="10"/>
      <c r="B366" s="11" t="s">
        <v>25</v>
      </c>
      <c r="C366" s="2" t="n">
        <v>1</v>
      </c>
    </row>
    <row r="367" customFormat="false" ht="14.25" hidden="false" customHeight="false" outlineLevel="0" collapsed="false">
      <c r="A367" s="10"/>
      <c r="B367" s="11" t="s">
        <v>27</v>
      </c>
      <c r="C367" s="2" t="s">
        <v>477</v>
      </c>
    </row>
    <row r="368" customFormat="false" ht="14.25" hidden="false" customHeight="false" outlineLevel="0" collapsed="false">
      <c r="A368" s="10"/>
      <c r="B368" s="11" t="s">
        <v>64</v>
      </c>
      <c r="C368" s="2" t="s">
        <v>477</v>
      </c>
    </row>
    <row r="369" customFormat="false" ht="14.25" hidden="false" customHeight="false" outlineLevel="0" collapsed="false">
      <c r="A369" s="10" t="s">
        <v>65</v>
      </c>
      <c r="B369" s="11" t="s">
        <v>66</v>
      </c>
      <c r="C369" s="2" t="s">
        <v>67</v>
      </c>
    </row>
    <row r="370" customFormat="false" ht="14.25" hidden="false" customHeight="false" outlineLevel="0" collapsed="false">
      <c r="A370" s="10"/>
      <c r="B370" s="11" t="s">
        <v>68</v>
      </c>
      <c r="C370" s="2" t="s">
        <v>478</v>
      </c>
    </row>
    <row r="371" customFormat="false" ht="14.25" hidden="false" customHeight="false" outlineLevel="0" collapsed="false">
      <c r="A371" s="10" t="s">
        <v>71</v>
      </c>
      <c r="B371" s="4"/>
      <c r="C371" s="2" t="s">
        <v>72</v>
      </c>
      <c r="D371" s="1" t="s">
        <v>73</v>
      </c>
    </row>
    <row r="372" customFormat="false" ht="14.25" hidden="false" customHeight="false" outlineLevel="0" collapsed="false">
      <c r="A372" s="10" t="s">
        <v>74</v>
      </c>
      <c r="B372" s="11" t="s">
        <v>75</v>
      </c>
    </row>
    <row r="373" customFormat="false" ht="14.25" hidden="false" customHeight="false" outlineLevel="0" collapsed="false">
      <c r="A373" s="10"/>
      <c r="B373" s="11" t="s">
        <v>76</v>
      </c>
    </row>
    <row r="374" customFormat="false" ht="16.4" hidden="false" customHeight="false" outlineLevel="0" collapsed="false">
      <c r="A374" s="10"/>
      <c r="B374" s="11" t="s">
        <v>77</v>
      </c>
      <c r="C374" s="21" t="s">
        <v>479</v>
      </c>
    </row>
    <row r="375" customFormat="false" ht="16.4" hidden="false" customHeight="false" outlineLevel="0" collapsed="false">
      <c r="A375" s="17" t="s">
        <v>79</v>
      </c>
      <c r="B375" s="4"/>
      <c r="C375" s="14" t="s">
        <v>480</v>
      </c>
    </row>
    <row r="376" customFormat="false" ht="14.25" hidden="false" customHeight="false" outlineLevel="0" collapsed="false">
      <c r="A376" s="3"/>
      <c r="B376" s="4"/>
    </row>
    <row r="377" customFormat="false" ht="14.25" hidden="false" customHeight="false" outlineLevel="0" collapsed="false">
      <c r="A377" s="22"/>
      <c r="B377" s="23"/>
      <c r="C377" s="18"/>
      <c r="D377" s="24"/>
    </row>
    <row r="378" customFormat="false" ht="14.25" hidden="false" customHeight="false" outlineLevel="0" collapsed="false">
      <c r="A378" s="10" t="s">
        <v>0</v>
      </c>
      <c r="B378" s="11" t="s">
        <v>1</v>
      </c>
      <c r="C378" s="20" t="s">
        <v>481</v>
      </c>
    </row>
    <row r="379" customFormat="false" ht="14.25" hidden="false" customHeight="false" outlineLevel="0" collapsed="false">
      <c r="A379" s="10"/>
      <c r="B379" s="11" t="s">
        <v>3</v>
      </c>
      <c r="C379" s="2" t="s">
        <v>482</v>
      </c>
    </row>
    <row r="380" customFormat="false" ht="16.4" hidden="false" customHeight="false" outlineLevel="0" collapsed="false">
      <c r="A380" s="10"/>
      <c r="B380" s="11" t="s">
        <v>5</v>
      </c>
      <c r="C380" s="21" t="s">
        <v>483</v>
      </c>
    </row>
    <row r="381" customFormat="false" ht="14.25" hidden="false" customHeight="false" outlineLevel="0" collapsed="false">
      <c r="A381" s="10" t="s">
        <v>7</v>
      </c>
      <c r="B381" s="11" t="s">
        <v>8</v>
      </c>
      <c r="C381" s="2" t="s">
        <v>484</v>
      </c>
    </row>
    <row r="382" customFormat="false" ht="14.25" hidden="false" customHeight="false" outlineLevel="0" collapsed="false">
      <c r="A382" s="10"/>
      <c r="B382" s="11" t="s">
        <v>10</v>
      </c>
      <c r="C382" s="2" t="s">
        <v>485</v>
      </c>
    </row>
    <row r="383" customFormat="false" ht="14.25" hidden="false" customHeight="false" outlineLevel="0" collapsed="false">
      <c r="A383" s="10" t="s">
        <v>13</v>
      </c>
      <c r="B383" s="11" t="s">
        <v>14</v>
      </c>
      <c r="C383" s="2" t="n">
        <v>100</v>
      </c>
      <c r="D383" s="1" t="n">
        <v>8</v>
      </c>
      <c r="E383" s="1" t="n">
        <v>10</v>
      </c>
      <c r="F383" s="1" t="s">
        <v>486</v>
      </c>
    </row>
    <row r="384" customFormat="false" ht="14.25" hidden="false" customHeight="false" outlineLevel="0" collapsed="false">
      <c r="A384" s="10"/>
      <c r="B384" s="11" t="s">
        <v>15</v>
      </c>
      <c r="C384" s="2" t="s">
        <v>487</v>
      </c>
      <c r="D384" s="1" t="s">
        <v>488</v>
      </c>
      <c r="E384" s="1" t="s">
        <v>489</v>
      </c>
    </row>
    <row r="385" customFormat="false" ht="14.25" hidden="false" customHeight="false" outlineLevel="0" collapsed="false">
      <c r="A385" s="10"/>
      <c r="B385" s="11" t="s">
        <v>17</v>
      </c>
      <c r="C385" s="2" t="s">
        <v>490</v>
      </c>
      <c r="D385" s="51" t="s">
        <v>491</v>
      </c>
      <c r="E385" s="51" t="s">
        <v>492</v>
      </c>
    </row>
    <row r="386" customFormat="false" ht="14.25" hidden="false" customHeight="false" outlineLevel="0" collapsed="false">
      <c r="A386" s="10"/>
      <c r="B386" s="11" t="s">
        <v>19</v>
      </c>
      <c r="C386" s="2" t="s">
        <v>493</v>
      </c>
      <c r="D386" s="1" t="s">
        <v>493</v>
      </c>
      <c r="E386" s="1" t="s">
        <v>87</v>
      </c>
    </row>
    <row r="387" customFormat="false" ht="14.25" hidden="false" customHeight="false" outlineLevel="0" collapsed="false">
      <c r="A387" s="10" t="s">
        <v>22</v>
      </c>
      <c r="B387" s="11" t="s">
        <v>23</v>
      </c>
      <c r="C387" s="2" t="n">
        <v>100</v>
      </c>
      <c r="D387" s="1" t="n">
        <v>16</v>
      </c>
      <c r="E387" s="1" t="n">
        <v>10</v>
      </c>
    </row>
    <row r="388" customFormat="false" ht="14.25" hidden="false" customHeight="false" outlineLevel="0" collapsed="false">
      <c r="A388" s="10"/>
      <c r="B388" s="11" t="s">
        <v>25</v>
      </c>
      <c r="C388" s="2" t="n">
        <v>1</v>
      </c>
      <c r="D388" s="1" t="n">
        <v>2</v>
      </c>
      <c r="E388" s="1" t="n">
        <v>1</v>
      </c>
    </row>
    <row r="389" customFormat="false" ht="14.25" hidden="false" customHeight="false" outlineLevel="0" collapsed="false">
      <c r="A389" s="10"/>
      <c r="B389" s="11" t="s">
        <v>27</v>
      </c>
      <c r="C389" s="2" t="s">
        <v>494</v>
      </c>
      <c r="D389" s="2" t="s">
        <v>495</v>
      </c>
      <c r="E389" s="2" t="s">
        <v>496</v>
      </c>
      <c r="F389" s="2" t="s">
        <v>497</v>
      </c>
      <c r="G389" s="2" t="s">
        <v>498</v>
      </c>
      <c r="H389" s="2" t="s">
        <v>499</v>
      </c>
      <c r="I389" s="2" t="s">
        <v>500</v>
      </c>
      <c r="J389" s="2" t="s">
        <v>501</v>
      </c>
      <c r="K389" s="2" t="s">
        <v>502</v>
      </c>
      <c r="L389" s="2" t="s">
        <v>503</v>
      </c>
      <c r="M389" s="2" t="s">
        <v>230</v>
      </c>
      <c r="N389" s="2" t="s">
        <v>504</v>
      </c>
      <c r="O389" s="2" t="s">
        <v>505</v>
      </c>
      <c r="P389" s="2" t="s">
        <v>506</v>
      </c>
      <c r="Q389" s="2" t="s">
        <v>507</v>
      </c>
      <c r="R389" s="2" t="s">
        <v>508</v>
      </c>
      <c r="S389" s="2" t="s">
        <v>509</v>
      </c>
      <c r="T389" s="2" t="s">
        <v>510</v>
      </c>
      <c r="U389" s="2" t="s">
        <v>511</v>
      </c>
    </row>
    <row r="390" customFormat="false" ht="14.25" hidden="false" customHeight="false" outlineLevel="0" collapsed="false">
      <c r="A390" s="10"/>
      <c r="B390" s="11" t="s">
        <v>64</v>
      </c>
      <c r="C390" s="2" t="n">
        <v>200</v>
      </c>
      <c r="D390" s="2" t="n">
        <v>200</v>
      </c>
      <c r="E390" s="2" t="n">
        <v>25</v>
      </c>
      <c r="F390" s="2" t="n">
        <v>25</v>
      </c>
      <c r="G390" s="2" t="n">
        <v>200</v>
      </c>
      <c r="H390" s="2" t="n">
        <v>200</v>
      </c>
      <c r="I390" s="2" t="n">
        <v>200</v>
      </c>
      <c r="J390" s="2" t="n">
        <v>200</v>
      </c>
      <c r="K390" s="2" t="n">
        <v>200</v>
      </c>
      <c r="L390" s="2" t="n">
        <v>200</v>
      </c>
      <c r="M390" s="2" t="n">
        <v>12.5</v>
      </c>
      <c r="N390" s="2" t="n">
        <v>200</v>
      </c>
      <c r="O390" s="2" t="n">
        <v>200</v>
      </c>
      <c r="P390" s="2" t="n">
        <v>200</v>
      </c>
      <c r="Q390" s="2" t="n">
        <v>200</v>
      </c>
      <c r="R390" s="2" t="n">
        <v>200</v>
      </c>
      <c r="S390" s="2" t="n">
        <v>12.5</v>
      </c>
      <c r="T390" s="2" t="n">
        <v>25</v>
      </c>
      <c r="U390" s="2" t="n">
        <v>25</v>
      </c>
    </row>
    <row r="391" customFormat="false" ht="14.25" hidden="false" customHeight="false" outlineLevel="0" collapsed="false">
      <c r="A391" s="10" t="s">
        <v>65</v>
      </c>
      <c r="B391" s="11" t="s">
        <v>66</v>
      </c>
      <c r="C391" s="2" t="s">
        <v>512</v>
      </c>
    </row>
    <row r="392" customFormat="false" ht="14.25" hidden="false" customHeight="false" outlineLevel="0" collapsed="false">
      <c r="A392" s="10"/>
      <c r="B392" s="11" t="s">
        <v>68</v>
      </c>
      <c r="C392" s="2" t="s">
        <v>84</v>
      </c>
    </row>
    <row r="393" customFormat="false" ht="14.25" hidden="false" customHeight="false" outlineLevel="0" collapsed="false">
      <c r="A393" s="10" t="s">
        <v>71</v>
      </c>
      <c r="B393" s="4"/>
      <c r="C393" s="2" t="s">
        <v>72</v>
      </c>
      <c r="D393" s="1" t="s">
        <v>513</v>
      </c>
    </row>
    <row r="394" customFormat="false" ht="14.25" hidden="false" customHeight="false" outlineLevel="0" collapsed="false">
      <c r="A394" s="10" t="s">
        <v>74</v>
      </c>
      <c r="B394" s="11" t="s">
        <v>75</v>
      </c>
    </row>
    <row r="395" customFormat="false" ht="14.25" hidden="false" customHeight="false" outlineLevel="0" collapsed="false">
      <c r="A395" s="10"/>
      <c r="B395" s="11" t="s">
        <v>76</v>
      </c>
    </row>
    <row r="396" customFormat="false" ht="16.4" hidden="false" customHeight="false" outlineLevel="0" collapsed="false">
      <c r="A396" s="10"/>
      <c r="B396" s="11" t="s">
        <v>77</v>
      </c>
      <c r="C396" s="21" t="s">
        <v>483</v>
      </c>
    </row>
    <row r="397" customFormat="false" ht="14.25" hidden="false" customHeight="false" outlineLevel="0" collapsed="false">
      <c r="A397" s="17" t="s">
        <v>79</v>
      </c>
      <c r="B397" s="4"/>
    </row>
    <row r="398" customFormat="false" ht="14.25" hidden="false" customHeight="false" outlineLevel="0" collapsed="false">
      <c r="A398" s="3"/>
      <c r="B398" s="4"/>
    </row>
    <row r="399" customFormat="false" ht="14.25" hidden="false" customHeight="false" outlineLevel="0" collapsed="false">
      <c r="A399" s="22"/>
      <c r="B399" s="23"/>
      <c r="C399" s="52"/>
      <c r="D399" s="24"/>
    </row>
    <row r="400" customFormat="false" ht="14.25" hidden="false" customHeight="false" outlineLevel="0" collapsed="false">
      <c r="A400" s="10" t="s">
        <v>0</v>
      </c>
      <c r="B400" s="11" t="s">
        <v>1</v>
      </c>
      <c r="C400" s="2" t="s">
        <v>514</v>
      </c>
    </row>
    <row r="401" customFormat="false" ht="14.25" hidden="false" customHeight="false" outlineLevel="0" collapsed="false">
      <c r="A401" s="10"/>
      <c r="B401" s="11" t="s">
        <v>3</v>
      </c>
      <c r="C401" s="2" t="n">
        <v>2020</v>
      </c>
    </row>
    <row r="402" customFormat="false" ht="16.4" hidden="false" customHeight="false" outlineLevel="0" collapsed="false">
      <c r="A402" s="10"/>
      <c r="B402" s="11" t="s">
        <v>5</v>
      </c>
      <c r="C402" s="21" t="s">
        <v>515</v>
      </c>
    </row>
    <row r="403" customFormat="false" ht="14.25" hidden="false" customHeight="false" outlineLevel="0" collapsed="false">
      <c r="A403" s="10" t="s">
        <v>7</v>
      </c>
      <c r="B403" s="11" t="s">
        <v>8</v>
      </c>
      <c r="C403" s="2" t="s">
        <v>516</v>
      </c>
    </row>
    <row r="404" customFormat="false" ht="14.25" hidden="false" customHeight="false" outlineLevel="0" collapsed="false">
      <c r="A404" s="10"/>
      <c r="B404" s="11" t="s">
        <v>10</v>
      </c>
      <c r="C404" s="2" t="s">
        <v>84</v>
      </c>
    </row>
    <row r="405" customFormat="false" ht="14.25" hidden="false" customHeight="false" outlineLevel="0" collapsed="false">
      <c r="A405" s="10" t="s">
        <v>13</v>
      </c>
      <c r="B405" s="11" t="s">
        <v>14</v>
      </c>
      <c r="C405" s="2" t="n">
        <v>22</v>
      </c>
    </row>
    <row r="406" customFormat="false" ht="14.25" hidden="false" customHeight="false" outlineLevel="0" collapsed="false">
      <c r="A406" s="10"/>
      <c r="B406" s="11" t="s">
        <v>15</v>
      </c>
    </row>
    <row r="407" customFormat="false" ht="14.25" hidden="false" customHeight="false" outlineLevel="0" collapsed="false">
      <c r="A407" s="10"/>
      <c r="B407" s="11" t="s">
        <v>17</v>
      </c>
    </row>
    <row r="408" customFormat="false" ht="14.25" hidden="false" customHeight="false" outlineLevel="0" collapsed="false">
      <c r="A408" s="10"/>
      <c r="B408" s="11" t="s">
        <v>19</v>
      </c>
      <c r="C408" s="2" t="s">
        <v>87</v>
      </c>
    </row>
    <row r="409" customFormat="false" ht="14.25" hidden="false" customHeight="false" outlineLevel="0" collapsed="false">
      <c r="A409" s="10" t="s">
        <v>22</v>
      </c>
      <c r="B409" s="11" t="s">
        <v>23</v>
      </c>
      <c r="C409" s="2" t="n">
        <v>22</v>
      </c>
    </row>
    <row r="410" customFormat="false" ht="14.25" hidden="false" customHeight="false" outlineLevel="0" collapsed="false">
      <c r="A410" s="10"/>
      <c r="B410" s="11" t="s">
        <v>25</v>
      </c>
      <c r="C410" s="2" t="n">
        <v>1</v>
      </c>
    </row>
    <row r="411" customFormat="false" ht="14.25" hidden="false" customHeight="false" outlineLevel="0" collapsed="false">
      <c r="A411" s="10"/>
      <c r="B411" s="11" t="s">
        <v>27</v>
      </c>
      <c r="C411" s="2" t="s">
        <v>517</v>
      </c>
      <c r="D411" s="1" t="s">
        <v>518</v>
      </c>
      <c r="E411" s="1" t="s">
        <v>519</v>
      </c>
    </row>
    <row r="412" customFormat="false" ht="14.25" hidden="false" customHeight="false" outlineLevel="0" collapsed="false">
      <c r="A412" s="10"/>
      <c r="B412" s="11" t="s">
        <v>64</v>
      </c>
    </row>
    <row r="413" customFormat="false" ht="14.25" hidden="false" customHeight="false" outlineLevel="0" collapsed="false">
      <c r="A413" s="10" t="s">
        <v>65</v>
      </c>
      <c r="B413" s="11" t="s">
        <v>66</v>
      </c>
      <c r="C413" s="50" t="s">
        <v>451</v>
      </c>
    </row>
    <row r="414" customFormat="false" ht="14.25" hidden="false" customHeight="false" outlineLevel="0" collapsed="false">
      <c r="A414" s="10"/>
      <c r="B414" s="11" t="s">
        <v>68</v>
      </c>
    </row>
    <row r="415" customFormat="false" ht="14.25" hidden="false" customHeight="false" outlineLevel="0" collapsed="false">
      <c r="A415" s="10" t="s">
        <v>71</v>
      </c>
      <c r="B415" s="4"/>
    </row>
    <row r="416" customFormat="false" ht="14.25" hidden="false" customHeight="false" outlineLevel="0" collapsed="false">
      <c r="A416" s="10" t="s">
        <v>74</v>
      </c>
      <c r="B416" s="11" t="s">
        <v>75</v>
      </c>
    </row>
    <row r="417" customFormat="false" ht="14.25" hidden="false" customHeight="false" outlineLevel="0" collapsed="false">
      <c r="A417" s="10"/>
      <c r="B417" s="11" t="s">
        <v>76</v>
      </c>
    </row>
    <row r="418" customFormat="false" ht="16.4" hidden="false" customHeight="false" outlineLevel="0" collapsed="false">
      <c r="A418" s="10"/>
      <c r="B418" s="11" t="s">
        <v>77</v>
      </c>
      <c r="C418" s="21" t="s">
        <v>520</v>
      </c>
    </row>
    <row r="419" customFormat="false" ht="14.25" hidden="false" customHeight="false" outlineLevel="0" collapsed="false">
      <c r="A419" s="17" t="s">
        <v>79</v>
      </c>
      <c r="B419" s="4"/>
    </row>
    <row r="420" customFormat="false" ht="14.25" hidden="false" customHeight="false" outlineLevel="0" collapsed="false">
      <c r="A420" s="3"/>
      <c r="B420" s="4"/>
    </row>
    <row r="421" customFormat="false" ht="14.25" hidden="false" customHeight="false" outlineLevel="0" collapsed="false">
      <c r="A421" s="5"/>
      <c r="B421" s="6"/>
      <c r="C421" s="18"/>
      <c r="D421" s="24"/>
    </row>
    <row r="422" customFormat="false" ht="14.25" hidden="false" customHeight="false" outlineLevel="0" collapsed="false">
      <c r="A422" s="10" t="s">
        <v>0</v>
      </c>
      <c r="B422" s="11" t="s">
        <v>1</v>
      </c>
      <c r="C422" s="20" t="s">
        <v>521</v>
      </c>
    </row>
    <row r="423" customFormat="false" ht="14.25" hidden="false" customHeight="false" outlineLevel="0" collapsed="false">
      <c r="A423" s="10"/>
      <c r="B423" s="11" t="s">
        <v>3</v>
      </c>
      <c r="C423" s="2" t="s">
        <v>401</v>
      </c>
    </row>
    <row r="424" customFormat="false" ht="16.4" hidden="false" customHeight="false" outlineLevel="0" collapsed="false">
      <c r="A424" s="10"/>
      <c r="B424" s="11" t="s">
        <v>5</v>
      </c>
      <c r="C424" s="14" t="s">
        <v>522</v>
      </c>
    </row>
    <row r="425" customFormat="false" ht="14.25" hidden="false" customHeight="false" outlineLevel="0" collapsed="false">
      <c r="A425" s="10" t="s">
        <v>7</v>
      </c>
      <c r="B425" s="11" t="s">
        <v>8</v>
      </c>
      <c r="C425" s="2" t="s">
        <v>523</v>
      </c>
    </row>
    <row r="426" customFormat="false" ht="14.25" hidden="false" customHeight="false" outlineLevel="0" collapsed="false">
      <c r="A426" s="10"/>
      <c r="B426" s="11" t="s">
        <v>10</v>
      </c>
      <c r="C426" s="2" t="s">
        <v>84</v>
      </c>
    </row>
    <row r="427" customFormat="false" ht="14.25" hidden="false" customHeight="false" outlineLevel="0" collapsed="false">
      <c r="A427" s="10" t="s">
        <v>13</v>
      </c>
      <c r="B427" s="11" t="s">
        <v>14</v>
      </c>
      <c r="C427" s="2" t="n">
        <v>2237</v>
      </c>
    </row>
    <row r="428" customFormat="false" ht="14.25" hidden="false" customHeight="false" outlineLevel="0" collapsed="false">
      <c r="A428" s="10"/>
      <c r="B428" s="11" t="s">
        <v>15</v>
      </c>
      <c r="C428" s="2" t="s">
        <v>524</v>
      </c>
    </row>
    <row r="429" customFormat="false" ht="14.25" hidden="false" customHeight="false" outlineLevel="0" collapsed="false">
      <c r="A429" s="10"/>
      <c r="B429" s="11" t="s">
        <v>17</v>
      </c>
      <c r="C429" s="2" t="s">
        <v>525</v>
      </c>
    </row>
    <row r="430" customFormat="false" ht="14.25" hidden="false" customHeight="false" outlineLevel="0" collapsed="false">
      <c r="A430" s="10"/>
      <c r="B430" s="11" t="s">
        <v>19</v>
      </c>
      <c r="C430" s="2" t="s">
        <v>526</v>
      </c>
    </row>
    <row r="431" customFormat="false" ht="14.25" hidden="false" customHeight="false" outlineLevel="0" collapsed="false">
      <c r="A431" s="10" t="s">
        <v>22</v>
      </c>
      <c r="B431" s="11" t="s">
        <v>23</v>
      </c>
      <c r="C431" s="2" t="n">
        <v>2237</v>
      </c>
    </row>
    <row r="432" customFormat="false" ht="14.25" hidden="false" customHeight="false" outlineLevel="0" collapsed="false">
      <c r="A432" s="10"/>
      <c r="B432" s="11" t="s">
        <v>25</v>
      </c>
      <c r="C432" s="2" t="n">
        <v>1</v>
      </c>
    </row>
    <row r="433" customFormat="false" ht="14.25" hidden="false" customHeight="false" outlineLevel="0" collapsed="false">
      <c r="A433" s="10"/>
      <c r="B433" s="11" t="s">
        <v>27</v>
      </c>
      <c r="C433" s="2" t="s">
        <v>527</v>
      </c>
      <c r="D433" s="2" t="s">
        <v>528</v>
      </c>
      <c r="E433" s="2" t="s">
        <v>529</v>
      </c>
      <c r="F433" s="2" t="s">
        <v>530</v>
      </c>
      <c r="G433" s="2" t="s">
        <v>531</v>
      </c>
      <c r="H433" s="2" t="s">
        <v>532</v>
      </c>
      <c r="I433" s="2" t="s">
        <v>533</v>
      </c>
      <c r="J433" s="2" t="s">
        <v>534</v>
      </c>
      <c r="K433" s="2" t="s">
        <v>535</v>
      </c>
      <c r="L433" s="2" t="s">
        <v>416</v>
      </c>
      <c r="M433" s="2" t="s">
        <v>536</v>
      </c>
      <c r="N433" s="2" t="s">
        <v>537</v>
      </c>
      <c r="O433" s="2" t="s">
        <v>538</v>
      </c>
      <c r="P433" s="2" t="s">
        <v>539</v>
      </c>
      <c r="Q433" s="2" t="s">
        <v>540</v>
      </c>
      <c r="R433" s="2" t="s">
        <v>541</v>
      </c>
      <c r="S433" s="2" t="s">
        <v>420</v>
      </c>
      <c r="T433" s="2" t="s">
        <v>542</v>
      </c>
      <c r="U433" s="2" t="s">
        <v>543</v>
      </c>
      <c r="V433" s="2" t="s">
        <v>544</v>
      </c>
      <c r="W433" s="2" t="s">
        <v>268</v>
      </c>
      <c r="X433" s="2" t="s">
        <v>545</v>
      </c>
      <c r="Y433" s="2" t="s">
        <v>546</v>
      </c>
      <c r="Z433" s="2" t="s">
        <v>547</v>
      </c>
      <c r="AA433" s="2" t="s">
        <v>435</v>
      </c>
      <c r="AB433" s="2" t="s">
        <v>437</v>
      </c>
      <c r="AC433" s="2" t="s">
        <v>548</v>
      </c>
      <c r="AD433" s="2" t="s">
        <v>549</v>
      </c>
      <c r="AE433" s="2" t="s">
        <v>550</v>
      </c>
    </row>
    <row r="434" customFormat="false" ht="14.25" hidden="false" customHeight="false" outlineLevel="0" collapsed="false">
      <c r="A434" s="10"/>
      <c r="B434" s="11" t="s">
        <v>64</v>
      </c>
      <c r="C434" s="2" t="n">
        <v>32</v>
      </c>
      <c r="D434" s="2" t="n">
        <v>32</v>
      </c>
      <c r="E434" s="2" t="n">
        <v>256</v>
      </c>
      <c r="F434" s="2" t="n">
        <v>256</v>
      </c>
      <c r="G434" s="2" t="n">
        <v>1</v>
      </c>
      <c r="H434" s="2" t="n">
        <v>256</v>
      </c>
      <c r="I434" s="2" t="n">
        <v>1</v>
      </c>
      <c r="J434" s="2" t="n">
        <v>256</v>
      </c>
      <c r="K434" s="2" t="n">
        <v>1</v>
      </c>
      <c r="L434" s="2" t="n">
        <v>256</v>
      </c>
      <c r="M434" s="2" t="n">
        <v>1</v>
      </c>
      <c r="N434" s="2" t="n">
        <v>256</v>
      </c>
      <c r="O434" s="2" t="n">
        <v>1</v>
      </c>
      <c r="P434" s="2" t="n">
        <v>1</v>
      </c>
      <c r="Q434" s="2" t="n">
        <v>256</v>
      </c>
      <c r="R434" s="2" t="n">
        <v>1</v>
      </c>
      <c r="S434" s="2" t="n">
        <v>32</v>
      </c>
      <c r="T434" s="2" t="n">
        <v>1</v>
      </c>
      <c r="U434" s="2" t="n">
        <v>32</v>
      </c>
      <c r="V434" s="2" t="n">
        <v>1</v>
      </c>
      <c r="W434" s="2" t="n">
        <v>256</v>
      </c>
      <c r="X434" s="2" t="n">
        <v>32</v>
      </c>
      <c r="Y434" s="2" t="n">
        <v>32</v>
      </c>
      <c r="Z434" s="2" t="n">
        <v>256</v>
      </c>
      <c r="AA434" s="2" t="n">
        <v>32</v>
      </c>
      <c r="AB434" s="2" t="n">
        <v>1</v>
      </c>
      <c r="AC434" s="2" t="n">
        <v>32</v>
      </c>
      <c r="AD434" s="2" t="n">
        <v>32</v>
      </c>
      <c r="AE434" s="2" t="n">
        <v>256</v>
      </c>
    </row>
    <row r="435" customFormat="false" ht="14.25" hidden="false" customHeight="false" outlineLevel="0" collapsed="false">
      <c r="A435" s="10" t="s">
        <v>65</v>
      </c>
      <c r="B435" s="11" t="s">
        <v>66</v>
      </c>
      <c r="C435" s="2" t="s">
        <v>67</v>
      </c>
    </row>
    <row r="436" customFormat="false" ht="14.25" hidden="false" customHeight="false" outlineLevel="0" collapsed="false">
      <c r="A436" s="10"/>
      <c r="B436" s="11" t="s">
        <v>68</v>
      </c>
      <c r="C436" s="2" t="s">
        <v>478</v>
      </c>
    </row>
    <row r="437" customFormat="false" ht="14.25" hidden="false" customHeight="false" outlineLevel="0" collapsed="false">
      <c r="A437" s="10" t="s">
        <v>71</v>
      </c>
      <c r="B437" s="4"/>
      <c r="C437" s="2" t="s">
        <v>72</v>
      </c>
      <c r="D437" s="1" t="s">
        <v>73</v>
      </c>
    </row>
    <row r="438" customFormat="false" ht="14.25" hidden="false" customHeight="false" outlineLevel="0" collapsed="false">
      <c r="A438" s="10" t="s">
        <v>74</v>
      </c>
      <c r="B438" s="11" t="s">
        <v>75</v>
      </c>
    </row>
    <row r="439" customFormat="false" ht="14.25" hidden="false" customHeight="false" outlineLevel="0" collapsed="false">
      <c r="A439" s="10"/>
      <c r="B439" s="11" t="s">
        <v>76</v>
      </c>
    </row>
    <row r="440" customFormat="false" ht="16.4" hidden="false" customHeight="false" outlineLevel="0" collapsed="false">
      <c r="A440" s="10"/>
      <c r="B440" s="11" t="s">
        <v>77</v>
      </c>
      <c r="C440" s="21" t="s">
        <v>551</v>
      </c>
      <c r="D440" s="21" t="s">
        <v>552</v>
      </c>
    </row>
    <row r="441" customFormat="false" ht="16.4" hidden="false" customHeight="false" outlineLevel="0" collapsed="false">
      <c r="A441" s="17" t="s">
        <v>79</v>
      </c>
      <c r="B441" s="4"/>
      <c r="C441" s="53" t="s">
        <v>553</v>
      </c>
    </row>
    <row r="442" customFormat="false" ht="16.4" hidden="false" customHeight="false" outlineLevel="0" collapsed="false">
      <c r="A442" s="3"/>
      <c r="B442" s="4"/>
      <c r="C442" s="53" t="s">
        <v>554</v>
      </c>
    </row>
    <row r="443" customFormat="false" ht="14.25" hidden="false" customHeight="false" outlineLevel="0" collapsed="false">
      <c r="A443" s="22"/>
      <c r="B443" s="23"/>
      <c r="C443" s="54"/>
      <c r="D443" s="24"/>
    </row>
    <row r="444" customFormat="false" ht="14.25" hidden="false" customHeight="false" outlineLevel="0" collapsed="false">
      <c r="A444" s="10" t="s">
        <v>0</v>
      </c>
      <c r="B444" s="11" t="s">
        <v>1</v>
      </c>
      <c r="C444" s="55" t="s">
        <v>555</v>
      </c>
    </row>
    <row r="445" customFormat="false" ht="14.25" hidden="false" customHeight="false" outlineLevel="0" collapsed="false">
      <c r="A445" s="10"/>
      <c r="B445" s="11" t="s">
        <v>3</v>
      </c>
      <c r="C445" s="56" t="n">
        <v>1999</v>
      </c>
    </row>
    <row r="446" customFormat="false" ht="16.4" hidden="false" customHeight="false" outlineLevel="0" collapsed="false">
      <c r="A446" s="10"/>
      <c r="B446" s="11" t="s">
        <v>5</v>
      </c>
      <c r="C446" s="53" t="s">
        <v>556</v>
      </c>
    </row>
    <row r="447" customFormat="false" ht="14.25" hidden="false" customHeight="false" outlineLevel="0" collapsed="false">
      <c r="A447" s="10" t="s">
        <v>7</v>
      </c>
      <c r="B447" s="11" t="s">
        <v>8</v>
      </c>
      <c r="C447" s="56" t="s">
        <v>557</v>
      </c>
    </row>
    <row r="448" customFormat="false" ht="14.25" hidden="false" customHeight="false" outlineLevel="0" collapsed="false">
      <c r="A448" s="10"/>
      <c r="B448" s="11" t="s">
        <v>10</v>
      </c>
      <c r="C448" s="56" t="s">
        <v>471</v>
      </c>
    </row>
    <row r="449" customFormat="false" ht="14.25" hidden="false" customHeight="false" outlineLevel="0" collapsed="false">
      <c r="A449" s="10" t="s">
        <v>13</v>
      </c>
      <c r="B449" s="11" t="s">
        <v>14</v>
      </c>
      <c r="C449" s="56" t="n">
        <v>16</v>
      </c>
    </row>
    <row r="450" customFormat="false" ht="14.25" hidden="false" customHeight="false" outlineLevel="0" collapsed="false">
      <c r="A450" s="10"/>
      <c r="B450" s="11" t="s">
        <v>15</v>
      </c>
      <c r="C450" s="56" t="s">
        <v>558</v>
      </c>
    </row>
    <row r="451" customFormat="false" ht="14.25" hidden="false" customHeight="false" outlineLevel="0" collapsed="false">
      <c r="A451" s="10"/>
      <c r="B451" s="11" t="s">
        <v>17</v>
      </c>
      <c r="C451" s="56" t="s">
        <v>559</v>
      </c>
    </row>
    <row r="452" customFormat="false" ht="14.25" hidden="false" customHeight="false" outlineLevel="0" collapsed="false">
      <c r="A452" s="10"/>
      <c r="B452" s="11" t="s">
        <v>19</v>
      </c>
      <c r="C452" s="56"/>
    </row>
    <row r="453" customFormat="false" ht="14.25" hidden="false" customHeight="false" outlineLevel="0" collapsed="false">
      <c r="A453" s="10" t="s">
        <v>22</v>
      </c>
      <c r="B453" s="11" t="s">
        <v>23</v>
      </c>
      <c r="C453" s="56" t="n">
        <v>19</v>
      </c>
    </row>
    <row r="454" customFormat="false" ht="14.25" hidden="false" customHeight="false" outlineLevel="0" collapsed="false">
      <c r="A454" s="10"/>
      <c r="B454" s="57" t="s">
        <v>25</v>
      </c>
      <c r="C454" s="56" t="s">
        <v>560</v>
      </c>
      <c r="D454" s="14"/>
      <c r="E454" s="14"/>
      <c r="F454" s="14"/>
      <c r="G454" s="14"/>
      <c r="H454" s="14"/>
      <c r="I454" s="14"/>
    </row>
    <row r="455" customFormat="false" ht="14.25" hidden="false" customHeight="false" outlineLevel="0" collapsed="false">
      <c r="A455" s="10"/>
      <c r="B455" s="57" t="s">
        <v>27</v>
      </c>
      <c r="C455" s="58" t="s">
        <v>561</v>
      </c>
      <c r="D455" s="2" t="s">
        <v>562</v>
      </c>
      <c r="E455" s="2" t="s">
        <v>563</v>
      </c>
      <c r="F455" s="2" t="s">
        <v>564</v>
      </c>
      <c r="G455" s="2" t="s">
        <v>565</v>
      </c>
      <c r="H455" s="2" t="s">
        <v>566</v>
      </c>
      <c r="I455" s="59" t="s">
        <v>134</v>
      </c>
    </row>
    <row r="456" customFormat="false" ht="14.25" hidden="false" customHeight="false" outlineLevel="0" collapsed="false">
      <c r="A456" s="10"/>
      <c r="B456" s="57" t="s">
        <v>64</v>
      </c>
      <c r="C456" s="58" t="n">
        <v>250</v>
      </c>
      <c r="D456" s="35" t="n">
        <v>250</v>
      </c>
      <c r="E456" s="35" t="n">
        <v>250</v>
      </c>
      <c r="F456" s="35" t="n">
        <v>250</v>
      </c>
      <c r="G456" s="35" t="n">
        <v>250</v>
      </c>
      <c r="H456" s="35" t="n">
        <v>250</v>
      </c>
      <c r="I456" s="35" t="n">
        <v>250</v>
      </c>
    </row>
    <row r="457" customFormat="false" ht="14.25" hidden="false" customHeight="false" outlineLevel="0" collapsed="false">
      <c r="A457" s="10" t="s">
        <v>65</v>
      </c>
      <c r="B457" s="11" t="s">
        <v>66</v>
      </c>
      <c r="C457" s="56" t="s">
        <v>114</v>
      </c>
    </row>
    <row r="458" customFormat="false" ht="14.25" hidden="false" customHeight="false" outlineLevel="0" collapsed="false">
      <c r="A458" s="10"/>
      <c r="B458" s="11" t="s">
        <v>68</v>
      </c>
      <c r="C458" s="56" t="s">
        <v>567</v>
      </c>
    </row>
    <row r="459" customFormat="false" ht="14.25" hidden="false" customHeight="false" outlineLevel="0" collapsed="false">
      <c r="A459" s="10" t="s">
        <v>71</v>
      </c>
      <c r="B459" s="4"/>
      <c r="C459" s="2" t="s">
        <v>289</v>
      </c>
      <c r="D459" s="1" t="s">
        <v>568</v>
      </c>
    </row>
    <row r="460" customFormat="false" ht="14.25" hidden="false" customHeight="false" outlineLevel="0" collapsed="false">
      <c r="A460" s="10" t="s">
        <v>74</v>
      </c>
      <c r="B460" s="11" t="s">
        <v>75</v>
      </c>
      <c r="C460" s="56"/>
    </row>
    <row r="461" customFormat="false" ht="14.25" hidden="false" customHeight="false" outlineLevel="0" collapsed="false">
      <c r="A461" s="10"/>
      <c r="B461" s="11" t="s">
        <v>76</v>
      </c>
      <c r="C461" s="56"/>
    </row>
    <row r="462" customFormat="false" ht="16.4" hidden="false" customHeight="false" outlineLevel="0" collapsed="false">
      <c r="A462" s="10"/>
      <c r="B462" s="11" t="s">
        <v>77</v>
      </c>
      <c r="C462" s="21" t="s">
        <v>569</v>
      </c>
    </row>
    <row r="463" customFormat="false" ht="14.25" hidden="false" customHeight="false" outlineLevel="0" collapsed="false">
      <c r="A463" s="17" t="s">
        <v>79</v>
      </c>
      <c r="B463" s="4"/>
      <c r="C463" s="56"/>
    </row>
    <row r="464" customFormat="false" ht="14.25" hidden="false" customHeight="false" outlineLevel="0" collapsed="false">
      <c r="A464" s="3"/>
      <c r="B464" s="4"/>
      <c r="C464" s="53"/>
    </row>
    <row r="465" customFormat="false" ht="14.25" hidden="false" customHeight="false" outlineLevel="0" collapsed="false">
      <c r="A465" s="22"/>
      <c r="B465" s="23"/>
      <c r="C465" s="18"/>
      <c r="D465" s="24"/>
    </row>
    <row r="466" customFormat="false" ht="14.25" hidden="false" customHeight="false" outlineLevel="0" collapsed="false">
      <c r="A466" s="10" t="s">
        <v>0</v>
      </c>
      <c r="B466" s="11" t="s">
        <v>1</v>
      </c>
      <c r="C466" s="20" t="s">
        <v>570</v>
      </c>
    </row>
    <row r="467" customFormat="false" ht="14.25" hidden="false" customHeight="false" outlineLevel="0" collapsed="false">
      <c r="A467" s="10"/>
      <c r="B467" s="11" t="s">
        <v>3</v>
      </c>
      <c r="C467" s="2" t="s">
        <v>571</v>
      </c>
    </row>
    <row r="468" customFormat="false" ht="16.4" hidden="false" customHeight="false" outlineLevel="0" collapsed="false">
      <c r="A468" s="10"/>
      <c r="B468" s="11" t="s">
        <v>5</v>
      </c>
      <c r="C468" s="14" t="s">
        <v>572</v>
      </c>
    </row>
    <row r="469" customFormat="false" ht="14.25" hidden="false" customHeight="false" outlineLevel="0" collapsed="false">
      <c r="A469" s="10" t="s">
        <v>7</v>
      </c>
      <c r="B469" s="11" t="s">
        <v>8</v>
      </c>
      <c r="C469" s="2" t="s">
        <v>573</v>
      </c>
      <c r="D469" s="60"/>
    </row>
    <row r="470" customFormat="false" ht="14.25" hidden="false" customHeight="false" outlineLevel="0" collapsed="false">
      <c r="A470" s="10"/>
      <c r="B470" s="11" t="s">
        <v>10</v>
      </c>
      <c r="C470" s="61" t="s">
        <v>84</v>
      </c>
      <c r="D470" s="60"/>
    </row>
    <row r="471" customFormat="false" ht="14.25" hidden="false" customHeight="false" outlineLevel="0" collapsed="false">
      <c r="A471" s="10"/>
      <c r="B471" s="11" t="s">
        <v>574</v>
      </c>
      <c r="C471" s="61" t="s">
        <v>575</v>
      </c>
      <c r="D471" s="60" t="s">
        <v>576</v>
      </c>
      <c r="E471" s="1" t="s">
        <v>577</v>
      </c>
    </row>
    <row r="472" customFormat="false" ht="14.25" hidden="false" customHeight="false" outlineLevel="0" collapsed="false">
      <c r="A472" s="10" t="s">
        <v>13</v>
      </c>
      <c r="B472" s="11" t="s">
        <v>14</v>
      </c>
      <c r="C472" s="62" t="n">
        <v>768</v>
      </c>
      <c r="D472" s="63" t="n">
        <v>83</v>
      </c>
      <c r="E472" s="27" t="n">
        <v>78</v>
      </c>
    </row>
    <row r="473" customFormat="false" ht="14.25" hidden="false" customHeight="false" outlineLevel="0" collapsed="false">
      <c r="A473" s="10"/>
      <c r="B473" s="11" t="s">
        <v>15</v>
      </c>
      <c r="C473" s="27" t="s">
        <v>578</v>
      </c>
      <c r="D473" s="27" t="s">
        <v>579</v>
      </c>
      <c r="E473" s="27" t="s">
        <v>580</v>
      </c>
    </row>
    <row r="474" customFormat="false" ht="14.25" hidden="false" customHeight="false" outlineLevel="0" collapsed="false">
      <c r="A474" s="10"/>
      <c r="B474" s="11" t="s">
        <v>17</v>
      </c>
      <c r="C474" s="27" t="s">
        <v>581</v>
      </c>
      <c r="D474" s="27" t="s">
        <v>582</v>
      </c>
      <c r="E474" s="27" t="s">
        <v>583</v>
      </c>
      <c r="K474" s="16"/>
    </row>
    <row r="475" customFormat="false" ht="14.25" hidden="false" customHeight="false" outlineLevel="0" collapsed="false">
      <c r="A475" s="10"/>
      <c r="B475" s="11" t="s">
        <v>19</v>
      </c>
      <c r="C475" s="62" t="s">
        <v>84</v>
      </c>
      <c r="D475" s="38" t="s">
        <v>584</v>
      </c>
      <c r="E475" s="27" t="s">
        <v>585</v>
      </c>
      <c r="K475" s="16"/>
    </row>
    <row r="476" customFormat="false" ht="14.25" hidden="false" customHeight="false" outlineLevel="0" collapsed="false">
      <c r="A476" s="10" t="s">
        <v>22</v>
      </c>
      <c r="B476" s="11" t="s">
        <v>23</v>
      </c>
      <c r="C476" s="62" t="n">
        <v>768</v>
      </c>
      <c r="D476" s="63" t="n">
        <v>83</v>
      </c>
      <c r="E476" s="27" t="n">
        <v>78</v>
      </c>
    </row>
    <row r="477" customFormat="false" ht="14.25" hidden="false" customHeight="false" outlineLevel="0" collapsed="false">
      <c r="A477" s="10"/>
      <c r="B477" s="11" t="s">
        <v>25</v>
      </c>
      <c r="C477" s="62" t="n">
        <v>1</v>
      </c>
      <c r="D477" s="63" t="n">
        <v>1</v>
      </c>
      <c r="E477" s="27" t="n">
        <v>1</v>
      </c>
    </row>
    <row r="478" customFormat="false" ht="14.25" hidden="false" customHeight="false" outlineLevel="0" collapsed="false">
      <c r="A478" s="10"/>
      <c r="B478" s="11" t="s">
        <v>27</v>
      </c>
      <c r="C478" s="2" t="s">
        <v>586</v>
      </c>
    </row>
    <row r="479" customFormat="false" ht="14.25" hidden="false" customHeight="false" outlineLevel="0" collapsed="false">
      <c r="A479" s="10"/>
      <c r="B479" s="11" t="s">
        <v>64</v>
      </c>
      <c r="C479" s="2" t="s">
        <v>586</v>
      </c>
    </row>
    <row r="480" customFormat="false" ht="14.25" hidden="false" customHeight="false" outlineLevel="0" collapsed="false">
      <c r="A480" s="10" t="s">
        <v>65</v>
      </c>
      <c r="B480" s="11" t="s">
        <v>66</v>
      </c>
      <c r="C480" s="2" t="s">
        <v>67</v>
      </c>
    </row>
    <row r="481" customFormat="false" ht="14.25" hidden="false" customHeight="false" outlineLevel="0" collapsed="false">
      <c r="A481" s="10"/>
      <c r="B481" s="11" t="s">
        <v>68</v>
      </c>
      <c r="C481" s="64" t="s">
        <v>84</v>
      </c>
    </row>
    <row r="482" customFormat="false" ht="14.25" hidden="false" customHeight="false" outlineLevel="0" collapsed="false">
      <c r="A482" s="10" t="s">
        <v>71</v>
      </c>
      <c r="B482" s="4"/>
      <c r="C482" s="64" t="s">
        <v>72</v>
      </c>
      <c r="D482" s="1" t="s">
        <v>587</v>
      </c>
    </row>
    <row r="483" customFormat="false" ht="14.25" hidden="false" customHeight="false" outlineLevel="0" collapsed="false">
      <c r="A483" s="10" t="s">
        <v>74</v>
      </c>
      <c r="B483" s="11" t="s">
        <v>75</v>
      </c>
      <c r="C483" s="64"/>
    </row>
    <row r="484" customFormat="false" ht="14.25" hidden="false" customHeight="false" outlineLevel="0" collapsed="false">
      <c r="A484" s="10"/>
      <c r="B484" s="11" t="s">
        <v>76</v>
      </c>
      <c r="C484" s="64"/>
    </row>
    <row r="485" customFormat="false" ht="16.4" hidden="false" customHeight="false" outlineLevel="0" collapsed="false">
      <c r="A485" s="10"/>
      <c r="B485" s="11" t="s">
        <v>77</v>
      </c>
      <c r="C485" s="65" t="s">
        <v>588</v>
      </c>
      <c r="D485" s="21" t="s">
        <v>589</v>
      </c>
    </row>
    <row r="486" customFormat="false" ht="16.4" hidden="false" customHeight="false" outlineLevel="0" collapsed="false">
      <c r="A486" s="17" t="s">
        <v>79</v>
      </c>
      <c r="B486" s="4"/>
      <c r="C486" s="53" t="s">
        <v>590</v>
      </c>
    </row>
    <row r="487" customFormat="false" ht="16.4" hidden="false" customHeight="false" outlineLevel="0" collapsed="false">
      <c r="A487" s="3"/>
      <c r="B487" s="4"/>
      <c r="C487" s="53" t="s">
        <v>591</v>
      </c>
    </row>
    <row r="488" customFormat="false" ht="14.25" hidden="false" customHeight="false" outlineLevel="0" collapsed="false">
      <c r="A488" s="22"/>
      <c r="B488" s="23"/>
      <c r="C488" s="54"/>
      <c r="D488" s="24"/>
    </row>
    <row r="489" customFormat="false" ht="14.25" hidden="false" customHeight="false" outlineLevel="0" collapsed="false">
      <c r="A489" s="10" t="s">
        <v>0</v>
      </c>
      <c r="B489" s="11" t="s">
        <v>1</v>
      </c>
      <c r="C489" s="66" t="s">
        <v>592</v>
      </c>
      <c r="D489" s="67"/>
      <c r="E489" s="67"/>
      <c r="F489" s="67"/>
    </row>
    <row r="490" customFormat="false" ht="14.25" hidden="false" customHeight="false" outlineLevel="0" collapsed="false">
      <c r="A490" s="10"/>
      <c r="B490" s="11" t="s">
        <v>3</v>
      </c>
      <c r="C490" s="56" t="n">
        <v>2019</v>
      </c>
      <c r="D490" s="67"/>
      <c r="E490" s="67"/>
      <c r="F490" s="67"/>
    </row>
    <row r="491" customFormat="false" ht="16.4" hidden="false" customHeight="false" outlineLevel="0" collapsed="false">
      <c r="A491" s="10"/>
      <c r="B491" s="11" t="s">
        <v>5</v>
      </c>
      <c r="C491" s="53" t="s">
        <v>593</v>
      </c>
      <c r="D491" s="67"/>
      <c r="E491" s="67"/>
      <c r="F491" s="67"/>
    </row>
    <row r="492" customFormat="false" ht="14.25" hidden="false" customHeight="false" outlineLevel="0" collapsed="false">
      <c r="A492" s="10" t="s">
        <v>7</v>
      </c>
      <c r="B492" s="11" t="s">
        <v>8</v>
      </c>
      <c r="C492" s="56" t="s">
        <v>594</v>
      </c>
      <c r="D492" s="67"/>
      <c r="E492" s="67"/>
      <c r="F492" s="67"/>
    </row>
    <row r="493" customFormat="false" ht="14.25" hidden="false" customHeight="false" outlineLevel="0" collapsed="false">
      <c r="A493" s="10"/>
      <c r="B493" s="11" t="s">
        <v>10</v>
      </c>
      <c r="C493" s="56" t="s">
        <v>84</v>
      </c>
      <c r="D493" s="67"/>
      <c r="E493" s="67"/>
      <c r="F493" s="67"/>
    </row>
    <row r="494" customFormat="false" ht="14.25" hidden="false" customHeight="false" outlineLevel="0" collapsed="false">
      <c r="A494" s="10" t="s">
        <v>13</v>
      </c>
      <c r="B494" s="11" t="s">
        <v>14</v>
      </c>
      <c r="C494" s="56" t="n">
        <v>31</v>
      </c>
      <c r="D494" s="67"/>
      <c r="E494" s="67"/>
      <c r="F494" s="67"/>
    </row>
    <row r="495" customFormat="false" ht="14.25" hidden="false" customHeight="false" outlineLevel="0" collapsed="false">
      <c r="A495" s="10"/>
      <c r="B495" s="11" t="s">
        <v>15</v>
      </c>
      <c r="C495" s="56" t="s">
        <v>595</v>
      </c>
      <c r="D495" s="67"/>
      <c r="E495" s="67"/>
      <c r="F495" s="67"/>
    </row>
    <row r="496" customFormat="false" ht="14.25" hidden="false" customHeight="false" outlineLevel="0" collapsed="false">
      <c r="A496" s="10"/>
      <c r="B496" s="11" t="s">
        <v>17</v>
      </c>
      <c r="C496" s="68" t="s">
        <v>596</v>
      </c>
      <c r="D496" s="67"/>
      <c r="E496" s="67"/>
      <c r="F496" s="67"/>
    </row>
    <row r="497" customFormat="false" ht="14.25" hidden="false" customHeight="false" outlineLevel="0" collapsed="false">
      <c r="A497" s="10"/>
      <c r="B497" s="11" t="s">
        <v>19</v>
      </c>
      <c r="C497" s="56" t="s">
        <v>597</v>
      </c>
      <c r="D497" s="67"/>
      <c r="E497" s="67"/>
      <c r="F497" s="67"/>
    </row>
    <row r="498" customFormat="false" ht="14.25" hidden="false" customHeight="false" outlineLevel="0" collapsed="false">
      <c r="A498" s="10" t="s">
        <v>22</v>
      </c>
      <c r="B498" s="11" t="s">
        <v>23</v>
      </c>
      <c r="C498" s="56" t="n">
        <v>31</v>
      </c>
      <c r="D498" s="67"/>
      <c r="E498" s="67"/>
      <c r="F498" s="67"/>
    </row>
    <row r="499" customFormat="false" ht="14.25" hidden="false" customHeight="false" outlineLevel="0" collapsed="false">
      <c r="A499" s="10"/>
      <c r="B499" s="11" t="s">
        <v>25</v>
      </c>
      <c r="C499" s="56" t="n">
        <v>1</v>
      </c>
      <c r="D499" s="67"/>
      <c r="E499" s="67"/>
      <c r="F499" s="67"/>
    </row>
    <row r="500" customFormat="false" ht="14.25" hidden="false" customHeight="false" outlineLevel="0" collapsed="false">
      <c r="A500" s="10"/>
      <c r="B500" s="11" t="s">
        <v>27</v>
      </c>
      <c r="C500" s="56" t="s">
        <v>598</v>
      </c>
      <c r="D500" s="67" t="s">
        <v>599</v>
      </c>
      <c r="E500" s="67" t="s">
        <v>600</v>
      </c>
      <c r="F500" s="67"/>
    </row>
    <row r="501" customFormat="false" ht="14.25" hidden="false" customHeight="false" outlineLevel="0" collapsed="false">
      <c r="A501" s="10"/>
      <c r="B501" s="11" t="s">
        <v>64</v>
      </c>
      <c r="C501" s="69" t="s">
        <v>601</v>
      </c>
      <c r="D501" s="69"/>
      <c r="E501" s="69"/>
      <c r="F501" s="67"/>
    </row>
    <row r="502" customFormat="false" ht="14.25" hidden="false" customHeight="false" outlineLevel="0" collapsed="false">
      <c r="A502" s="10" t="s">
        <v>65</v>
      </c>
      <c r="B502" s="11" t="s">
        <v>66</v>
      </c>
      <c r="C502" s="56" t="s">
        <v>67</v>
      </c>
      <c r="D502" s="67"/>
      <c r="E502" s="67"/>
      <c r="F502" s="67"/>
    </row>
    <row r="503" customFormat="false" ht="14.25" hidden="false" customHeight="false" outlineLevel="0" collapsed="false">
      <c r="A503" s="10"/>
      <c r="B503" s="11" t="s">
        <v>68</v>
      </c>
      <c r="C503" s="56" t="s">
        <v>84</v>
      </c>
      <c r="D503" s="67"/>
      <c r="E503" s="67"/>
      <c r="F503" s="67"/>
    </row>
    <row r="504" customFormat="false" ht="14.25" hidden="false" customHeight="false" outlineLevel="0" collapsed="false">
      <c r="A504" s="10" t="s">
        <v>71</v>
      </c>
      <c r="B504" s="4"/>
      <c r="C504" s="56" t="s">
        <v>513</v>
      </c>
      <c r="D504" s="67" t="s">
        <v>513</v>
      </c>
      <c r="E504" s="67"/>
      <c r="F504" s="67"/>
    </row>
    <row r="505" customFormat="false" ht="14.25" hidden="false" customHeight="false" outlineLevel="0" collapsed="false">
      <c r="A505" s="10" t="s">
        <v>74</v>
      </c>
      <c r="B505" s="11" t="s">
        <v>75</v>
      </c>
      <c r="C505" s="56"/>
      <c r="D505" s="67"/>
      <c r="E505" s="67"/>
      <c r="F505" s="67"/>
    </row>
    <row r="506" customFormat="false" ht="14.25" hidden="false" customHeight="false" outlineLevel="0" collapsed="false">
      <c r="A506" s="10"/>
      <c r="B506" s="11" t="s">
        <v>76</v>
      </c>
      <c r="C506" s="56"/>
      <c r="D506" s="67"/>
      <c r="E506" s="67"/>
      <c r="F506" s="67"/>
    </row>
    <row r="507" customFormat="false" ht="16.4" hidden="false" customHeight="false" outlineLevel="0" collapsed="false">
      <c r="A507" s="10"/>
      <c r="B507" s="11" t="s">
        <v>77</v>
      </c>
      <c r="C507" s="53" t="s">
        <v>602</v>
      </c>
      <c r="D507" s="21" t="s">
        <v>603</v>
      </c>
      <c r="E507" s="67"/>
      <c r="F507" s="67"/>
    </row>
    <row r="508" customFormat="false" ht="14.25" hidden="false" customHeight="false" outlineLevel="0" collapsed="false">
      <c r="A508" s="17" t="s">
        <v>79</v>
      </c>
      <c r="B508" s="4"/>
      <c r="C508" s="56"/>
      <c r="D508" s="67"/>
      <c r="E508" s="67"/>
      <c r="F508" s="67"/>
    </row>
    <row r="509" customFormat="false" ht="14.25" hidden="false" customHeight="false" outlineLevel="0" collapsed="false">
      <c r="A509" s="17"/>
      <c r="B509" s="4"/>
      <c r="C509" s="56"/>
      <c r="D509" s="67"/>
      <c r="E509" s="67"/>
      <c r="F509" s="67"/>
    </row>
    <row r="510" customFormat="false" ht="14.25" hidden="false" customHeight="false" outlineLevel="0" collapsed="false">
      <c r="A510" s="22"/>
      <c r="B510" s="23"/>
      <c r="C510" s="70"/>
      <c r="D510" s="71"/>
      <c r="E510" s="67"/>
      <c r="F510" s="67"/>
    </row>
    <row r="511" customFormat="false" ht="14.25" hidden="false" customHeight="false" outlineLevel="0" collapsed="false">
      <c r="A511" s="10" t="s">
        <v>0</v>
      </c>
      <c r="B511" s="11" t="s">
        <v>1</v>
      </c>
      <c r="C511" s="20" t="s">
        <v>604</v>
      </c>
    </row>
    <row r="512" customFormat="false" ht="14.25" hidden="false" customHeight="false" outlineLevel="0" collapsed="false">
      <c r="A512" s="10"/>
      <c r="B512" s="11" t="s">
        <v>3</v>
      </c>
      <c r="C512" s="2" t="s">
        <v>605</v>
      </c>
    </row>
    <row r="513" customFormat="false" ht="16.4" hidden="false" customHeight="false" outlineLevel="0" collapsed="false">
      <c r="A513" s="10"/>
      <c r="B513" s="11" t="s">
        <v>5</v>
      </c>
      <c r="C513" s="14" t="s">
        <v>606</v>
      </c>
    </row>
    <row r="514" customFormat="false" ht="14.25" hidden="false" customHeight="false" outlineLevel="0" collapsed="false">
      <c r="A514" s="10" t="s">
        <v>7</v>
      </c>
      <c r="B514" s="11" t="s">
        <v>8</v>
      </c>
      <c r="C514" s="2" t="s">
        <v>607</v>
      </c>
    </row>
    <row r="515" customFormat="false" ht="14.25" hidden="false" customHeight="false" outlineLevel="0" collapsed="false">
      <c r="A515" s="10"/>
      <c r="B515" s="11" t="s">
        <v>10</v>
      </c>
      <c r="C515" s="2" t="s">
        <v>608</v>
      </c>
    </row>
    <row r="516" customFormat="false" ht="14.25" hidden="false" customHeight="false" outlineLevel="0" collapsed="false">
      <c r="A516" s="10" t="s">
        <v>13</v>
      </c>
      <c r="B516" s="11" t="s">
        <v>14</v>
      </c>
      <c r="C516" s="2" t="n">
        <v>2909</v>
      </c>
    </row>
    <row r="517" customFormat="false" ht="14.25" hidden="false" customHeight="false" outlineLevel="0" collapsed="false">
      <c r="A517" s="10"/>
      <c r="B517" s="11" t="s">
        <v>15</v>
      </c>
      <c r="C517" s="2" t="s">
        <v>609</v>
      </c>
    </row>
    <row r="518" customFormat="false" ht="14.25" hidden="false" customHeight="false" outlineLevel="0" collapsed="false">
      <c r="A518" s="10"/>
      <c r="B518" s="11" t="s">
        <v>17</v>
      </c>
      <c r="C518" s="2" t="s">
        <v>610</v>
      </c>
    </row>
    <row r="519" customFormat="false" ht="14.25" hidden="false" customHeight="false" outlineLevel="0" collapsed="false">
      <c r="A519" s="10"/>
      <c r="B519" s="11" t="s">
        <v>19</v>
      </c>
      <c r="C519" s="2" t="s">
        <v>611</v>
      </c>
    </row>
    <row r="520" customFormat="false" ht="14.25" hidden="false" customHeight="false" outlineLevel="0" collapsed="false">
      <c r="A520" s="10" t="s">
        <v>22</v>
      </c>
      <c r="B520" s="11" t="s">
        <v>23</v>
      </c>
      <c r="C520" s="2" t="s">
        <v>612</v>
      </c>
    </row>
    <row r="521" customFormat="false" ht="14.25" hidden="false" customHeight="false" outlineLevel="0" collapsed="false">
      <c r="A521" s="10"/>
      <c r="B521" s="11" t="s">
        <v>25</v>
      </c>
      <c r="C521" s="47" t="n">
        <v>45689</v>
      </c>
    </row>
    <row r="522" customFormat="false" ht="14.25" hidden="false" customHeight="false" outlineLevel="0" collapsed="false">
      <c r="A522" s="10"/>
      <c r="B522" s="11" t="s">
        <v>27</v>
      </c>
      <c r="C522" s="2" t="s">
        <v>613</v>
      </c>
      <c r="D522" s="2" t="s">
        <v>614</v>
      </c>
      <c r="E522" s="2" t="s">
        <v>615</v>
      </c>
      <c r="F522" s="2" t="s">
        <v>615</v>
      </c>
      <c r="G522" s="2" t="s">
        <v>255</v>
      </c>
      <c r="H522" s="2" t="s">
        <v>257</v>
      </c>
      <c r="I522" s="2" t="s">
        <v>616</v>
      </c>
      <c r="J522" s="2" t="s">
        <v>617</v>
      </c>
      <c r="K522" s="2" t="s">
        <v>618</v>
      </c>
      <c r="L522" s="2" t="s">
        <v>619</v>
      </c>
      <c r="M522" s="2" t="s">
        <v>620</v>
      </c>
      <c r="N522" s="2" t="s">
        <v>529</v>
      </c>
      <c r="O522" s="2" t="s">
        <v>529</v>
      </c>
      <c r="P522" s="2" t="s">
        <v>621</v>
      </c>
      <c r="Q522" s="2" t="s">
        <v>622</v>
      </c>
      <c r="R522" s="2" t="s">
        <v>623</v>
      </c>
      <c r="S522" s="2" t="s">
        <v>624</v>
      </c>
      <c r="T522" s="2" t="s">
        <v>625</v>
      </c>
      <c r="U522" s="2" t="s">
        <v>626</v>
      </c>
      <c r="V522" s="2" t="s">
        <v>542</v>
      </c>
      <c r="W522" s="2" t="s">
        <v>627</v>
      </c>
      <c r="X522" s="2" t="s">
        <v>628</v>
      </c>
      <c r="Y522" s="2" t="s">
        <v>629</v>
      </c>
      <c r="Z522" s="2" t="s">
        <v>630</v>
      </c>
      <c r="AA522" s="2" t="s">
        <v>631</v>
      </c>
      <c r="AB522" s="2" t="s">
        <v>632</v>
      </c>
      <c r="AC522" s="2" t="s">
        <v>633</v>
      </c>
      <c r="AD522" s="2" t="s">
        <v>634</v>
      </c>
      <c r="AE522" s="2" t="s">
        <v>635</v>
      </c>
      <c r="AF522" s="2" t="s">
        <v>427</v>
      </c>
      <c r="AG522" s="2" t="s">
        <v>636</v>
      </c>
      <c r="AH522" s="2" t="s">
        <v>637</v>
      </c>
      <c r="AI522" s="2" t="s">
        <v>638</v>
      </c>
      <c r="AJ522" s="2" t="s">
        <v>639</v>
      </c>
      <c r="AK522" s="2" t="s">
        <v>640</v>
      </c>
      <c r="AL522" s="2" t="s">
        <v>641</v>
      </c>
      <c r="AM522" s="2" t="s">
        <v>641</v>
      </c>
      <c r="AN522" s="2" t="s">
        <v>642</v>
      </c>
      <c r="AO522" s="59" t="s">
        <v>61</v>
      </c>
    </row>
    <row r="523" customFormat="false" ht="14.25" hidden="false" customHeight="false" outlineLevel="0" collapsed="false">
      <c r="A523" s="10"/>
      <c r="B523" s="11" t="s">
        <v>64</v>
      </c>
      <c r="C523" s="2" t="n">
        <v>32</v>
      </c>
      <c r="D523" s="2" t="n">
        <v>16</v>
      </c>
      <c r="E523" s="2" t="n">
        <v>32</v>
      </c>
      <c r="F523" s="2" t="n">
        <v>16</v>
      </c>
      <c r="G523" s="2" t="n">
        <v>256</v>
      </c>
      <c r="H523" s="2" t="n">
        <v>256</v>
      </c>
      <c r="I523" s="2" t="n">
        <v>64</v>
      </c>
      <c r="J523" s="2" t="n">
        <v>64</v>
      </c>
      <c r="K523" s="2" t="n">
        <v>64</v>
      </c>
      <c r="L523" s="2" t="n">
        <v>64</v>
      </c>
      <c r="M523" s="2" t="n">
        <v>32</v>
      </c>
      <c r="N523" s="2" t="n">
        <v>512</v>
      </c>
      <c r="O523" s="2" t="n">
        <v>1024</v>
      </c>
      <c r="P523" s="2" t="n">
        <v>256</v>
      </c>
      <c r="Q523" s="2" t="n">
        <v>256</v>
      </c>
      <c r="R523" s="2" t="n">
        <v>512</v>
      </c>
      <c r="S523" s="2" t="n">
        <v>512</v>
      </c>
      <c r="T523" s="2" t="n">
        <v>512</v>
      </c>
      <c r="U523" s="2" t="n">
        <v>512</v>
      </c>
      <c r="V523" s="2" t="n">
        <v>1</v>
      </c>
      <c r="W523" s="2" t="n">
        <v>256</v>
      </c>
      <c r="X523" s="2" t="n">
        <v>256</v>
      </c>
      <c r="Y523" s="2" t="n">
        <v>64</v>
      </c>
      <c r="Z523" s="2" t="n">
        <v>64</v>
      </c>
      <c r="AA523" s="2" t="n">
        <v>64</v>
      </c>
      <c r="AB523" s="2" t="n">
        <v>64</v>
      </c>
      <c r="AC523" s="2" t="n">
        <v>256</v>
      </c>
      <c r="AD523" s="2" t="n">
        <v>256</v>
      </c>
      <c r="AE523" s="2" t="n">
        <v>256</v>
      </c>
      <c r="AF523" s="2" t="n">
        <v>4</v>
      </c>
      <c r="AG523" s="2" t="n">
        <v>256</v>
      </c>
      <c r="AH523" s="2" t="n">
        <v>256</v>
      </c>
      <c r="AI523" s="2" t="n">
        <v>256</v>
      </c>
      <c r="AJ523" s="2" t="n">
        <v>1</v>
      </c>
      <c r="AK523" s="2" t="n">
        <v>1</v>
      </c>
      <c r="AL523" s="2" t="n">
        <v>32</v>
      </c>
      <c r="AM523" s="2" t="n">
        <v>16</v>
      </c>
      <c r="AN523" s="2" t="n">
        <v>16</v>
      </c>
      <c r="AO523" s="2" t="n">
        <v>1</v>
      </c>
    </row>
    <row r="524" customFormat="false" ht="14.25" hidden="false" customHeight="false" outlineLevel="0" collapsed="false">
      <c r="A524" s="10" t="s">
        <v>65</v>
      </c>
      <c r="B524" s="11" t="s">
        <v>66</v>
      </c>
      <c r="C524" s="2" t="s">
        <v>67</v>
      </c>
    </row>
    <row r="525" customFormat="false" ht="14.25" hidden="false" customHeight="false" outlineLevel="0" collapsed="false">
      <c r="A525" s="10"/>
      <c r="B525" s="11" t="s">
        <v>68</v>
      </c>
      <c r="C525" s="2" t="s">
        <v>478</v>
      </c>
    </row>
    <row r="526" customFormat="false" ht="14.25" hidden="false" customHeight="false" outlineLevel="0" collapsed="false">
      <c r="A526" s="10" t="s">
        <v>71</v>
      </c>
      <c r="B526" s="4"/>
      <c r="C526" s="2" t="s">
        <v>72</v>
      </c>
      <c r="D526" s="1" t="s">
        <v>643</v>
      </c>
    </row>
    <row r="527" customFormat="false" ht="14.25" hidden="false" customHeight="false" outlineLevel="0" collapsed="false">
      <c r="A527" s="10" t="s">
        <v>74</v>
      </c>
      <c r="B527" s="11" t="s">
        <v>75</v>
      </c>
    </row>
    <row r="528" customFormat="false" ht="14.25" hidden="false" customHeight="false" outlineLevel="0" collapsed="false">
      <c r="A528" s="10"/>
      <c r="B528" s="11" t="s">
        <v>76</v>
      </c>
    </row>
    <row r="529" customFormat="false" ht="16.4" hidden="false" customHeight="false" outlineLevel="0" collapsed="false">
      <c r="A529" s="10"/>
      <c r="B529" s="11" t="s">
        <v>77</v>
      </c>
      <c r="C529" s="21" t="s">
        <v>644</v>
      </c>
      <c r="D529" s="21" t="s">
        <v>645</v>
      </c>
    </row>
    <row r="530" customFormat="false" ht="14.25" hidden="false" customHeight="false" outlineLevel="0" collapsed="false">
      <c r="A530" s="17" t="s">
        <v>79</v>
      </c>
      <c r="B530" s="4"/>
    </row>
    <row r="531" customFormat="false" ht="14.25" hidden="false" customHeight="false" outlineLevel="0" collapsed="false">
      <c r="A531" s="3"/>
      <c r="B531" s="4"/>
    </row>
    <row r="532" customFormat="false" ht="14.25" hidden="false" customHeight="false" outlineLevel="0" collapsed="false">
      <c r="A532" s="22"/>
      <c r="B532" s="23"/>
      <c r="C532" s="18"/>
      <c r="D532" s="24"/>
    </row>
    <row r="533" customFormat="false" ht="14.25" hidden="false" customHeight="false" outlineLevel="0" collapsed="false">
      <c r="A533" s="10" t="s">
        <v>0</v>
      </c>
      <c r="B533" s="11" t="s">
        <v>1</v>
      </c>
      <c r="C533" s="20" t="s">
        <v>646</v>
      </c>
    </row>
    <row r="534" customFormat="false" ht="14.25" hidden="false" customHeight="false" outlineLevel="0" collapsed="false">
      <c r="A534" s="10"/>
      <c r="B534" s="11" t="s">
        <v>3</v>
      </c>
      <c r="C534" s="2" t="s">
        <v>647</v>
      </c>
    </row>
    <row r="535" customFormat="false" ht="16.4" hidden="false" customHeight="false" outlineLevel="0" collapsed="false">
      <c r="A535" s="10"/>
      <c r="B535" s="11" t="s">
        <v>5</v>
      </c>
      <c r="C535" s="14" t="s">
        <v>648</v>
      </c>
    </row>
    <row r="536" customFormat="false" ht="14.25" hidden="false" customHeight="false" outlineLevel="0" collapsed="false">
      <c r="A536" s="10" t="s">
        <v>7</v>
      </c>
      <c r="B536" s="11" t="s">
        <v>8</v>
      </c>
      <c r="C536" s="2" t="s">
        <v>649</v>
      </c>
    </row>
    <row r="537" customFormat="false" ht="14.25" hidden="false" customHeight="false" outlineLevel="0" collapsed="false">
      <c r="A537" s="10"/>
      <c r="B537" s="11" t="s">
        <v>10</v>
      </c>
      <c r="C537" s="2" t="s">
        <v>84</v>
      </c>
    </row>
    <row r="538" customFormat="false" ht="14.25" hidden="false" customHeight="false" outlineLevel="0" collapsed="false">
      <c r="A538" s="10" t="s">
        <v>13</v>
      </c>
      <c r="B538" s="11" t="s">
        <v>14</v>
      </c>
      <c r="C538" s="2" t="n">
        <v>106</v>
      </c>
    </row>
    <row r="539" customFormat="false" ht="14.25" hidden="false" customHeight="false" outlineLevel="0" collapsed="false">
      <c r="A539" s="10"/>
      <c r="B539" s="11" t="s">
        <v>15</v>
      </c>
      <c r="C539" s="2" t="s">
        <v>650</v>
      </c>
    </row>
    <row r="540" customFormat="false" ht="14.25" hidden="false" customHeight="false" outlineLevel="0" collapsed="false">
      <c r="A540" s="10"/>
      <c r="B540" s="11" t="s">
        <v>17</v>
      </c>
      <c r="C540" s="2" t="s">
        <v>651</v>
      </c>
    </row>
    <row r="541" customFormat="false" ht="14.25" hidden="false" customHeight="false" outlineLevel="0" collapsed="false">
      <c r="A541" s="10"/>
      <c r="B541" s="11" t="s">
        <v>19</v>
      </c>
      <c r="C541" s="2" t="s">
        <v>652</v>
      </c>
    </row>
    <row r="542" customFormat="false" ht="14.25" hidden="false" customHeight="false" outlineLevel="0" collapsed="false">
      <c r="A542" s="10" t="s">
        <v>22</v>
      </c>
      <c r="B542" s="11" t="s">
        <v>23</v>
      </c>
      <c r="C542" s="2" t="n">
        <v>106</v>
      </c>
    </row>
    <row r="543" customFormat="false" ht="14.25" hidden="false" customHeight="false" outlineLevel="0" collapsed="false">
      <c r="A543" s="10"/>
      <c r="B543" s="11" t="s">
        <v>25</v>
      </c>
      <c r="C543" s="2" t="n">
        <v>1</v>
      </c>
    </row>
    <row r="544" customFormat="false" ht="14.25" hidden="false" customHeight="false" outlineLevel="0" collapsed="false">
      <c r="A544" s="10"/>
      <c r="B544" s="11" t="s">
        <v>27</v>
      </c>
      <c r="C544" s="2" t="s">
        <v>131</v>
      </c>
      <c r="D544" s="2" t="s">
        <v>132</v>
      </c>
      <c r="E544" s="2" t="s">
        <v>133</v>
      </c>
      <c r="F544" s="2" t="s">
        <v>134</v>
      </c>
      <c r="G544" s="2" t="s">
        <v>215</v>
      </c>
      <c r="H544" s="2" t="s">
        <v>216</v>
      </c>
      <c r="I544" s="2" t="s">
        <v>653</v>
      </c>
      <c r="J544" s="2" t="s">
        <v>464</v>
      </c>
      <c r="K544" s="2" t="s">
        <v>654</v>
      </c>
      <c r="L544" s="2" t="s">
        <v>361</v>
      </c>
      <c r="M544" s="2" t="s">
        <v>655</v>
      </c>
      <c r="N544" s="2" t="s">
        <v>137</v>
      </c>
      <c r="O544" s="2" t="s">
        <v>138</v>
      </c>
      <c r="P544" s="2" t="s">
        <v>139</v>
      </c>
      <c r="Q544" s="2" t="s">
        <v>140</v>
      </c>
      <c r="R544" s="2" t="s">
        <v>141</v>
      </c>
      <c r="S544" s="2" t="s">
        <v>656</v>
      </c>
      <c r="T544" s="2" t="s">
        <v>142</v>
      </c>
      <c r="U544" s="2" t="s">
        <v>61</v>
      </c>
      <c r="V544" s="2" t="s">
        <v>144</v>
      </c>
      <c r="W544" s="2" t="s">
        <v>144</v>
      </c>
      <c r="X544" s="2" t="s">
        <v>145</v>
      </c>
    </row>
    <row r="545" customFormat="false" ht="14.25" hidden="false" customHeight="false" outlineLevel="0" collapsed="false">
      <c r="A545" s="10"/>
      <c r="B545" s="11" t="s">
        <v>64</v>
      </c>
      <c r="C545" s="2" t="n">
        <v>50</v>
      </c>
      <c r="D545" s="2" t="n">
        <v>500</v>
      </c>
      <c r="E545" s="2" t="n">
        <v>500</v>
      </c>
      <c r="F545" s="2" t="n">
        <v>500</v>
      </c>
      <c r="G545" s="2" t="n">
        <v>500</v>
      </c>
      <c r="H545" s="2" t="n">
        <v>500</v>
      </c>
      <c r="I545" s="2" t="n">
        <v>500</v>
      </c>
      <c r="J545" s="2" t="n">
        <v>500</v>
      </c>
      <c r="K545" s="2" t="n">
        <v>1</v>
      </c>
      <c r="L545" s="2" t="n">
        <v>1</v>
      </c>
      <c r="M545" s="2" t="n">
        <v>500</v>
      </c>
      <c r="N545" s="2" t="n">
        <v>500</v>
      </c>
      <c r="O545" s="2" t="n">
        <v>200</v>
      </c>
      <c r="P545" s="2" t="n">
        <v>500</v>
      </c>
      <c r="Q545" s="2" t="n">
        <v>500</v>
      </c>
      <c r="R545" s="2" t="n">
        <v>10</v>
      </c>
      <c r="S545" s="2" t="n">
        <v>500</v>
      </c>
      <c r="T545" s="2" t="n">
        <v>500</v>
      </c>
      <c r="U545" s="2" t="n">
        <v>10</v>
      </c>
      <c r="V545" s="2" t="n">
        <v>50</v>
      </c>
      <c r="W545" s="2" t="n">
        <v>100</v>
      </c>
      <c r="X545" s="2" t="n">
        <v>50</v>
      </c>
    </row>
    <row r="546" customFormat="false" ht="14.25" hidden="false" customHeight="false" outlineLevel="0" collapsed="false">
      <c r="A546" s="10" t="s">
        <v>65</v>
      </c>
      <c r="B546" s="11" t="s">
        <v>66</v>
      </c>
      <c r="C546" s="2" t="s">
        <v>67</v>
      </c>
    </row>
    <row r="547" customFormat="false" ht="14.25" hidden="false" customHeight="false" outlineLevel="0" collapsed="false">
      <c r="A547" s="10"/>
      <c r="B547" s="11" t="s">
        <v>68</v>
      </c>
      <c r="C547" s="2" t="s">
        <v>657</v>
      </c>
      <c r="K547" s="1" t="s">
        <v>159</v>
      </c>
    </row>
    <row r="548" customFormat="false" ht="14.25" hidden="false" customHeight="false" outlineLevel="0" collapsed="false">
      <c r="A548" s="10" t="s">
        <v>71</v>
      </c>
      <c r="B548" s="4"/>
      <c r="C548" s="2" t="s">
        <v>72</v>
      </c>
      <c r="D548" s="1" t="s">
        <v>155</v>
      </c>
      <c r="K548" s="1" t="s">
        <v>159</v>
      </c>
    </row>
    <row r="549" customFormat="false" ht="14.25" hidden="false" customHeight="false" outlineLevel="0" collapsed="false">
      <c r="A549" s="10" t="s">
        <v>74</v>
      </c>
      <c r="B549" s="11" t="s">
        <v>75</v>
      </c>
      <c r="K549" s="1" t="s">
        <v>159</v>
      </c>
    </row>
    <row r="550" customFormat="false" ht="14.25" hidden="false" customHeight="false" outlineLevel="0" collapsed="false">
      <c r="A550" s="10"/>
      <c r="B550" s="11" t="s">
        <v>76</v>
      </c>
      <c r="C550" s="64"/>
      <c r="K550" s="1" t="s">
        <v>159</v>
      </c>
    </row>
    <row r="551" customFormat="false" ht="16.4" hidden="false" customHeight="false" outlineLevel="0" collapsed="false">
      <c r="A551" s="10"/>
      <c r="B551" s="11" t="s">
        <v>77</v>
      </c>
      <c r="C551" s="65" t="s">
        <v>658</v>
      </c>
      <c r="D551" s="53" t="s">
        <v>659</v>
      </c>
      <c r="K551" s="1" t="s">
        <v>159</v>
      </c>
    </row>
    <row r="552" customFormat="false" ht="14.25" hidden="false" customHeight="false" outlineLevel="0" collapsed="false">
      <c r="A552" s="17" t="s">
        <v>79</v>
      </c>
      <c r="B552" s="4"/>
      <c r="K552" s="1" t="s">
        <v>159</v>
      </c>
    </row>
    <row r="553" customFormat="false" ht="14.25" hidden="false" customHeight="false" outlineLevel="0" collapsed="false">
      <c r="A553" s="3"/>
      <c r="B553" s="4"/>
      <c r="C553" s="64"/>
      <c r="K553" s="1" t="s">
        <v>159</v>
      </c>
    </row>
    <row r="554" customFormat="false" ht="14.25" hidden="false" customHeight="false" outlineLevel="0" collapsed="false">
      <c r="A554" s="22"/>
      <c r="B554" s="23"/>
      <c r="C554" s="18"/>
      <c r="D554" s="24"/>
    </row>
    <row r="555" customFormat="false" ht="14.25" hidden="false" customHeight="false" outlineLevel="0" collapsed="false">
      <c r="A555" s="10" t="s">
        <v>0</v>
      </c>
      <c r="B555" s="11" t="s">
        <v>1</v>
      </c>
      <c r="C555" s="64" t="s">
        <v>660</v>
      </c>
    </row>
    <row r="556" customFormat="false" ht="14.25" hidden="false" customHeight="false" outlineLevel="0" collapsed="false">
      <c r="A556" s="10"/>
      <c r="B556" s="11" t="s">
        <v>3</v>
      </c>
      <c r="C556" s="64" t="n">
        <v>2019</v>
      </c>
    </row>
    <row r="557" customFormat="false" ht="16.4" hidden="false" customHeight="false" outlineLevel="0" collapsed="false">
      <c r="A557" s="10"/>
      <c r="B557" s="11" t="s">
        <v>5</v>
      </c>
      <c r="C557" s="53" t="s">
        <v>661</v>
      </c>
    </row>
    <row r="558" customFormat="false" ht="14.25" hidden="false" customHeight="false" outlineLevel="0" collapsed="false">
      <c r="A558" s="10" t="s">
        <v>7</v>
      </c>
      <c r="B558" s="11" t="s">
        <v>8</v>
      </c>
      <c r="C558" s="64" t="s">
        <v>662</v>
      </c>
    </row>
    <row r="559" customFormat="false" ht="14.25" hidden="false" customHeight="false" outlineLevel="0" collapsed="false">
      <c r="A559" s="10"/>
      <c r="B559" s="11" t="s">
        <v>10</v>
      </c>
      <c r="C559" s="64" t="s">
        <v>84</v>
      </c>
    </row>
    <row r="560" customFormat="false" ht="14.25" hidden="false" customHeight="false" outlineLevel="0" collapsed="false">
      <c r="A560" s="10" t="s">
        <v>13</v>
      </c>
      <c r="B560" s="11" t="s">
        <v>14</v>
      </c>
      <c r="C560" s="64" t="n">
        <v>76</v>
      </c>
    </row>
    <row r="561" customFormat="false" ht="14.25" hidden="false" customHeight="false" outlineLevel="0" collapsed="false">
      <c r="A561" s="10"/>
      <c r="B561" s="11" t="s">
        <v>15</v>
      </c>
      <c r="C561" s="64" t="s">
        <v>663</v>
      </c>
    </row>
    <row r="562" customFormat="false" ht="14.25" hidden="false" customHeight="false" outlineLevel="0" collapsed="false">
      <c r="A562" s="10"/>
      <c r="B562" s="11" t="s">
        <v>17</v>
      </c>
      <c r="C562" s="64" t="s">
        <v>664</v>
      </c>
    </row>
    <row r="563" customFormat="false" ht="14.25" hidden="false" customHeight="false" outlineLevel="0" collapsed="false">
      <c r="A563" s="10"/>
      <c r="B563" s="11" t="s">
        <v>19</v>
      </c>
      <c r="C563" s="64" t="s">
        <v>665</v>
      </c>
    </row>
    <row r="564" customFormat="false" ht="14.25" hidden="false" customHeight="false" outlineLevel="0" collapsed="false">
      <c r="A564" s="10" t="s">
        <v>22</v>
      </c>
      <c r="B564" s="11" t="s">
        <v>23</v>
      </c>
      <c r="C564" s="64" t="n">
        <v>76</v>
      </c>
    </row>
    <row r="565" customFormat="false" ht="14.25" hidden="false" customHeight="false" outlineLevel="0" collapsed="false">
      <c r="A565" s="10"/>
      <c r="B565" s="11" t="s">
        <v>25</v>
      </c>
      <c r="C565" s="64" t="n">
        <v>1</v>
      </c>
    </row>
    <row r="566" customFormat="false" ht="14.25" hidden="false" customHeight="false" outlineLevel="0" collapsed="false">
      <c r="A566" s="10"/>
      <c r="B566" s="11" t="s">
        <v>27</v>
      </c>
      <c r="C566" s="64" t="s">
        <v>666</v>
      </c>
      <c r="D566" s="1" t="s">
        <v>667</v>
      </c>
      <c r="E566" s="1" t="s">
        <v>668</v>
      </c>
      <c r="F566" s="1" t="s">
        <v>669</v>
      </c>
    </row>
    <row r="567" customFormat="false" ht="14.25" hidden="false" customHeight="false" outlineLevel="0" collapsed="false">
      <c r="A567" s="10"/>
      <c r="B567" s="11" t="s">
        <v>64</v>
      </c>
      <c r="C567" s="64" t="n">
        <v>200</v>
      </c>
      <c r="D567" s="1" t="n">
        <v>200</v>
      </c>
      <c r="E567" s="1" t="n">
        <v>200</v>
      </c>
      <c r="F567" s="1" t="n">
        <v>200</v>
      </c>
    </row>
    <row r="568" customFormat="false" ht="14.25" hidden="false" customHeight="false" outlineLevel="0" collapsed="false">
      <c r="A568" s="10" t="s">
        <v>65</v>
      </c>
      <c r="B568" s="11" t="s">
        <v>66</v>
      </c>
      <c r="C568" s="72" t="s">
        <v>670</v>
      </c>
    </row>
    <row r="569" customFormat="false" ht="14.25" hidden="false" customHeight="false" outlineLevel="0" collapsed="false">
      <c r="A569" s="10"/>
      <c r="B569" s="11" t="s">
        <v>68</v>
      </c>
      <c r="C569" s="64" t="s">
        <v>84</v>
      </c>
    </row>
    <row r="570" customFormat="false" ht="14.25" hidden="false" customHeight="false" outlineLevel="0" collapsed="false">
      <c r="A570" s="10" t="s">
        <v>71</v>
      </c>
      <c r="B570" s="4"/>
      <c r="C570" s="64" t="s">
        <v>671</v>
      </c>
    </row>
    <row r="571" customFormat="false" ht="14.25" hidden="false" customHeight="false" outlineLevel="0" collapsed="false">
      <c r="A571" s="10" t="s">
        <v>74</v>
      </c>
      <c r="B571" s="11" t="s">
        <v>75</v>
      </c>
      <c r="C571" s="64"/>
    </row>
    <row r="572" customFormat="false" ht="14.25" hidden="false" customHeight="false" outlineLevel="0" collapsed="false">
      <c r="A572" s="10"/>
      <c r="B572" s="11" t="s">
        <v>76</v>
      </c>
      <c r="C572" s="64"/>
    </row>
    <row r="573" customFormat="false" ht="16.4" hidden="false" customHeight="false" outlineLevel="0" collapsed="false">
      <c r="A573" s="10"/>
      <c r="B573" s="11" t="s">
        <v>77</v>
      </c>
      <c r="C573" s="53" t="s">
        <v>672</v>
      </c>
    </row>
    <row r="574" customFormat="false" ht="14.25" hidden="false" customHeight="false" outlineLevel="0" collapsed="false">
      <c r="A574" s="17" t="s">
        <v>79</v>
      </c>
      <c r="B574" s="4"/>
      <c r="C574" s="64"/>
    </row>
    <row r="575" customFormat="false" ht="14.25" hidden="false" customHeight="false" outlineLevel="0" collapsed="false">
      <c r="A575" s="3"/>
      <c r="B575" s="4"/>
      <c r="C575" s="64"/>
    </row>
    <row r="576" customFormat="false" ht="14.25" hidden="false" customHeight="false" outlineLevel="0" collapsed="false">
      <c r="A576" s="22"/>
      <c r="B576" s="23"/>
      <c r="C576" s="18"/>
      <c r="D576" s="24"/>
      <c r="K576" s="1" t="s">
        <v>159</v>
      </c>
    </row>
    <row r="577" customFormat="false" ht="14.25" hidden="false" customHeight="false" outlineLevel="0" collapsed="false">
      <c r="A577" s="10" t="s">
        <v>0</v>
      </c>
      <c r="B577" s="11" t="s">
        <v>1</v>
      </c>
      <c r="C577" s="20" t="s">
        <v>673</v>
      </c>
      <c r="K577" s="1" t="s">
        <v>159</v>
      </c>
    </row>
    <row r="578" customFormat="false" ht="14.25" hidden="false" customHeight="false" outlineLevel="0" collapsed="false">
      <c r="A578" s="10"/>
      <c r="B578" s="11" t="s">
        <v>3</v>
      </c>
      <c r="C578" s="2" t="s">
        <v>674</v>
      </c>
      <c r="K578" s="1" t="s">
        <v>159</v>
      </c>
    </row>
    <row r="579" customFormat="false" ht="16.4" hidden="false" customHeight="false" outlineLevel="0" collapsed="false">
      <c r="A579" s="10"/>
      <c r="B579" s="11" t="s">
        <v>5</v>
      </c>
      <c r="C579" s="14" t="s">
        <v>675</v>
      </c>
      <c r="K579" s="1" t="s">
        <v>159</v>
      </c>
    </row>
    <row r="580" customFormat="false" ht="14.25" hidden="false" customHeight="false" outlineLevel="0" collapsed="false">
      <c r="A580" s="10" t="s">
        <v>7</v>
      </c>
      <c r="B580" s="11" t="s">
        <v>8</v>
      </c>
      <c r="C580" s="2" t="s">
        <v>676</v>
      </c>
      <c r="K580" s="1" t="s">
        <v>159</v>
      </c>
    </row>
    <row r="581" customFormat="false" ht="14.25" hidden="false" customHeight="false" outlineLevel="0" collapsed="false">
      <c r="A581" s="10"/>
      <c r="B581" s="11" t="s">
        <v>10</v>
      </c>
      <c r="K581" s="1" t="s">
        <v>159</v>
      </c>
    </row>
    <row r="582" customFormat="false" ht="14.25" hidden="false" customHeight="false" outlineLevel="0" collapsed="false">
      <c r="A582" s="10" t="s">
        <v>13</v>
      </c>
      <c r="B582" s="11" t="s">
        <v>14</v>
      </c>
      <c r="C582" s="2" t="n">
        <v>3673</v>
      </c>
      <c r="K582" s="1" t="s">
        <v>159</v>
      </c>
    </row>
    <row r="583" customFormat="false" ht="14.25" hidden="false" customHeight="false" outlineLevel="0" collapsed="false">
      <c r="A583" s="10"/>
      <c r="B583" s="11" t="s">
        <v>15</v>
      </c>
      <c r="C583" s="2" t="s">
        <v>677</v>
      </c>
      <c r="K583" s="1" t="s">
        <v>159</v>
      </c>
    </row>
    <row r="584" customFormat="false" ht="14.25" hidden="false" customHeight="false" outlineLevel="0" collapsed="false">
      <c r="A584" s="10"/>
      <c r="B584" s="11" t="s">
        <v>17</v>
      </c>
      <c r="K584" s="1" t="s">
        <v>159</v>
      </c>
    </row>
    <row r="585" customFormat="false" ht="14.25" hidden="false" customHeight="false" outlineLevel="0" collapsed="false">
      <c r="A585" s="10"/>
      <c r="B585" s="11" t="s">
        <v>19</v>
      </c>
      <c r="K585" s="1" t="s">
        <v>159</v>
      </c>
    </row>
    <row r="586" customFormat="false" ht="14.25" hidden="false" customHeight="false" outlineLevel="0" collapsed="false">
      <c r="A586" s="10" t="s">
        <v>22</v>
      </c>
      <c r="B586" s="11" t="s">
        <v>23</v>
      </c>
      <c r="C586" s="2" t="n">
        <v>3982</v>
      </c>
      <c r="K586" s="1" t="s">
        <v>159</v>
      </c>
    </row>
    <row r="587" customFormat="false" ht="14.25" hidden="false" customHeight="false" outlineLevel="0" collapsed="false">
      <c r="A587" s="10"/>
      <c r="B587" s="11" t="s">
        <v>25</v>
      </c>
      <c r="C587" s="2" t="n">
        <v>1</v>
      </c>
      <c r="K587" s="1" t="s">
        <v>159</v>
      </c>
    </row>
    <row r="588" customFormat="false" ht="14.25" hidden="false" customHeight="false" outlineLevel="0" collapsed="false">
      <c r="A588" s="10"/>
      <c r="B588" s="11" t="s">
        <v>27</v>
      </c>
      <c r="C588" s="2" t="s">
        <v>678</v>
      </c>
      <c r="K588" s="1" t="s">
        <v>159</v>
      </c>
    </row>
    <row r="589" customFormat="false" ht="14.25" hidden="false" customHeight="false" outlineLevel="0" collapsed="false">
      <c r="A589" s="10"/>
      <c r="B589" s="11" t="s">
        <v>64</v>
      </c>
      <c r="C589" s="2" t="s">
        <v>678</v>
      </c>
      <c r="K589" s="1" t="s">
        <v>159</v>
      </c>
    </row>
    <row r="590" customFormat="false" ht="14.25" hidden="false" customHeight="false" outlineLevel="0" collapsed="false">
      <c r="A590" s="10" t="s">
        <v>65</v>
      </c>
      <c r="B590" s="11" t="s">
        <v>66</v>
      </c>
      <c r="C590" s="2" t="s">
        <v>67</v>
      </c>
    </row>
    <row r="591" customFormat="false" ht="14.25" hidden="false" customHeight="false" outlineLevel="0" collapsed="false">
      <c r="A591" s="10"/>
      <c r="B591" s="11" t="s">
        <v>68</v>
      </c>
    </row>
    <row r="592" customFormat="false" ht="14.25" hidden="false" customHeight="false" outlineLevel="0" collapsed="false">
      <c r="A592" s="10" t="s">
        <v>71</v>
      </c>
      <c r="B592" s="4"/>
      <c r="C592" s="2" t="s">
        <v>72</v>
      </c>
      <c r="D592" s="1" t="s">
        <v>513</v>
      </c>
    </row>
    <row r="593" customFormat="false" ht="14.25" hidden="false" customHeight="false" outlineLevel="0" collapsed="false">
      <c r="A593" s="10" t="s">
        <v>74</v>
      </c>
      <c r="B593" s="11" t="s">
        <v>75</v>
      </c>
    </row>
    <row r="594" customFormat="false" ht="14.25" hidden="false" customHeight="false" outlineLevel="0" collapsed="false">
      <c r="A594" s="10"/>
      <c r="B594" s="11" t="s">
        <v>76</v>
      </c>
    </row>
    <row r="595" customFormat="false" ht="16.4" hidden="false" customHeight="false" outlineLevel="0" collapsed="false">
      <c r="A595" s="10"/>
      <c r="B595" s="11" t="s">
        <v>77</v>
      </c>
      <c r="C595" s="21" t="s">
        <v>679</v>
      </c>
      <c r="D595" s="21" t="s">
        <v>680</v>
      </c>
    </row>
    <row r="596" customFormat="false" ht="16.4" hidden="false" customHeight="false" outlineLevel="0" collapsed="false">
      <c r="A596" s="17" t="s">
        <v>79</v>
      </c>
      <c r="B596" s="3"/>
      <c r="C596" s="53" t="s">
        <v>681</v>
      </c>
    </row>
    <row r="597" customFormat="false" ht="14.25" hidden="false" customHeight="false" outlineLevel="0" collapsed="false">
      <c r="B597" s="3"/>
      <c r="C597" s="64"/>
    </row>
    <row r="598" customFormat="false" ht="14.25" hidden="false" customHeight="false" outlineLevel="0" collapsed="false">
      <c r="A598" s="24"/>
      <c r="B598" s="22"/>
      <c r="C598" s="18"/>
      <c r="D598" s="24"/>
    </row>
    <row r="599" customFormat="false" ht="14.25" hidden="false" customHeight="false" outlineLevel="0" collapsed="false">
      <c r="A599" s="10" t="s">
        <v>0</v>
      </c>
      <c r="B599" s="11" t="s">
        <v>1</v>
      </c>
      <c r="C599" s="20" t="s">
        <v>682</v>
      </c>
    </row>
    <row r="600" customFormat="false" ht="14.25" hidden="false" customHeight="false" outlineLevel="0" collapsed="false">
      <c r="A600" s="10"/>
      <c r="B600" s="11" t="s">
        <v>3</v>
      </c>
      <c r="C600" s="2" t="s">
        <v>683</v>
      </c>
    </row>
    <row r="601" customFormat="false" ht="16.4" hidden="false" customHeight="false" outlineLevel="0" collapsed="false">
      <c r="A601" s="10"/>
      <c r="B601" s="11" t="s">
        <v>5</v>
      </c>
      <c r="C601" s="14" t="s">
        <v>684</v>
      </c>
    </row>
    <row r="602" customFormat="false" ht="14.25" hidden="false" customHeight="false" outlineLevel="0" collapsed="false">
      <c r="A602" s="10" t="s">
        <v>7</v>
      </c>
      <c r="B602" s="11" t="s">
        <v>8</v>
      </c>
      <c r="C602" s="2" t="s">
        <v>685</v>
      </c>
    </row>
    <row r="603" customFormat="false" ht="14.25" hidden="false" customHeight="false" outlineLevel="0" collapsed="false">
      <c r="A603" s="10"/>
      <c r="B603" s="11" t="s">
        <v>10</v>
      </c>
      <c r="C603" s="2" t="s">
        <v>686</v>
      </c>
    </row>
    <row r="604" customFormat="false" ht="14.25" hidden="false" customHeight="false" outlineLevel="0" collapsed="false">
      <c r="A604" s="10" t="s">
        <v>13</v>
      </c>
      <c r="B604" s="11" t="s">
        <v>14</v>
      </c>
      <c r="C604" s="2" t="n">
        <v>1983</v>
      </c>
    </row>
    <row r="605" customFormat="false" ht="14.25" hidden="false" customHeight="false" outlineLevel="0" collapsed="false">
      <c r="A605" s="10"/>
      <c r="B605" s="11" t="s">
        <v>15</v>
      </c>
      <c r="C605" s="2" t="s">
        <v>687</v>
      </c>
    </row>
    <row r="606" customFormat="false" ht="14.25" hidden="false" customHeight="false" outlineLevel="0" collapsed="false">
      <c r="A606" s="10"/>
      <c r="B606" s="11" t="s">
        <v>17</v>
      </c>
      <c r="C606" s="2" t="s">
        <v>688</v>
      </c>
    </row>
    <row r="607" customFormat="false" ht="14.25" hidden="false" customHeight="false" outlineLevel="0" collapsed="false">
      <c r="A607" s="10"/>
      <c r="B607" s="11" t="s">
        <v>19</v>
      </c>
      <c r="C607" s="2" t="s">
        <v>686</v>
      </c>
    </row>
    <row r="608" customFormat="false" ht="14.25" hidden="false" customHeight="false" outlineLevel="0" collapsed="false">
      <c r="A608" s="10" t="s">
        <v>22</v>
      </c>
      <c r="B608" s="11" t="s">
        <v>23</v>
      </c>
      <c r="C608" s="2" t="s">
        <v>689</v>
      </c>
    </row>
    <row r="609" customFormat="false" ht="14.25" hidden="false" customHeight="false" outlineLevel="0" collapsed="false">
      <c r="A609" s="10"/>
      <c r="B609" s="11" t="s">
        <v>25</v>
      </c>
      <c r="C609" s="2" t="n">
        <v>1</v>
      </c>
    </row>
    <row r="610" customFormat="false" ht="14.25" hidden="false" customHeight="false" outlineLevel="0" collapsed="false">
      <c r="A610" s="10"/>
      <c r="B610" s="11" t="s">
        <v>27</v>
      </c>
      <c r="C610" s="2" t="s">
        <v>690</v>
      </c>
      <c r="D610" s="1" t="s">
        <v>210</v>
      </c>
      <c r="E610" s="1" t="s">
        <v>691</v>
      </c>
      <c r="F610" s="1" t="s">
        <v>692</v>
      </c>
      <c r="G610" s="1" t="s">
        <v>693</v>
      </c>
      <c r="H610" s="1" t="s">
        <v>694</v>
      </c>
      <c r="I610" s="42" t="s">
        <v>312</v>
      </c>
      <c r="J610" s="1" t="s">
        <v>134</v>
      </c>
      <c r="K610" s="1" t="s">
        <v>695</v>
      </c>
      <c r="L610" s="1" t="s">
        <v>696</v>
      </c>
      <c r="M610" s="1" t="s">
        <v>697</v>
      </c>
      <c r="N610" s="1" t="s">
        <v>698</v>
      </c>
      <c r="O610" s="1" t="s">
        <v>230</v>
      </c>
    </row>
    <row r="611" customFormat="false" ht="14.25" hidden="false" customHeight="false" outlineLevel="0" collapsed="false">
      <c r="A611" s="10"/>
      <c r="B611" s="11" t="s">
        <v>64</v>
      </c>
      <c r="C611" s="2" t="n">
        <v>200</v>
      </c>
      <c r="D611" s="2" t="n">
        <v>200</v>
      </c>
      <c r="E611" s="2" t="n">
        <v>200</v>
      </c>
      <c r="F611" s="2" t="n">
        <v>200</v>
      </c>
      <c r="G611" s="2" t="n">
        <v>200</v>
      </c>
      <c r="H611" s="2" t="n">
        <v>200</v>
      </c>
      <c r="I611" s="2" t="n">
        <v>200</v>
      </c>
      <c r="J611" s="2" t="n">
        <v>200</v>
      </c>
      <c r="K611" s="2" t="n">
        <v>200</v>
      </c>
      <c r="L611" s="2" t="n">
        <v>200</v>
      </c>
      <c r="M611" s="2" t="n">
        <v>200</v>
      </c>
      <c r="N611" s="2" t="n">
        <v>200</v>
      </c>
      <c r="O611" s="2" t="n">
        <v>200</v>
      </c>
    </row>
    <row r="612" customFormat="false" ht="14.25" hidden="false" customHeight="false" outlineLevel="0" collapsed="false">
      <c r="A612" s="10" t="s">
        <v>65</v>
      </c>
      <c r="B612" s="11" t="s">
        <v>66</v>
      </c>
      <c r="C612" s="2" t="s">
        <v>67</v>
      </c>
    </row>
    <row r="613" customFormat="false" ht="14.25" hidden="false" customHeight="false" outlineLevel="0" collapsed="false">
      <c r="A613" s="10"/>
      <c r="B613" s="11" t="s">
        <v>68</v>
      </c>
      <c r="C613" s="2" t="s">
        <v>288</v>
      </c>
    </row>
    <row r="614" customFormat="false" ht="14.25" hidden="false" customHeight="false" outlineLevel="0" collapsed="false">
      <c r="A614" s="10" t="s">
        <v>71</v>
      </c>
      <c r="B614" s="4"/>
      <c r="C614" s="2" t="s">
        <v>699</v>
      </c>
      <c r="D614" s="1" t="s">
        <v>700</v>
      </c>
    </row>
    <row r="615" customFormat="false" ht="14.25" hidden="false" customHeight="false" outlineLevel="0" collapsed="false">
      <c r="A615" s="10" t="s">
        <v>74</v>
      </c>
      <c r="B615" s="11" t="s">
        <v>75</v>
      </c>
    </row>
    <row r="616" customFormat="false" ht="14.25" hidden="false" customHeight="false" outlineLevel="0" collapsed="false">
      <c r="A616" s="10"/>
      <c r="B616" s="11" t="s">
        <v>76</v>
      </c>
    </row>
    <row r="617" customFormat="false" ht="16.4" hidden="false" customHeight="false" outlineLevel="0" collapsed="false">
      <c r="A617" s="10"/>
      <c r="B617" s="11" t="s">
        <v>77</v>
      </c>
      <c r="D617" s="21" t="s">
        <v>701</v>
      </c>
    </row>
    <row r="618" customFormat="false" ht="14.25" hidden="false" customHeight="false" outlineLevel="0" collapsed="false">
      <c r="A618" s="17" t="s">
        <v>79</v>
      </c>
      <c r="B618" s="4"/>
    </row>
    <row r="619" customFormat="false" ht="14.25" hidden="false" customHeight="false" outlineLevel="0" collapsed="false">
      <c r="A619" s="3"/>
      <c r="B619" s="4"/>
      <c r="C619" s="64"/>
    </row>
    <row r="620" customFormat="false" ht="14.25" hidden="false" customHeight="false" outlineLevel="0" collapsed="false">
      <c r="A620" s="5"/>
      <c r="B620" s="6"/>
      <c r="C620" s="18"/>
      <c r="D620" s="24"/>
    </row>
    <row r="621" customFormat="false" ht="14.25" hidden="false" customHeight="false" outlineLevel="0" collapsed="false">
      <c r="A621" s="10" t="s">
        <v>0</v>
      </c>
      <c r="B621" s="11" t="s">
        <v>1</v>
      </c>
      <c r="C621" s="20" t="s">
        <v>702</v>
      </c>
    </row>
    <row r="622" customFormat="false" ht="14.25" hidden="false" customHeight="false" outlineLevel="0" collapsed="false">
      <c r="A622" s="10"/>
      <c r="B622" s="11" t="s">
        <v>3</v>
      </c>
      <c r="C622" s="2" t="s">
        <v>703</v>
      </c>
    </row>
    <row r="623" customFormat="false" ht="16.4" hidden="false" customHeight="false" outlineLevel="0" collapsed="false">
      <c r="A623" s="10"/>
      <c r="B623" s="11" t="s">
        <v>5</v>
      </c>
      <c r="C623" s="14" t="s">
        <v>704</v>
      </c>
    </row>
    <row r="624" customFormat="false" ht="14.25" hidden="false" customHeight="false" outlineLevel="0" collapsed="false">
      <c r="A624" s="10" t="s">
        <v>7</v>
      </c>
      <c r="B624" s="11" t="s">
        <v>8</v>
      </c>
      <c r="C624" s="2" t="s">
        <v>705</v>
      </c>
    </row>
    <row r="625" customFormat="false" ht="14.25" hidden="false" customHeight="false" outlineLevel="0" collapsed="false">
      <c r="A625" s="10"/>
      <c r="B625" s="11" t="s">
        <v>10</v>
      </c>
      <c r="C625" s="2" t="s">
        <v>84</v>
      </c>
    </row>
    <row r="626" customFormat="false" ht="14.25" hidden="false" customHeight="false" outlineLevel="0" collapsed="false">
      <c r="A626" s="10" t="s">
        <v>13</v>
      </c>
      <c r="B626" s="11" t="s">
        <v>14</v>
      </c>
      <c r="C626" s="2" t="n">
        <v>5804</v>
      </c>
    </row>
    <row r="627" customFormat="false" ht="14.25" hidden="false" customHeight="false" outlineLevel="0" collapsed="false">
      <c r="A627" s="10"/>
      <c r="B627" s="11" t="s">
        <v>15</v>
      </c>
      <c r="C627" s="2" t="s">
        <v>706</v>
      </c>
    </row>
    <row r="628" customFormat="false" ht="14.25" hidden="false" customHeight="false" outlineLevel="0" collapsed="false">
      <c r="A628" s="10"/>
      <c r="B628" s="11" t="s">
        <v>17</v>
      </c>
      <c r="C628" s="2" t="s">
        <v>707</v>
      </c>
    </row>
    <row r="629" customFormat="false" ht="14.25" hidden="false" customHeight="false" outlineLevel="0" collapsed="false">
      <c r="A629" s="10"/>
      <c r="B629" s="11" t="s">
        <v>19</v>
      </c>
      <c r="C629" s="2" t="s">
        <v>84</v>
      </c>
    </row>
    <row r="630" customFormat="false" ht="14.25" hidden="false" customHeight="false" outlineLevel="0" collapsed="false">
      <c r="A630" s="10" t="s">
        <v>22</v>
      </c>
      <c r="B630" s="11" t="s">
        <v>23</v>
      </c>
      <c r="C630" s="2" t="s">
        <v>708</v>
      </c>
    </row>
    <row r="631" customFormat="false" ht="14.25" hidden="false" customHeight="false" outlineLevel="0" collapsed="false">
      <c r="A631" s="10"/>
      <c r="B631" s="11" t="s">
        <v>25</v>
      </c>
      <c r="C631" s="73" t="s">
        <v>709</v>
      </c>
    </row>
    <row r="632" customFormat="false" ht="14.25" hidden="false" customHeight="false" outlineLevel="0" collapsed="false">
      <c r="A632" s="10"/>
      <c r="B632" s="11" t="s">
        <v>27</v>
      </c>
      <c r="C632" s="2" t="s">
        <v>710</v>
      </c>
      <c r="D632" s="2" t="s">
        <v>711</v>
      </c>
      <c r="E632" s="2" t="s">
        <v>712</v>
      </c>
      <c r="F632" s="2" t="s">
        <v>713</v>
      </c>
      <c r="G632" s="2" t="s">
        <v>714</v>
      </c>
      <c r="H632" s="2" t="s">
        <v>715</v>
      </c>
      <c r="I632" s="2" t="s">
        <v>716</v>
      </c>
      <c r="J632" s="2" t="s">
        <v>717</v>
      </c>
      <c r="K632" s="2" t="s">
        <v>718</v>
      </c>
      <c r="L632" s="2" t="s">
        <v>719</v>
      </c>
      <c r="M632" s="2" t="s">
        <v>532</v>
      </c>
      <c r="N632" s="2" t="s">
        <v>537</v>
      </c>
      <c r="O632" s="2" t="s">
        <v>720</v>
      </c>
      <c r="P632" s="2" t="s">
        <v>721</v>
      </c>
      <c r="Q632" s="2" t="s">
        <v>722</v>
      </c>
      <c r="R632" s="2" t="s">
        <v>723</v>
      </c>
      <c r="S632" s="2" t="s">
        <v>724</v>
      </c>
      <c r="T632" s="2" t="s">
        <v>725</v>
      </c>
      <c r="U632" s="2" t="s">
        <v>726</v>
      </c>
      <c r="V632" s="2" t="s">
        <v>727</v>
      </c>
      <c r="W632" s="2" t="s">
        <v>305</v>
      </c>
      <c r="X632" s="2" t="s">
        <v>728</v>
      </c>
      <c r="Y632" s="2" t="s">
        <v>729</v>
      </c>
      <c r="Z632" s="2" t="s">
        <v>730</v>
      </c>
      <c r="AA632" s="2" t="s">
        <v>731</v>
      </c>
      <c r="AB632" s="2" t="s">
        <v>732</v>
      </c>
      <c r="AC632" s="2" t="s">
        <v>733</v>
      </c>
      <c r="AD632" s="2" t="s">
        <v>734</v>
      </c>
      <c r="AE632" s="2" t="s">
        <v>735</v>
      </c>
      <c r="AF632" s="2" t="s">
        <v>736</v>
      </c>
      <c r="AG632" s="2" t="s">
        <v>737</v>
      </c>
      <c r="AH632" s="2" t="s">
        <v>639</v>
      </c>
      <c r="AI632" s="2" t="s">
        <v>738</v>
      </c>
      <c r="AJ632" s="2" t="s">
        <v>739</v>
      </c>
    </row>
    <row r="633" customFormat="false" ht="14.25" hidden="false" customHeight="false" outlineLevel="0" collapsed="false">
      <c r="A633" s="10"/>
      <c r="B633" s="11" t="s">
        <v>64</v>
      </c>
      <c r="C633" s="2" t="n">
        <v>8</v>
      </c>
      <c r="D633" s="2" t="s">
        <v>740</v>
      </c>
      <c r="E633" s="2" t="n">
        <v>10</v>
      </c>
      <c r="F633" s="2" t="s">
        <v>741</v>
      </c>
      <c r="G633" s="2" t="s">
        <v>742</v>
      </c>
      <c r="H633" s="2" t="s">
        <v>743</v>
      </c>
      <c r="I633" s="2" t="n">
        <v>250</v>
      </c>
      <c r="J633" s="2" t="n">
        <v>125</v>
      </c>
      <c r="K633" s="2" t="n">
        <v>125</v>
      </c>
      <c r="L633" s="2" t="s">
        <v>744</v>
      </c>
      <c r="M633" s="2" t="n">
        <v>250</v>
      </c>
      <c r="N633" s="2" t="n">
        <v>125</v>
      </c>
      <c r="O633" s="2" t="s">
        <v>234</v>
      </c>
      <c r="P633" s="2" t="s">
        <v>745</v>
      </c>
      <c r="Q633" s="2" t="n">
        <v>50</v>
      </c>
      <c r="R633" s="2" t="n">
        <v>10</v>
      </c>
      <c r="S633" s="2" t="n">
        <v>10</v>
      </c>
      <c r="T633" s="2" t="n">
        <v>1</v>
      </c>
      <c r="U633" s="2" t="n">
        <v>25</v>
      </c>
      <c r="V633" s="2" t="s">
        <v>746</v>
      </c>
      <c r="W633" s="2" t="n">
        <v>10</v>
      </c>
      <c r="X633" s="2" t="n">
        <v>10</v>
      </c>
      <c r="Y633" s="2" t="s">
        <v>747</v>
      </c>
      <c r="Z633" s="2" t="n">
        <v>10</v>
      </c>
      <c r="AA633" s="2" t="n">
        <v>10</v>
      </c>
      <c r="AB633" s="2" t="n">
        <v>10</v>
      </c>
      <c r="AC633" s="2" t="n">
        <v>10</v>
      </c>
      <c r="AD633" s="2" t="n">
        <v>10</v>
      </c>
      <c r="AE633" s="2" t="n">
        <v>1</v>
      </c>
      <c r="AF633" s="2" t="n">
        <v>1</v>
      </c>
      <c r="AG633" s="2" t="n">
        <v>1</v>
      </c>
      <c r="AH633" s="2" t="n">
        <v>10</v>
      </c>
      <c r="AI633" s="2" t="s">
        <v>748</v>
      </c>
      <c r="AJ633" s="2" t="s">
        <v>749</v>
      </c>
    </row>
    <row r="634" customFormat="false" ht="14.25" hidden="false" customHeight="false" outlineLevel="0" collapsed="false">
      <c r="A634" s="10" t="s">
        <v>65</v>
      </c>
      <c r="B634" s="11" t="s">
        <v>66</v>
      </c>
      <c r="C634" s="2" t="s">
        <v>114</v>
      </c>
    </row>
    <row r="635" customFormat="false" ht="14.25" hidden="false" customHeight="false" outlineLevel="0" collapsed="false">
      <c r="A635" s="10"/>
      <c r="B635" s="11" t="s">
        <v>68</v>
      </c>
      <c r="C635" s="2" t="s">
        <v>478</v>
      </c>
    </row>
    <row r="636" customFormat="false" ht="14.25" hidden="false" customHeight="false" outlineLevel="0" collapsed="false">
      <c r="A636" s="10" t="s">
        <v>71</v>
      </c>
      <c r="B636" s="4"/>
      <c r="C636" s="2" t="s">
        <v>72</v>
      </c>
      <c r="D636" s="1" t="s">
        <v>643</v>
      </c>
    </row>
    <row r="637" customFormat="false" ht="14.25" hidden="false" customHeight="false" outlineLevel="0" collapsed="false">
      <c r="A637" s="10" t="s">
        <v>74</v>
      </c>
      <c r="B637" s="11" t="s">
        <v>75</v>
      </c>
      <c r="AL637" s="49"/>
    </row>
    <row r="638" customFormat="false" ht="14.25" hidden="false" customHeight="false" outlineLevel="0" collapsed="false">
      <c r="A638" s="10"/>
      <c r="B638" s="11" t="s">
        <v>76</v>
      </c>
      <c r="N638" s="42"/>
      <c r="AC638" s="42"/>
    </row>
    <row r="639" customFormat="false" ht="16.4" hidden="false" customHeight="false" outlineLevel="0" collapsed="false">
      <c r="A639" s="10"/>
      <c r="B639" s="11" t="s">
        <v>77</v>
      </c>
      <c r="C639" s="21" t="s">
        <v>750</v>
      </c>
      <c r="D639" s="21" t="s">
        <v>751</v>
      </c>
      <c r="AL639" s="27"/>
    </row>
    <row r="640" customFormat="false" ht="14.25" hidden="false" customHeight="false" outlineLevel="0" collapsed="false">
      <c r="A640" s="17" t="s">
        <v>79</v>
      </c>
      <c r="B640" s="4"/>
      <c r="C640" s="64"/>
      <c r="AL640" s="27"/>
    </row>
    <row r="641" customFormat="false" ht="14.25" hidden="false" customHeight="false" outlineLevel="0" collapsed="false">
      <c r="A641" s="3"/>
      <c r="B641" s="4"/>
      <c r="C641" s="64"/>
      <c r="AL641" s="27"/>
    </row>
    <row r="642" customFormat="false" ht="14.25" hidden="false" customHeight="false" outlineLevel="0" collapsed="false">
      <c r="A642" s="22"/>
      <c r="B642" s="23"/>
      <c r="C642" s="18"/>
      <c r="D642" s="24"/>
      <c r="AL642" s="27"/>
    </row>
    <row r="643" customFormat="false" ht="14.25" hidden="false" customHeight="false" outlineLevel="0" collapsed="false">
      <c r="A643" s="10" t="s">
        <v>0</v>
      </c>
      <c r="B643" s="11" t="s">
        <v>1</v>
      </c>
      <c r="C643" s="74" t="s">
        <v>752</v>
      </c>
      <c r="AL643" s="27"/>
    </row>
    <row r="644" customFormat="false" ht="14.25" hidden="false" customHeight="false" outlineLevel="0" collapsed="false">
      <c r="A644" s="10"/>
      <c r="B644" s="11" t="s">
        <v>3</v>
      </c>
      <c r="C644" s="64" t="s">
        <v>753</v>
      </c>
      <c r="AL644" s="27"/>
    </row>
    <row r="645" customFormat="false" ht="16.4" hidden="false" customHeight="false" outlineLevel="0" collapsed="false">
      <c r="A645" s="10"/>
      <c r="B645" s="11" t="s">
        <v>5</v>
      </c>
      <c r="C645" s="53" t="s">
        <v>754</v>
      </c>
      <c r="AL645" s="27"/>
    </row>
    <row r="646" customFormat="false" ht="14.25" hidden="false" customHeight="false" outlineLevel="0" collapsed="false">
      <c r="A646" s="10"/>
      <c r="B646" s="11"/>
      <c r="C646" s="56" t="s">
        <v>755</v>
      </c>
      <c r="D646" s="1" t="s">
        <v>756</v>
      </c>
      <c r="AL646" s="27"/>
    </row>
    <row r="647" customFormat="false" ht="14.25" hidden="false" customHeight="false" outlineLevel="0" collapsed="false">
      <c r="A647" s="10" t="s">
        <v>7</v>
      </c>
      <c r="B647" s="11" t="s">
        <v>8</v>
      </c>
      <c r="C647" s="64" t="s">
        <v>757</v>
      </c>
      <c r="D647" s="1" t="s">
        <v>758</v>
      </c>
      <c r="AL647" s="27"/>
    </row>
    <row r="648" customFormat="false" ht="14.25" hidden="false" customHeight="false" outlineLevel="0" collapsed="false">
      <c r="A648" s="10"/>
      <c r="B648" s="11" t="s">
        <v>10</v>
      </c>
      <c r="C648" s="64" t="s">
        <v>84</v>
      </c>
      <c r="D648" s="1" t="s">
        <v>759</v>
      </c>
      <c r="AL648" s="27"/>
    </row>
    <row r="649" customFormat="false" ht="14.25" hidden="false" customHeight="false" outlineLevel="0" collapsed="false">
      <c r="A649" s="10" t="s">
        <v>13</v>
      </c>
      <c r="B649" s="11" t="s">
        <v>14</v>
      </c>
      <c r="C649" s="64" t="n">
        <v>78</v>
      </c>
      <c r="D649" s="1" t="n">
        <v>44</v>
      </c>
      <c r="AL649" s="27"/>
    </row>
    <row r="650" customFormat="false" ht="14.25" hidden="false" customHeight="false" outlineLevel="0" collapsed="false">
      <c r="A650" s="10"/>
      <c r="B650" s="11" t="s">
        <v>15</v>
      </c>
      <c r="C650" s="64" t="s">
        <v>760</v>
      </c>
      <c r="D650" s="1" t="s">
        <v>84</v>
      </c>
      <c r="AL650" s="27"/>
    </row>
    <row r="651" customFormat="false" ht="14.25" hidden="false" customHeight="false" outlineLevel="0" collapsed="false">
      <c r="A651" s="10"/>
      <c r="B651" s="11" t="s">
        <v>17</v>
      </c>
      <c r="C651" s="64" t="s">
        <v>761</v>
      </c>
      <c r="D651" s="1" t="s">
        <v>762</v>
      </c>
      <c r="AL651" s="27"/>
    </row>
    <row r="652" customFormat="false" ht="14.25" hidden="false" customHeight="false" outlineLevel="0" collapsed="false">
      <c r="A652" s="10"/>
      <c r="B652" s="11" t="s">
        <v>19</v>
      </c>
      <c r="C652" s="64" t="s">
        <v>87</v>
      </c>
      <c r="D652" s="1" t="s">
        <v>763</v>
      </c>
      <c r="AL652" s="27"/>
    </row>
    <row r="653" customFormat="false" ht="14.25" hidden="false" customHeight="false" outlineLevel="0" collapsed="false">
      <c r="A653" s="10" t="s">
        <v>22</v>
      </c>
      <c r="B653" s="11" t="s">
        <v>23</v>
      </c>
      <c r="C653" s="64" t="n">
        <v>153</v>
      </c>
      <c r="D653" s="1" t="n">
        <v>44</v>
      </c>
      <c r="AL653" s="27"/>
    </row>
    <row r="654" customFormat="false" ht="14.25" hidden="false" customHeight="false" outlineLevel="0" collapsed="false">
      <c r="A654" s="10"/>
      <c r="B654" s="57" t="s">
        <v>25</v>
      </c>
      <c r="C654" s="64" t="n">
        <v>2</v>
      </c>
      <c r="D654" s="2" t="n">
        <v>1</v>
      </c>
      <c r="E654" s="2"/>
      <c r="F654" s="2"/>
      <c r="G654" s="2"/>
      <c r="H654" s="2"/>
      <c r="I654" s="2"/>
      <c r="J654" s="2"/>
      <c r="K654" s="2"/>
      <c r="AL654" s="27"/>
    </row>
    <row r="655" customFormat="false" ht="14.25" hidden="false" customHeight="false" outlineLevel="0" collapsed="false">
      <c r="A655" s="10"/>
      <c r="B655" s="11" t="s">
        <v>27</v>
      </c>
      <c r="C655" s="64" t="s">
        <v>764</v>
      </c>
      <c r="D655" s="2" t="s">
        <v>765</v>
      </c>
      <c r="E655" s="2" t="s">
        <v>766</v>
      </c>
      <c r="F655" s="2" t="s">
        <v>767</v>
      </c>
      <c r="G655" s="2" t="s">
        <v>768</v>
      </c>
      <c r="H655" s="2" t="s">
        <v>387</v>
      </c>
      <c r="I655" s="2" t="s">
        <v>769</v>
      </c>
      <c r="J655" s="2" t="s">
        <v>770</v>
      </c>
      <c r="AL655" s="27"/>
    </row>
    <row r="656" customFormat="false" ht="14.25" hidden="false" customHeight="false" outlineLevel="0" collapsed="false">
      <c r="A656" s="10"/>
      <c r="B656" s="11" t="s">
        <v>64</v>
      </c>
      <c r="C656" s="64" t="n">
        <v>100</v>
      </c>
      <c r="D656" s="2" t="n">
        <v>100</v>
      </c>
      <c r="E656" s="75" t="n">
        <v>1100</v>
      </c>
      <c r="F656" s="2" t="n">
        <v>100</v>
      </c>
      <c r="G656" s="2" t="n">
        <v>1</v>
      </c>
      <c r="H656" s="2" t="n">
        <v>10</v>
      </c>
      <c r="I656" s="2" t="n">
        <v>1</v>
      </c>
      <c r="J656" s="2" t="n">
        <v>1</v>
      </c>
      <c r="AL656" s="27"/>
    </row>
    <row r="657" customFormat="false" ht="14.25" hidden="false" customHeight="false" outlineLevel="0" collapsed="false">
      <c r="A657" s="10" t="s">
        <v>65</v>
      </c>
      <c r="B657" s="11" t="s">
        <v>66</v>
      </c>
      <c r="C657" s="64" t="s">
        <v>114</v>
      </c>
      <c r="AL657" s="27"/>
    </row>
    <row r="658" customFormat="false" ht="14.25" hidden="false" customHeight="false" outlineLevel="0" collapsed="false">
      <c r="A658" s="10"/>
      <c r="B658" s="11" t="s">
        <v>68</v>
      </c>
      <c r="C658" s="64" t="s">
        <v>84</v>
      </c>
      <c r="AL658" s="27"/>
    </row>
    <row r="659" customFormat="false" ht="14.25" hidden="false" customHeight="false" outlineLevel="0" collapsed="false">
      <c r="A659" s="10" t="s">
        <v>71</v>
      </c>
      <c r="B659" s="4"/>
      <c r="C659" s="64" t="s">
        <v>72</v>
      </c>
      <c r="D659" s="1" t="s">
        <v>72</v>
      </c>
      <c r="AL659" s="27"/>
    </row>
    <row r="660" customFormat="false" ht="14.25" hidden="false" customHeight="false" outlineLevel="0" collapsed="false">
      <c r="A660" s="10" t="s">
        <v>74</v>
      </c>
      <c r="B660" s="11" t="s">
        <v>75</v>
      </c>
      <c r="C660" s="64"/>
      <c r="AL660" s="27"/>
    </row>
    <row r="661" customFormat="false" ht="14.25" hidden="false" customHeight="false" outlineLevel="0" collapsed="false">
      <c r="A661" s="10"/>
      <c r="B661" s="11" t="s">
        <v>76</v>
      </c>
      <c r="C661" s="64"/>
      <c r="AL661" s="27"/>
    </row>
    <row r="662" customFormat="false" ht="16.4" hidden="false" customHeight="false" outlineLevel="0" collapsed="false">
      <c r="A662" s="10"/>
      <c r="B662" s="11" t="s">
        <v>77</v>
      </c>
      <c r="C662" s="21" t="s">
        <v>771</v>
      </c>
      <c r="AL662" s="27"/>
    </row>
    <row r="663" customFormat="false" ht="14.25" hidden="false" customHeight="false" outlineLevel="0" collapsed="false">
      <c r="A663" s="17" t="s">
        <v>79</v>
      </c>
      <c r="B663" s="4"/>
      <c r="C663" s="64"/>
      <c r="AL663" s="27"/>
    </row>
    <row r="664" customFormat="false" ht="14.25" hidden="false" customHeight="false" outlineLevel="0" collapsed="false">
      <c r="A664" s="17"/>
      <c r="B664" s="4"/>
      <c r="C664" s="64"/>
      <c r="AL664" s="27"/>
    </row>
    <row r="665" customFormat="false" ht="14.25" hidden="false" customHeight="false" outlineLevel="0" collapsed="false">
      <c r="A665" s="22"/>
      <c r="B665" s="23"/>
      <c r="C665" s="18"/>
      <c r="D665" s="24"/>
      <c r="AL665" s="27"/>
    </row>
    <row r="666" customFormat="false" ht="14.25" hidden="false" customHeight="false" outlineLevel="0" collapsed="false">
      <c r="A666" s="10" t="s">
        <v>0</v>
      </c>
      <c r="B666" s="11" t="s">
        <v>1</v>
      </c>
      <c r="C666" s="76" t="s">
        <v>772</v>
      </c>
      <c r="AL666" s="27"/>
    </row>
    <row r="667" customFormat="false" ht="14.25" hidden="false" customHeight="false" outlineLevel="0" collapsed="false">
      <c r="A667" s="10"/>
      <c r="B667" s="11" t="s">
        <v>3</v>
      </c>
      <c r="C667" s="64" t="n">
        <v>2018</v>
      </c>
      <c r="AL667" s="27"/>
    </row>
    <row r="668" customFormat="false" ht="16.4" hidden="false" customHeight="false" outlineLevel="0" collapsed="false">
      <c r="A668" s="10"/>
      <c r="B668" s="11" t="s">
        <v>5</v>
      </c>
      <c r="C668" s="53" t="s">
        <v>773</v>
      </c>
      <c r="AL668" s="27"/>
    </row>
    <row r="669" customFormat="false" ht="14.25" hidden="false" customHeight="false" outlineLevel="0" collapsed="false">
      <c r="A669" s="10" t="s">
        <v>7</v>
      </c>
      <c r="B669" s="11" t="s">
        <v>8</v>
      </c>
      <c r="C669" s="64" t="s">
        <v>774</v>
      </c>
      <c r="AL669" s="27"/>
    </row>
    <row r="670" customFormat="false" ht="14.25" hidden="false" customHeight="false" outlineLevel="0" collapsed="false">
      <c r="A670" s="10"/>
      <c r="B670" s="11" t="s">
        <v>10</v>
      </c>
      <c r="C670" s="64" t="s">
        <v>84</v>
      </c>
      <c r="AL670" s="27"/>
    </row>
    <row r="671" customFormat="false" ht="14.25" hidden="false" customHeight="false" outlineLevel="0" collapsed="false">
      <c r="A671" s="10" t="s">
        <v>13</v>
      </c>
      <c r="B671" s="11" t="s">
        <v>14</v>
      </c>
      <c r="C671" s="64" t="n">
        <v>32</v>
      </c>
      <c r="AL671" s="27"/>
    </row>
    <row r="672" customFormat="false" ht="14.25" hidden="false" customHeight="false" outlineLevel="0" collapsed="false">
      <c r="A672" s="10"/>
      <c r="B672" s="11" t="s">
        <v>15</v>
      </c>
      <c r="C672" s="64" t="s">
        <v>775</v>
      </c>
      <c r="AL672" s="27"/>
    </row>
    <row r="673" customFormat="false" ht="14.25" hidden="false" customHeight="false" outlineLevel="0" collapsed="false">
      <c r="A673" s="10"/>
      <c r="B673" s="11" t="s">
        <v>17</v>
      </c>
      <c r="C673" s="77" t="s">
        <v>776</v>
      </c>
      <c r="AL673" s="27"/>
    </row>
    <row r="674" customFormat="false" ht="14.25" hidden="false" customHeight="false" outlineLevel="0" collapsed="false">
      <c r="A674" s="10"/>
      <c r="B674" s="11" t="s">
        <v>19</v>
      </c>
      <c r="C674" s="64" t="s">
        <v>777</v>
      </c>
      <c r="AL674" s="27"/>
    </row>
    <row r="675" customFormat="false" ht="14.25" hidden="false" customHeight="false" outlineLevel="0" collapsed="false">
      <c r="A675" s="10" t="s">
        <v>22</v>
      </c>
      <c r="B675" s="11" t="s">
        <v>23</v>
      </c>
      <c r="C675" s="64" t="n">
        <v>32</v>
      </c>
      <c r="AL675" s="27"/>
    </row>
    <row r="676" customFormat="false" ht="14.25" hidden="false" customHeight="false" outlineLevel="0" collapsed="false">
      <c r="A676" s="10"/>
      <c r="B676" s="11" t="s">
        <v>25</v>
      </c>
      <c r="C676" s="64" t="n">
        <v>1</v>
      </c>
      <c r="AL676" s="27"/>
    </row>
    <row r="677" customFormat="false" ht="14.25" hidden="false" customHeight="false" outlineLevel="0" collapsed="false">
      <c r="A677" s="10"/>
      <c r="B677" s="11" t="s">
        <v>27</v>
      </c>
      <c r="C677" s="2" t="s">
        <v>778</v>
      </c>
      <c r="D677" s="2" t="s">
        <v>779</v>
      </c>
      <c r="E677" s="2" t="s">
        <v>780</v>
      </c>
      <c r="F677" s="2" t="s">
        <v>781</v>
      </c>
      <c r="G677" s="2" t="s">
        <v>782</v>
      </c>
      <c r="H677" s="2" t="s">
        <v>783</v>
      </c>
      <c r="I677" s="2" t="s">
        <v>784</v>
      </c>
      <c r="J677" s="2" t="s">
        <v>785</v>
      </c>
      <c r="K677" s="2" t="s">
        <v>786</v>
      </c>
      <c r="L677" s="2" t="s">
        <v>787</v>
      </c>
      <c r="M677" s="2" t="s">
        <v>788</v>
      </c>
      <c r="N677" s="2" t="s">
        <v>789</v>
      </c>
      <c r="O677" s="2" t="s">
        <v>790</v>
      </c>
      <c r="P677" s="2" t="s">
        <v>791</v>
      </c>
      <c r="Q677" s="2" t="s">
        <v>792</v>
      </c>
      <c r="R677" s="2" t="s">
        <v>793</v>
      </c>
      <c r="AL677" s="27"/>
    </row>
    <row r="678" customFormat="false" ht="14.25" hidden="false" customHeight="false" outlineLevel="0" collapsed="false">
      <c r="A678" s="10"/>
      <c r="B678" s="11" t="s">
        <v>64</v>
      </c>
      <c r="C678" s="2" t="n">
        <v>50</v>
      </c>
      <c r="D678" s="2" t="n">
        <v>50</v>
      </c>
      <c r="E678" s="2" t="n">
        <v>50</v>
      </c>
      <c r="F678" s="2" t="n">
        <v>50</v>
      </c>
      <c r="G678" s="2" t="n">
        <v>50</v>
      </c>
      <c r="H678" s="2" t="n">
        <v>50</v>
      </c>
      <c r="I678" s="2" t="n">
        <v>50</v>
      </c>
      <c r="J678" s="2" t="n">
        <v>50</v>
      </c>
      <c r="K678" s="2" t="n">
        <v>50</v>
      </c>
      <c r="L678" s="2" t="n">
        <v>50</v>
      </c>
      <c r="M678" s="2" t="n">
        <v>50</v>
      </c>
      <c r="N678" s="2" t="n">
        <v>50</v>
      </c>
      <c r="O678" s="2" t="n">
        <v>50</v>
      </c>
      <c r="P678" s="2" t="n">
        <v>50</v>
      </c>
      <c r="Q678" s="2" t="n">
        <v>50</v>
      </c>
      <c r="R678" s="2" t="n">
        <v>50</v>
      </c>
      <c r="AL678" s="27"/>
    </row>
    <row r="679" customFormat="false" ht="14.25" hidden="false" customHeight="false" outlineLevel="0" collapsed="false">
      <c r="A679" s="10" t="s">
        <v>65</v>
      </c>
      <c r="B679" s="11" t="s">
        <v>66</v>
      </c>
      <c r="C679" s="64" t="s">
        <v>67</v>
      </c>
      <c r="AL679" s="27"/>
    </row>
    <row r="680" customFormat="false" ht="14.25" hidden="false" customHeight="false" outlineLevel="0" collapsed="false">
      <c r="A680" s="10"/>
      <c r="B680" s="11" t="s">
        <v>68</v>
      </c>
      <c r="C680" s="64" t="s">
        <v>84</v>
      </c>
      <c r="AL680" s="27"/>
    </row>
    <row r="681" customFormat="false" ht="14.25" hidden="false" customHeight="false" outlineLevel="0" collapsed="false">
      <c r="A681" s="10" t="s">
        <v>71</v>
      </c>
      <c r="B681" s="4"/>
      <c r="C681" s="64" t="s">
        <v>72</v>
      </c>
      <c r="D681" s="1" t="s">
        <v>794</v>
      </c>
      <c r="AL681" s="27"/>
    </row>
    <row r="682" customFormat="false" ht="14.25" hidden="false" customHeight="false" outlineLevel="0" collapsed="false">
      <c r="A682" s="10" t="s">
        <v>74</v>
      </c>
      <c r="B682" s="11" t="s">
        <v>75</v>
      </c>
      <c r="C682" s="64"/>
      <c r="AL682" s="27"/>
    </row>
    <row r="683" customFormat="false" ht="14.25" hidden="false" customHeight="false" outlineLevel="0" collapsed="false">
      <c r="A683" s="10"/>
      <c r="B683" s="11" t="s">
        <v>76</v>
      </c>
      <c r="C683" s="64"/>
      <c r="AL683" s="27"/>
    </row>
    <row r="684" customFormat="false" ht="16.4" hidden="false" customHeight="false" outlineLevel="0" collapsed="false">
      <c r="A684" s="10"/>
      <c r="B684" s="11" t="s">
        <v>77</v>
      </c>
      <c r="C684" s="21" t="s">
        <v>795</v>
      </c>
      <c r="D684" s="1" t="s">
        <v>796</v>
      </c>
      <c r="AL684" s="27"/>
    </row>
    <row r="685" customFormat="false" ht="14.25" hidden="false" customHeight="false" outlineLevel="0" collapsed="false">
      <c r="A685" s="17" t="s">
        <v>79</v>
      </c>
      <c r="B685" s="4"/>
      <c r="C685" s="64"/>
      <c r="AL685" s="27"/>
    </row>
    <row r="686" customFormat="false" ht="14.25" hidden="false" customHeight="false" outlineLevel="0" collapsed="false">
      <c r="A686" s="3"/>
      <c r="B686" s="4"/>
      <c r="C686" s="64"/>
      <c r="AL686" s="27"/>
    </row>
    <row r="687" customFormat="false" ht="14.25" hidden="false" customHeight="false" outlineLevel="0" collapsed="false">
      <c r="A687" s="22"/>
      <c r="B687" s="23"/>
      <c r="C687" s="18"/>
      <c r="D687" s="24"/>
      <c r="AL687" s="27"/>
    </row>
    <row r="688" customFormat="false" ht="14.25" hidden="false" customHeight="false" outlineLevel="0" collapsed="false">
      <c r="A688" s="10" t="s">
        <v>0</v>
      </c>
      <c r="B688" s="11" t="s">
        <v>1</v>
      </c>
      <c r="C688" s="20" t="s">
        <v>797</v>
      </c>
      <c r="AL688" s="27"/>
    </row>
    <row r="689" customFormat="false" ht="14.25" hidden="false" customHeight="false" outlineLevel="0" collapsed="false">
      <c r="A689" s="10"/>
      <c r="B689" s="11" t="s">
        <v>3</v>
      </c>
      <c r="C689" s="2" t="s">
        <v>798</v>
      </c>
      <c r="AL689" s="27"/>
    </row>
    <row r="690" customFormat="false" ht="16.4" hidden="false" customHeight="false" outlineLevel="0" collapsed="false">
      <c r="A690" s="10"/>
      <c r="B690" s="11" t="s">
        <v>5</v>
      </c>
      <c r="C690" s="14" t="s">
        <v>799</v>
      </c>
      <c r="AL690" s="27"/>
    </row>
    <row r="691" customFormat="false" ht="14.25" hidden="false" customHeight="false" outlineLevel="0" collapsed="false">
      <c r="A691" s="10" t="s">
        <v>7</v>
      </c>
      <c r="B691" s="11" t="s">
        <v>8</v>
      </c>
      <c r="C691" s="2" t="s">
        <v>800</v>
      </c>
      <c r="AL691" s="27"/>
    </row>
    <row r="692" customFormat="false" ht="14.25" hidden="false" customHeight="false" outlineLevel="0" collapsed="false">
      <c r="A692" s="10"/>
      <c r="B692" s="11" t="s">
        <v>10</v>
      </c>
      <c r="AL692" s="27"/>
    </row>
    <row r="693" customFormat="false" ht="14.25" hidden="false" customHeight="false" outlineLevel="0" collapsed="false">
      <c r="A693" s="10" t="s">
        <v>13</v>
      </c>
      <c r="B693" s="11" t="s">
        <v>14</v>
      </c>
      <c r="C693" s="2" t="n">
        <v>461</v>
      </c>
      <c r="AL693" s="27"/>
    </row>
    <row r="694" customFormat="false" ht="14.25" hidden="false" customHeight="false" outlineLevel="0" collapsed="false">
      <c r="A694" s="10"/>
      <c r="B694" s="11" t="s">
        <v>15</v>
      </c>
      <c r="C694" s="2" t="s">
        <v>801</v>
      </c>
      <c r="D694" s="1" t="s">
        <v>802</v>
      </c>
      <c r="AL694" s="27"/>
    </row>
    <row r="695" customFormat="false" ht="14.25" hidden="false" customHeight="false" outlineLevel="0" collapsed="false">
      <c r="A695" s="10"/>
      <c r="B695" s="11" t="s">
        <v>17</v>
      </c>
      <c r="C695" s="2" t="s">
        <v>803</v>
      </c>
      <c r="AL695" s="27"/>
    </row>
    <row r="696" customFormat="false" ht="14.25" hidden="false" customHeight="false" outlineLevel="0" collapsed="false">
      <c r="A696" s="10"/>
      <c r="B696" s="11" t="s">
        <v>19</v>
      </c>
      <c r="C696" s="2" t="s">
        <v>804</v>
      </c>
      <c r="AL696" s="27"/>
    </row>
    <row r="697" customFormat="false" ht="14.25" hidden="false" customHeight="false" outlineLevel="0" collapsed="false">
      <c r="A697" s="10" t="s">
        <v>22</v>
      </c>
      <c r="B697" s="11" t="s">
        <v>23</v>
      </c>
      <c r="C697" s="2" t="s">
        <v>805</v>
      </c>
      <c r="AL697" s="27"/>
    </row>
    <row r="698" customFormat="false" ht="14.25" hidden="false" customHeight="false" outlineLevel="0" collapsed="false">
      <c r="A698" s="10"/>
      <c r="B698" s="11" t="s">
        <v>25</v>
      </c>
      <c r="C698" s="2" t="n">
        <v>1</v>
      </c>
      <c r="AL698" s="27"/>
    </row>
    <row r="699" customFormat="false" ht="14.25" hidden="false" customHeight="false" outlineLevel="0" collapsed="false">
      <c r="A699" s="10"/>
      <c r="B699" s="11" t="s">
        <v>27</v>
      </c>
      <c r="C699" s="2" t="s">
        <v>806</v>
      </c>
      <c r="D699" s="2" t="s">
        <v>807</v>
      </c>
      <c r="E699" s="2" t="s">
        <v>808</v>
      </c>
      <c r="F699" s="2" t="s">
        <v>29</v>
      </c>
      <c r="G699" s="2" t="s">
        <v>211</v>
      </c>
      <c r="H699" s="2" t="s">
        <v>212</v>
      </c>
      <c r="I699" s="2" t="s">
        <v>809</v>
      </c>
      <c r="J699" s="2" t="s">
        <v>810</v>
      </c>
      <c r="K699" s="2" t="s">
        <v>811</v>
      </c>
      <c r="L699" s="2" t="s">
        <v>213</v>
      </c>
      <c r="M699" s="2" t="s">
        <v>214</v>
      </c>
      <c r="N699" s="2" t="s">
        <v>812</v>
      </c>
      <c r="O699" s="2" t="s">
        <v>813</v>
      </c>
      <c r="P699" s="2" t="s">
        <v>361</v>
      </c>
      <c r="Q699" s="2" t="s">
        <v>814</v>
      </c>
      <c r="R699" s="2" t="s">
        <v>815</v>
      </c>
      <c r="S699" s="2" t="s">
        <v>816</v>
      </c>
      <c r="T699" s="2" t="s">
        <v>137</v>
      </c>
      <c r="U699" s="2" t="s">
        <v>54</v>
      </c>
      <c r="V699" s="2" t="s">
        <v>817</v>
      </c>
      <c r="W699" s="2" t="s">
        <v>818</v>
      </c>
      <c r="X699" s="2" t="s">
        <v>283</v>
      </c>
      <c r="Y699" s="2" t="s">
        <v>57</v>
      </c>
      <c r="Z699" s="2" t="s">
        <v>819</v>
      </c>
      <c r="AA699" s="2" t="s">
        <v>142</v>
      </c>
      <c r="AB699" s="2" t="s">
        <v>820</v>
      </c>
      <c r="AC699" s="2" t="s">
        <v>821</v>
      </c>
      <c r="AD699" s="2" t="s">
        <v>822</v>
      </c>
      <c r="AL699" s="27"/>
    </row>
    <row r="700" customFormat="false" ht="14.25" hidden="false" customHeight="false" outlineLevel="0" collapsed="false">
      <c r="A700" s="10"/>
      <c r="B700" s="11" t="s">
        <v>64</v>
      </c>
      <c r="C700" s="2" t="n">
        <v>128</v>
      </c>
      <c r="D700" s="2" t="n">
        <v>128</v>
      </c>
      <c r="E700" s="2" t="s">
        <v>823</v>
      </c>
      <c r="F700" s="2" t="s">
        <v>823</v>
      </c>
      <c r="G700" s="2" t="n">
        <v>128</v>
      </c>
      <c r="H700" s="2" t="n">
        <v>128</v>
      </c>
      <c r="I700" s="2" t="s">
        <v>823</v>
      </c>
      <c r="J700" s="2" t="n">
        <v>16</v>
      </c>
      <c r="K700" s="2" t="n">
        <v>512</v>
      </c>
      <c r="L700" s="2" t="s">
        <v>236</v>
      </c>
      <c r="M700" s="2" t="s">
        <v>236</v>
      </c>
      <c r="N700" s="2" t="s">
        <v>236</v>
      </c>
      <c r="O700" s="2" t="s">
        <v>236</v>
      </c>
      <c r="P700" s="2" t="n">
        <v>1</v>
      </c>
      <c r="Q700" s="2" t="n">
        <v>128</v>
      </c>
      <c r="R700" s="2" t="n">
        <v>64</v>
      </c>
      <c r="S700" s="2" t="n">
        <v>64</v>
      </c>
      <c r="T700" s="2" t="n">
        <v>128</v>
      </c>
      <c r="U700" s="2" t="s">
        <v>823</v>
      </c>
      <c r="V700" s="2" t="n">
        <v>64</v>
      </c>
      <c r="W700" s="2" t="n">
        <v>128</v>
      </c>
      <c r="X700" s="2" t="n">
        <v>128</v>
      </c>
      <c r="Y700" s="2" t="s">
        <v>824</v>
      </c>
      <c r="Z700" s="2" t="n">
        <v>128</v>
      </c>
      <c r="AA700" s="2" t="n">
        <v>128</v>
      </c>
      <c r="AB700" s="2" t="n">
        <v>1</v>
      </c>
      <c r="AC700" s="2" t="n">
        <v>1</v>
      </c>
      <c r="AD700" s="2" t="s">
        <v>823</v>
      </c>
      <c r="AL700" s="27"/>
    </row>
    <row r="701" customFormat="false" ht="14.25" hidden="false" customHeight="false" outlineLevel="0" collapsed="false">
      <c r="A701" s="10" t="s">
        <v>65</v>
      </c>
      <c r="B701" s="11" t="s">
        <v>66</v>
      </c>
      <c r="C701" s="2" t="s">
        <v>114</v>
      </c>
      <c r="AL701" s="27"/>
    </row>
    <row r="702" customFormat="false" ht="14.25" hidden="false" customHeight="false" outlineLevel="0" collapsed="false">
      <c r="A702" s="10"/>
      <c r="B702" s="11" t="s">
        <v>68</v>
      </c>
      <c r="C702" s="2" t="s">
        <v>478</v>
      </c>
      <c r="AL702" s="27"/>
    </row>
    <row r="703" customFormat="false" ht="14.25" hidden="false" customHeight="false" outlineLevel="0" collapsed="false">
      <c r="A703" s="10" t="s">
        <v>71</v>
      </c>
      <c r="B703" s="4"/>
      <c r="C703" s="2" t="s">
        <v>72</v>
      </c>
      <c r="D703" s="1" t="s">
        <v>643</v>
      </c>
      <c r="AL703" s="27"/>
    </row>
    <row r="704" customFormat="false" ht="14.25" hidden="false" customHeight="false" outlineLevel="0" collapsed="false">
      <c r="A704" s="10" t="s">
        <v>74</v>
      </c>
      <c r="B704" s="11" t="s">
        <v>75</v>
      </c>
      <c r="AL704" s="27"/>
    </row>
    <row r="705" customFormat="false" ht="14.25" hidden="false" customHeight="false" outlineLevel="0" collapsed="false">
      <c r="A705" s="10"/>
      <c r="B705" s="11" t="s">
        <v>76</v>
      </c>
      <c r="AL705" s="27"/>
    </row>
    <row r="706" customFormat="false" ht="16.4" hidden="false" customHeight="false" outlineLevel="0" collapsed="false">
      <c r="A706" s="10"/>
      <c r="B706" s="11" t="s">
        <v>77</v>
      </c>
      <c r="C706" s="65" t="s">
        <v>825</v>
      </c>
      <c r="D706" s="21" t="s">
        <v>826</v>
      </c>
      <c r="AL706" s="27"/>
    </row>
    <row r="707" customFormat="false" ht="14.25" hidden="false" customHeight="false" outlineLevel="0" collapsed="false">
      <c r="A707" s="17" t="s">
        <v>79</v>
      </c>
      <c r="B707" s="4"/>
      <c r="C707" s="64"/>
      <c r="AL707" s="27"/>
    </row>
    <row r="708" customFormat="false" ht="14.25" hidden="false" customHeight="false" outlineLevel="0" collapsed="false">
      <c r="A708" s="3"/>
      <c r="B708" s="4"/>
      <c r="C708" s="64"/>
      <c r="AL708" s="27"/>
    </row>
    <row r="709" customFormat="false" ht="14.25" hidden="false" customHeight="false" outlineLevel="0" collapsed="false">
      <c r="A709" s="22"/>
      <c r="B709" s="23"/>
      <c r="C709" s="18"/>
      <c r="D709" s="24"/>
      <c r="AL709" s="27"/>
    </row>
    <row r="710" customFormat="false" ht="14.25" hidden="false" customHeight="false" outlineLevel="0" collapsed="false">
      <c r="A710" s="10" t="s">
        <v>0</v>
      </c>
      <c r="B710" s="11" t="s">
        <v>1</v>
      </c>
      <c r="C710" s="20" t="s">
        <v>827</v>
      </c>
      <c r="AL710" s="27"/>
    </row>
    <row r="711" customFormat="false" ht="14.25" hidden="false" customHeight="false" outlineLevel="0" collapsed="false">
      <c r="A711" s="10"/>
      <c r="B711" s="11" t="s">
        <v>3</v>
      </c>
      <c r="AL711" s="27"/>
    </row>
    <row r="712" customFormat="false" ht="16.4" hidden="false" customHeight="false" outlineLevel="0" collapsed="false">
      <c r="A712" s="10"/>
      <c r="B712" s="11" t="s">
        <v>5</v>
      </c>
      <c r="C712" s="14" t="s">
        <v>828</v>
      </c>
      <c r="AL712" s="27"/>
    </row>
    <row r="713" customFormat="false" ht="14.25" hidden="false" customHeight="false" outlineLevel="0" collapsed="false">
      <c r="A713" s="10" t="s">
        <v>7</v>
      </c>
      <c r="B713" s="11" t="s">
        <v>8</v>
      </c>
      <c r="C713" s="2" t="s">
        <v>829</v>
      </c>
      <c r="AL713" s="27"/>
    </row>
    <row r="714" customFormat="false" ht="14.25" hidden="false" customHeight="false" outlineLevel="0" collapsed="false">
      <c r="A714" s="10"/>
      <c r="B714" s="11" t="s">
        <v>10</v>
      </c>
      <c r="C714" s="2" t="s">
        <v>84</v>
      </c>
      <c r="AL714" s="27"/>
    </row>
    <row r="715" customFormat="false" ht="14.25" hidden="false" customHeight="false" outlineLevel="0" collapsed="false">
      <c r="A715" s="10" t="s">
        <v>13</v>
      </c>
      <c r="B715" s="11" t="s">
        <v>14</v>
      </c>
      <c r="C715" s="2" t="n">
        <v>1881</v>
      </c>
      <c r="AL715" s="27"/>
    </row>
    <row r="716" customFormat="false" ht="14.25" hidden="false" customHeight="false" outlineLevel="0" collapsed="false">
      <c r="A716" s="10"/>
      <c r="B716" s="11" t="s">
        <v>15</v>
      </c>
      <c r="C716" s="2" t="s">
        <v>830</v>
      </c>
      <c r="AL716" s="27"/>
    </row>
    <row r="717" customFormat="false" ht="14.25" hidden="false" customHeight="false" outlineLevel="0" collapsed="false">
      <c r="A717" s="10"/>
      <c r="B717" s="11" t="s">
        <v>17</v>
      </c>
      <c r="C717" s="2" t="s">
        <v>831</v>
      </c>
      <c r="AL717" s="27"/>
    </row>
    <row r="718" customFormat="false" ht="14.25" hidden="false" customHeight="false" outlineLevel="0" collapsed="false">
      <c r="A718" s="10"/>
      <c r="B718" s="11" t="s">
        <v>19</v>
      </c>
      <c r="C718" s="2" t="s">
        <v>832</v>
      </c>
    </row>
    <row r="719" customFormat="false" ht="14.25" hidden="false" customHeight="false" outlineLevel="0" collapsed="false">
      <c r="A719" s="10" t="s">
        <v>22</v>
      </c>
      <c r="B719" s="11" t="s">
        <v>23</v>
      </c>
      <c r="C719" s="2" t="n">
        <v>1908</v>
      </c>
    </row>
    <row r="720" customFormat="false" ht="14.25" hidden="false" customHeight="false" outlineLevel="0" collapsed="false">
      <c r="A720" s="10"/>
      <c r="B720" s="11" t="s">
        <v>25</v>
      </c>
      <c r="C720" s="2" t="n">
        <v>1</v>
      </c>
    </row>
    <row r="721" customFormat="false" ht="14.25" hidden="false" customHeight="false" outlineLevel="0" collapsed="false">
      <c r="A721" s="10"/>
      <c r="B721" s="11" t="s">
        <v>27</v>
      </c>
      <c r="C721" s="2" t="s">
        <v>833</v>
      </c>
    </row>
    <row r="722" customFormat="false" ht="14.25" hidden="false" customHeight="false" outlineLevel="0" collapsed="false">
      <c r="A722" s="10"/>
      <c r="B722" s="11" t="s">
        <v>64</v>
      </c>
      <c r="C722" s="2" t="s">
        <v>833</v>
      </c>
    </row>
    <row r="723" customFormat="false" ht="14.25" hidden="false" customHeight="false" outlineLevel="0" collapsed="false">
      <c r="A723" s="10" t="s">
        <v>65</v>
      </c>
      <c r="B723" s="11" t="s">
        <v>66</v>
      </c>
      <c r="C723" s="2" t="s">
        <v>67</v>
      </c>
    </row>
    <row r="724" customFormat="false" ht="14.25" hidden="false" customHeight="false" outlineLevel="0" collapsed="false">
      <c r="A724" s="10"/>
      <c r="B724" s="11" t="s">
        <v>68</v>
      </c>
      <c r="C724" s="2" t="s">
        <v>834</v>
      </c>
    </row>
    <row r="725" customFormat="false" ht="14.25" hidden="false" customHeight="false" outlineLevel="0" collapsed="false">
      <c r="A725" s="10" t="s">
        <v>71</v>
      </c>
      <c r="B725" s="4"/>
      <c r="C725" s="2" t="s">
        <v>72</v>
      </c>
      <c r="D725" s="1" t="s">
        <v>103</v>
      </c>
    </row>
    <row r="726" customFormat="false" ht="14.25" hidden="false" customHeight="false" outlineLevel="0" collapsed="false">
      <c r="A726" s="10" t="s">
        <v>74</v>
      </c>
      <c r="B726" s="11" t="s">
        <v>75</v>
      </c>
    </row>
    <row r="727" customFormat="false" ht="14.25" hidden="false" customHeight="false" outlineLevel="0" collapsed="false">
      <c r="A727" s="10"/>
      <c r="B727" s="11" t="s">
        <v>76</v>
      </c>
    </row>
    <row r="728" customFormat="false" ht="16.4" hidden="false" customHeight="false" outlineLevel="0" collapsed="false">
      <c r="A728" s="10"/>
      <c r="B728" s="11" t="s">
        <v>77</v>
      </c>
      <c r="C728" s="21" t="s">
        <v>835</v>
      </c>
    </row>
    <row r="729" customFormat="false" ht="14.25" hidden="false" customHeight="false" outlineLevel="0" collapsed="false">
      <c r="A729" s="17" t="s">
        <v>79</v>
      </c>
      <c r="B729" s="4"/>
      <c r="C729" s="64"/>
    </row>
    <row r="730" customFormat="false" ht="14.25" hidden="false" customHeight="false" outlineLevel="0" collapsed="false">
      <c r="A730" s="3"/>
      <c r="B730" s="4"/>
      <c r="C730" s="64"/>
    </row>
    <row r="731" customFormat="false" ht="14.25" hidden="false" customHeight="false" outlineLevel="0" collapsed="false">
      <c r="A731" s="22"/>
      <c r="B731" s="23"/>
      <c r="C731" s="18"/>
      <c r="D731" s="24"/>
    </row>
    <row r="732" customFormat="false" ht="14.25" hidden="false" customHeight="false" outlineLevel="0" collapsed="false">
      <c r="A732" s="10" t="s">
        <v>0</v>
      </c>
      <c r="B732" s="11" t="s">
        <v>1</v>
      </c>
      <c r="C732" s="20" t="s">
        <v>836</v>
      </c>
    </row>
    <row r="733" customFormat="false" ht="14.25" hidden="false" customHeight="false" outlineLevel="0" collapsed="false">
      <c r="A733" s="10"/>
      <c r="B733" s="11" t="s">
        <v>3</v>
      </c>
      <c r="C733" s="64" t="n">
        <v>2007</v>
      </c>
    </row>
    <row r="734" customFormat="false" ht="16.4" hidden="false" customHeight="false" outlineLevel="0" collapsed="false">
      <c r="A734" s="10"/>
      <c r="B734" s="11" t="s">
        <v>5</v>
      </c>
      <c r="C734" s="53" t="s">
        <v>837</v>
      </c>
    </row>
    <row r="735" customFormat="false" ht="14.25" hidden="false" customHeight="false" outlineLevel="0" collapsed="false">
      <c r="A735" s="10" t="s">
        <v>7</v>
      </c>
      <c r="B735" s="11" t="s">
        <v>8</v>
      </c>
      <c r="C735" s="64" t="s">
        <v>838</v>
      </c>
    </row>
    <row r="736" customFormat="false" ht="14.25" hidden="false" customHeight="false" outlineLevel="0" collapsed="false">
      <c r="A736" s="10"/>
      <c r="B736" s="11" t="s">
        <v>10</v>
      </c>
      <c r="C736" s="64" t="s">
        <v>84</v>
      </c>
    </row>
    <row r="737" customFormat="false" ht="14.25" hidden="false" customHeight="false" outlineLevel="0" collapsed="false">
      <c r="A737" s="10" t="s">
        <v>13</v>
      </c>
      <c r="B737" s="11" t="s">
        <v>14</v>
      </c>
      <c r="C737" s="64" t="n">
        <v>25</v>
      </c>
    </row>
    <row r="738" customFormat="false" ht="14.25" hidden="false" customHeight="false" outlineLevel="0" collapsed="false">
      <c r="A738" s="10"/>
      <c r="B738" s="11" t="s">
        <v>15</v>
      </c>
      <c r="C738" s="64" t="s">
        <v>839</v>
      </c>
    </row>
    <row r="739" customFormat="false" ht="14.25" hidden="false" customHeight="false" outlineLevel="0" collapsed="false">
      <c r="A739" s="10"/>
      <c r="B739" s="11" t="s">
        <v>17</v>
      </c>
      <c r="C739" s="77" t="s">
        <v>840</v>
      </c>
    </row>
    <row r="740" customFormat="false" ht="14.25" hidden="false" customHeight="false" outlineLevel="0" collapsed="false">
      <c r="A740" s="10"/>
      <c r="B740" s="11" t="s">
        <v>19</v>
      </c>
      <c r="C740" s="64" t="s">
        <v>841</v>
      </c>
    </row>
    <row r="741" customFormat="false" ht="14.25" hidden="false" customHeight="false" outlineLevel="0" collapsed="false">
      <c r="A741" s="10" t="s">
        <v>22</v>
      </c>
      <c r="B741" s="11" t="s">
        <v>23</v>
      </c>
      <c r="C741" s="64" t="n">
        <v>25</v>
      </c>
    </row>
    <row r="742" customFormat="false" ht="14.25" hidden="false" customHeight="false" outlineLevel="0" collapsed="false">
      <c r="A742" s="10"/>
      <c r="B742" s="11" t="s">
        <v>25</v>
      </c>
      <c r="C742" s="64" t="n">
        <v>1</v>
      </c>
    </row>
    <row r="743" customFormat="false" ht="14.25" hidden="false" customHeight="false" outlineLevel="0" collapsed="false">
      <c r="A743" s="10"/>
      <c r="B743" s="11" t="s">
        <v>27</v>
      </c>
      <c r="C743" s="2" t="s">
        <v>842</v>
      </c>
      <c r="D743" s="2" t="s">
        <v>843</v>
      </c>
      <c r="E743" s="2" t="s">
        <v>844</v>
      </c>
      <c r="F743" s="2" t="s">
        <v>845</v>
      </c>
      <c r="G743" s="2" t="s">
        <v>134</v>
      </c>
      <c r="H743" s="2" t="s">
        <v>135</v>
      </c>
      <c r="I743" s="2" t="s">
        <v>846</v>
      </c>
      <c r="J743" s="2" t="s">
        <v>847</v>
      </c>
      <c r="K743" s="2" t="s">
        <v>848</v>
      </c>
      <c r="L743" s="2" t="s">
        <v>58</v>
      </c>
      <c r="M743" s="2" t="s">
        <v>849</v>
      </c>
      <c r="N743" s="2" t="s">
        <v>850</v>
      </c>
      <c r="O743" s="2" t="s">
        <v>851</v>
      </c>
      <c r="P743" s="2" t="s">
        <v>852</v>
      </c>
      <c r="Q743" s="2" t="s">
        <v>853</v>
      </c>
      <c r="R743" s="2" t="s">
        <v>61</v>
      </c>
      <c r="S743" s="2" t="s">
        <v>62</v>
      </c>
    </row>
    <row r="744" customFormat="false" ht="14.25" hidden="false" customHeight="false" outlineLevel="0" collapsed="false">
      <c r="A744" s="10"/>
      <c r="B744" s="11" t="s">
        <v>64</v>
      </c>
      <c r="C744" s="2" t="n">
        <v>8</v>
      </c>
      <c r="D744" s="2" t="n">
        <v>8</v>
      </c>
      <c r="E744" s="2" t="n">
        <v>128</v>
      </c>
      <c r="F744" s="2" t="n">
        <v>128</v>
      </c>
      <c r="G744" s="2" t="n">
        <v>128</v>
      </c>
      <c r="H744" s="2" t="n">
        <v>64</v>
      </c>
      <c r="I744" s="2" t="n">
        <v>8</v>
      </c>
      <c r="J744" s="2" t="n">
        <v>64</v>
      </c>
      <c r="K744" s="2" t="n">
        <v>64</v>
      </c>
      <c r="L744" s="2" t="n">
        <v>8</v>
      </c>
      <c r="M744" s="2" t="n">
        <v>8</v>
      </c>
      <c r="N744" s="2" t="n">
        <v>64</v>
      </c>
      <c r="O744" s="2" t="n">
        <v>64</v>
      </c>
      <c r="P744" s="2" t="n">
        <v>8</v>
      </c>
      <c r="Q744" s="2" t="n">
        <v>8</v>
      </c>
      <c r="R744" s="2" t="n">
        <v>8</v>
      </c>
      <c r="S744" s="2" t="n">
        <v>8</v>
      </c>
    </row>
    <row r="745" customFormat="false" ht="14.25" hidden="false" customHeight="false" outlineLevel="0" collapsed="false">
      <c r="A745" s="10" t="s">
        <v>65</v>
      </c>
      <c r="B745" s="11" t="s">
        <v>66</v>
      </c>
      <c r="C745" s="64" t="s">
        <v>114</v>
      </c>
    </row>
    <row r="746" customFormat="false" ht="14.25" hidden="false" customHeight="false" outlineLevel="0" collapsed="false">
      <c r="A746" s="10"/>
      <c r="B746" s="11" t="s">
        <v>68</v>
      </c>
      <c r="C746" s="64" t="s">
        <v>854</v>
      </c>
    </row>
    <row r="747" customFormat="false" ht="14.25" hidden="false" customHeight="false" outlineLevel="0" collapsed="false">
      <c r="A747" s="10" t="s">
        <v>71</v>
      </c>
      <c r="B747" s="4"/>
      <c r="C747" s="64" t="s">
        <v>72</v>
      </c>
      <c r="D747" s="1" t="s">
        <v>513</v>
      </c>
    </row>
    <row r="748" customFormat="false" ht="14.25" hidden="false" customHeight="false" outlineLevel="0" collapsed="false">
      <c r="A748" s="10" t="s">
        <v>74</v>
      </c>
      <c r="B748" s="11" t="s">
        <v>75</v>
      </c>
      <c r="C748" s="64"/>
    </row>
    <row r="749" customFormat="false" ht="14.25" hidden="false" customHeight="false" outlineLevel="0" collapsed="false">
      <c r="A749" s="10"/>
      <c r="B749" s="11" t="s">
        <v>76</v>
      </c>
      <c r="C749" s="64"/>
    </row>
    <row r="750" customFormat="false" ht="16.4" hidden="false" customHeight="false" outlineLevel="0" collapsed="false">
      <c r="A750" s="10"/>
      <c r="B750" s="11" t="s">
        <v>77</v>
      </c>
      <c r="C750" s="21" t="s">
        <v>855</v>
      </c>
    </row>
    <row r="751" customFormat="false" ht="14.25" hidden="false" customHeight="false" outlineLevel="0" collapsed="false">
      <c r="A751" s="17" t="s">
        <v>79</v>
      </c>
      <c r="B751" s="4"/>
      <c r="C751" s="64"/>
    </row>
    <row r="752" customFormat="false" ht="14.25" hidden="false" customHeight="false" outlineLevel="0" collapsed="false">
      <c r="A752" s="3"/>
      <c r="B752" s="4"/>
      <c r="C752" s="64"/>
    </row>
    <row r="753" customFormat="false" ht="14.25" hidden="false" customHeight="false" outlineLevel="0" collapsed="false">
      <c r="A753" s="22"/>
      <c r="B753" s="23"/>
      <c r="C753" s="18"/>
      <c r="D753" s="24"/>
    </row>
    <row r="754" customFormat="false" ht="14.25" hidden="false" customHeight="false" outlineLevel="0" collapsed="false">
      <c r="A754" s="10" t="s">
        <v>0</v>
      </c>
      <c r="B754" s="11" t="s">
        <v>1</v>
      </c>
      <c r="C754" s="20" t="s">
        <v>856</v>
      </c>
    </row>
    <row r="755" customFormat="false" ht="14.25" hidden="false" customHeight="false" outlineLevel="0" collapsed="false">
      <c r="A755" s="10"/>
      <c r="B755" s="11" t="s">
        <v>3</v>
      </c>
      <c r="C755" s="2" t="s">
        <v>857</v>
      </c>
    </row>
    <row r="756" customFormat="false" ht="16.4" hidden="false" customHeight="false" outlineLevel="0" collapsed="false">
      <c r="A756" s="10"/>
      <c r="B756" s="11" t="s">
        <v>5</v>
      </c>
      <c r="C756" s="14" t="s">
        <v>858</v>
      </c>
    </row>
    <row r="757" customFormat="false" ht="14.25" hidden="false" customHeight="false" outlineLevel="0" collapsed="false">
      <c r="A757" s="10" t="s">
        <v>7</v>
      </c>
      <c r="B757" s="11" t="s">
        <v>8</v>
      </c>
      <c r="C757" s="2" t="s">
        <v>859</v>
      </c>
    </row>
    <row r="758" customFormat="false" ht="14.25" hidden="false" customHeight="false" outlineLevel="0" collapsed="false">
      <c r="A758" s="10"/>
      <c r="B758" s="11" t="s">
        <v>10</v>
      </c>
      <c r="C758" s="2" t="s">
        <v>84</v>
      </c>
    </row>
    <row r="759" customFormat="false" ht="14.25" hidden="false" customHeight="false" outlineLevel="0" collapsed="false">
      <c r="A759" s="10" t="s">
        <v>13</v>
      </c>
      <c r="B759" s="11" t="s">
        <v>14</v>
      </c>
      <c r="C759" s="2" t="n">
        <v>1123</v>
      </c>
    </row>
    <row r="760" customFormat="false" ht="14.25" hidden="false" customHeight="false" outlineLevel="0" collapsed="false">
      <c r="A760" s="10"/>
      <c r="B760" s="11" t="s">
        <v>15</v>
      </c>
      <c r="C760" s="2" t="s">
        <v>860</v>
      </c>
      <c r="BD760" s="49"/>
    </row>
    <row r="761" customFormat="false" ht="14.25" hidden="false" customHeight="false" outlineLevel="0" collapsed="false">
      <c r="A761" s="10"/>
      <c r="B761" s="11" t="s">
        <v>17</v>
      </c>
      <c r="C761" s="2" t="s">
        <v>861</v>
      </c>
    </row>
    <row r="762" customFormat="false" ht="14.25" hidden="false" customHeight="false" outlineLevel="0" collapsed="false">
      <c r="A762" s="10"/>
      <c r="B762" s="11" t="s">
        <v>19</v>
      </c>
      <c r="C762" s="2" t="s">
        <v>862</v>
      </c>
    </row>
    <row r="763" customFormat="false" ht="14.25" hidden="false" customHeight="false" outlineLevel="0" collapsed="false">
      <c r="A763" s="10" t="s">
        <v>22</v>
      </c>
      <c r="B763" s="11" t="s">
        <v>23</v>
      </c>
      <c r="C763" s="2" t="n">
        <v>2570</v>
      </c>
    </row>
    <row r="764" customFormat="false" ht="14.25" hidden="false" customHeight="false" outlineLevel="0" collapsed="false">
      <c r="A764" s="10"/>
      <c r="B764" s="11" t="s">
        <v>25</v>
      </c>
      <c r="C764" s="2" t="s">
        <v>863</v>
      </c>
    </row>
    <row r="765" customFormat="false" ht="16.4" hidden="false" customHeight="false" outlineLevel="0" collapsed="false">
      <c r="A765" s="10"/>
      <c r="B765" s="11" t="s">
        <v>27</v>
      </c>
      <c r="C765" s="78" t="s">
        <v>131</v>
      </c>
      <c r="D765" s="78" t="s">
        <v>864</v>
      </c>
      <c r="E765" s="78" t="s">
        <v>865</v>
      </c>
      <c r="F765" s="78" t="s">
        <v>132</v>
      </c>
      <c r="G765" s="78" t="s">
        <v>866</v>
      </c>
      <c r="H765" s="78" t="s">
        <v>133</v>
      </c>
      <c r="I765" s="78" t="s">
        <v>867</v>
      </c>
      <c r="J765" s="78" t="s">
        <v>868</v>
      </c>
      <c r="K765" s="78" t="s">
        <v>869</v>
      </c>
      <c r="L765" s="78" t="s">
        <v>870</v>
      </c>
      <c r="M765" s="78" t="s">
        <v>871</v>
      </c>
      <c r="N765" s="78" t="s">
        <v>872</v>
      </c>
      <c r="O765" s="78" t="s">
        <v>873</v>
      </c>
      <c r="P765" s="78" t="s">
        <v>666</v>
      </c>
      <c r="Q765" s="78" t="s">
        <v>667</v>
      </c>
      <c r="R765" s="78" t="s">
        <v>134</v>
      </c>
      <c r="S765" s="78" t="s">
        <v>874</v>
      </c>
      <c r="T765" s="78" t="s">
        <v>875</v>
      </c>
      <c r="U765" s="78" t="s">
        <v>653</v>
      </c>
      <c r="V765" s="78" t="s">
        <v>876</v>
      </c>
      <c r="W765" s="78" t="s">
        <v>464</v>
      </c>
      <c r="X765" s="78" t="s">
        <v>877</v>
      </c>
      <c r="Y765" s="78" t="s">
        <v>878</v>
      </c>
      <c r="Z765" s="78" t="s">
        <v>879</v>
      </c>
      <c r="AA765" s="78" t="s">
        <v>880</v>
      </c>
      <c r="AB765" s="78" t="s">
        <v>881</v>
      </c>
      <c r="AC765" s="78" t="s">
        <v>882</v>
      </c>
      <c r="AD765" s="78" t="s">
        <v>883</v>
      </c>
      <c r="AE765" s="78" t="s">
        <v>884</v>
      </c>
      <c r="AF765" s="78" t="s">
        <v>885</v>
      </c>
      <c r="AG765" s="78" t="s">
        <v>886</v>
      </c>
      <c r="AH765" s="78" t="s">
        <v>887</v>
      </c>
      <c r="AI765" s="78" t="s">
        <v>139</v>
      </c>
      <c r="AJ765" s="78" t="s">
        <v>140</v>
      </c>
      <c r="AK765" s="78" t="s">
        <v>888</v>
      </c>
      <c r="AL765" s="78" t="s">
        <v>889</v>
      </c>
      <c r="AM765" s="78" t="s">
        <v>890</v>
      </c>
      <c r="AN765" s="78" t="s">
        <v>891</v>
      </c>
      <c r="AO765" s="78" t="s">
        <v>892</v>
      </c>
      <c r="AP765" s="78" t="s">
        <v>893</v>
      </c>
      <c r="AQ765" s="78" t="s">
        <v>894</v>
      </c>
      <c r="AR765" s="78" t="s">
        <v>895</v>
      </c>
      <c r="AS765" s="78" t="s">
        <v>896</v>
      </c>
      <c r="AT765" s="78" t="s">
        <v>897</v>
      </c>
      <c r="AU765" s="78" t="s">
        <v>143</v>
      </c>
      <c r="AV765" s="78" t="s">
        <v>898</v>
      </c>
      <c r="AW765" s="78" t="s">
        <v>899</v>
      </c>
      <c r="AX765" s="78" t="s">
        <v>145</v>
      </c>
      <c r="AY765" s="49"/>
    </row>
    <row r="766" customFormat="false" ht="14.25" hidden="false" customHeight="false" outlineLevel="0" collapsed="false">
      <c r="A766" s="10"/>
      <c r="B766" s="11" t="s">
        <v>64</v>
      </c>
      <c r="C766" s="2" t="s">
        <v>900</v>
      </c>
      <c r="D766" s="2" t="n">
        <v>200</v>
      </c>
      <c r="E766" s="2" t="n">
        <v>200</v>
      </c>
      <c r="F766" s="2" t="s">
        <v>900</v>
      </c>
      <c r="G766" s="2" t="n">
        <v>200</v>
      </c>
      <c r="H766" s="2" t="s">
        <v>901</v>
      </c>
      <c r="I766" s="2" t="n">
        <v>200</v>
      </c>
      <c r="J766" s="2" t="n">
        <v>200</v>
      </c>
      <c r="K766" s="2" t="n">
        <v>200</v>
      </c>
      <c r="L766" s="2" t="s">
        <v>902</v>
      </c>
      <c r="M766" s="2" t="n">
        <v>200</v>
      </c>
      <c r="N766" s="2" t="n">
        <v>200</v>
      </c>
      <c r="O766" s="2" t="n">
        <v>200</v>
      </c>
      <c r="P766" s="2" t="s">
        <v>900</v>
      </c>
      <c r="Q766" s="2" t="s">
        <v>900</v>
      </c>
      <c r="R766" s="2" t="s">
        <v>900</v>
      </c>
      <c r="S766" s="2" t="n">
        <v>200</v>
      </c>
      <c r="T766" s="2" t="n">
        <v>200</v>
      </c>
      <c r="U766" s="2" t="s">
        <v>901</v>
      </c>
      <c r="V766" s="2" t="n">
        <v>200</v>
      </c>
      <c r="W766" s="2" t="n">
        <v>200</v>
      </c>
      <c r="X766" s="2" t="n">
        <v>200</v>
      </c>
      <c r="Y766" s="2" t="s">
        <v>901</v>
      </c>
      <c r="Z766" s="2" t="n">
        <v>200</v>
      </c>
      <c r="AA766" s="2" t="n">
        <v>200</v>
      </c>
      <c r="AB766" s="2" t="n">
        <v>200</v>
      </c>
      <c r="AC766" s="2" t="s">
        <v>900</v>
      </c>
      <c r="AD766" s="2" t="n">
        <v>200</v>
      </c>
      <c r="AE766" s="2" t="s">
        <v>900</v>
      </c>
      <c r="AF766" s="2" t="s">
        <v>900</v>
      </c>
      <c r="AG766" s="2" t="n">
        <v>200</v>
      </c>
      <c r="AH766" s="2" t="n">
        <v>200</v>
      </c>
      <c r="AI766" s="2" t="s">
        <v>900</v>
      </c>
      <c r="AJ766" s="2" t="n">
        <v>200</v>
      </c>
      <c r="AK766" s="2" t="n">
        <v>200</v>
      </c>
      <c r="AL766" s="2" t="s">
        <v>900</v>
      </c>
      <c r="AM766" s="2" t="n">
        <v>200</v>
      </c>
      <c r="AN766" s="2" t="n">
        <v>200</v>
      </c>
      <c r="AO766" s="2" t="s">
        <v>900</v>
      </c>
      <c r="AP766" s="2" t="n">
        <v>200</v>
      </c>
      <c r="AQ766" s="2" t="n">
        <v>200</v>
      </c>
      <c r="AR766" s="2" t="n">
        <v>200</v>
      </c>
      <c r="AS766" s="2" t="n">
        <v>200</v>
      </c>
      <c r="AT766" s="2" t="n">
        <v>200</v>
      </c>
      <c r="AU766" s="2" t="s">
        <v>900</v>
      </c>
      <c r="AV766" s="2" t="s">
        <v>900</v>
      </c>
      <c r="AW766" s="2" t="s">
        <v>900</v>
      </c>
      <c r="AX766" s="2" t="s">
        <v>900</v>
      </c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</row>
    <row r="767" customFormat="false" ht="14.25" hidden="false" customHeight="false" outlineLevel="0" collapsed="false">
      <c r="A767" s="10" t="s">
        <v>65</v>
      </c>
      <c r="B767" s="11" t="s">
        <v>66</v>
      </c>
      <c r="C767" s="2" t="s">
        <v>114</v>
      </c>
    </row>
    <row r="768" customFormat="false" ht="14.25" hidden="false" customHeight="false" outlineLevel="0" collapsed="false">
      <c r="A768" s="10"/>
      <c r="B768" s="11" t="s">
        <v>68</v>
      </c>
      <c r="C768" s="2" t="s">
        <v>84</v>
      </c>
    </row>
    <row r="769" customFormat="false" ht="14.25" hidden="false" customHeight="false" outlineLevel="0" collapsed="false">
      <c r="A769" s="10" t="s">
        <v>71</v>
      </c>
      <c r="B769" s="4"/>
      <c r="C769" s="2" t="s">
        <v>72</v>
      </c>
      <c r="D769" s="1" t="s">
        <v>89</v>
      </c>
      <c r="G769" s="42"/>
    </row>
    <row r="770" customFormat="false" ht="14.25" hidden="false" customHeight="false" outlineLevel="0" collapsed="false">
      <c r="A770" s="10" t="s">
        <v>74</v>
      </c>
      <c r="B770" s="11" t="s">
        <v>75</v>
      </c>
    </row>
    <row r="771" customFormat="false" ht="14.25" hidden="false" customHeight="false" outlineLevel="0" collapsed="false">
      <c r="A771" s="10"/>
      <c r="B771" s="11" t="s">
        <v>76</v>
      </c>
    </row>
    <row r="772" customFormat="false" ht="16.4" hidden="false" customHeight="false" outlineLevel="0" collapsed="false">
      <c r="A772" s="10"/>
      <c r="B772" s="11" t="s">
        <v>77</v>
      </c>
      <c r="C772" s="21" t="s">
        <v>903</v>
      </c>
    </row>
    <row r="773" customFormat="false" ht="14.25" hidden="false" customHeight="false" outlineLevel="0" collapsed="false">
      <c r="A773" s="17" t="s">
        <v>79</v>
      </c>
      <c r="B773" s="4"/>
    </row>
    <row r="774" customFormat="false" ht="14.25" hidden="false" customHeight="false" outlineLevel="0" collapsed="false">
      <c r="A774" s="3"/>
      <c r="B774" s="4"/>
    </row>
    <row r="775" customFormat="false" ht="14.25" hidden="false" customHeight="false" outlineLevel="0" collapsed="false">
      <c r="A775" s="22"/>
      <c r="B775" s="23"/>
      <c r="C775" s="18"/>
      <c r="D775" s="24"/>
    </row>
    <row r="776" customFormat="false" ht="14.25" hidden="false" customHeight="false" outlineLevel="0" collapsed="false">
      <c r="A776" s="10"/>
      <c r="B776" s="40"/>
    </row>
    <row r="777" customFormat="false" ht="14.25" hidden="false" customHeight="false" outlineLevel="0" collapsed="false">
      <c r="A777" s="10"/>
      <c r="B777" s="11"/>
    </row>
    <row r="778" customFormat="false" ht="14.25" hidden="false" customHeight="false" outlineLevel="0" collapsed="false">
      <c r="A778" s="10"/>
      <c r="B778" s="11"/>
    </row>
    <row r="779" customFormat="false" ht="14.25" hidden="false" customHeight="false" outlineLevel="0" collapsed="false">
      <c r="A779" s="10"/>
      <c r="B779" s="11"/>
    </row>
    <row r="780" customFormat="false" ht="14.25" hidden="false" customHeight="false" outlineLevel="0" collapsed="false">
      <c r="A780" s="10"/>
      <c r="B780" s="11"/>
    </row>
    <row r="781" customFormat="false" ht="14.25" hidden="false" customHeight="false" outlineLevel="0" collapsed="false">
      <c r="A781" s="10"/>
      <c r="B781" s="11"/>
    </row>
    <row r="782" customFormat="false" ht="14.25" hidden="false" customHeight="false" outlineLevel="0" collapsed="false">
      <c r="A782" s="10"/>
      <c r="B782" s="11"/>
    </row>
    <row r="783" customFormat="false" ht="14.25" hidden="false" customHeight="false" outlineLevel="0" collapsed="false">
      <c r="A783" s="10"/>
      <c r="B783" s="11"/>
    </row>
    <row r="784" customFormat="false" ht="14.25" hidden="false" customHeight="false" outlineLevel="0" collapsed="false">
      <c r="A784" s="10"/>
      <c r="B784" s="11"/>
    </row>
    <row r="785" customFormat="false" ht="14.25" hidden="false" customHeight="false" outlineLevel="0" collapsed="false">
      <c r="A785" s="10"/>
      <c r="B785" s="11"/>
    </row>
    <row r="786" customFormat="false" ht="14.25" hidden="false" customHeight="false" outlineLevel="0" collapsed="false">
      <c r="A786" s="10"/>
      <c r="B786" s="11"/>
    </row>
    <row r="787" customFormat="false" ht="14.25" hidden="false" customHeight="false" outlineLevel="0" collapsed="false">
      <c r="A787" s="10"/>
      <c r="B787" s="11"/>
    </row>
    <row r="788" customFormat="false" ht="14.25" hidden="false" customHeight="false" outlineLevel="0" collapsed="false">
      <c r="A788" s="10"/>
      <c r="B788" s="11"/>
    </row>
    <row r="789" customFormat="false" ht="14.25" hidden="false" customHeight="false" outlineLevel="0" collapsed="false">
      <c r="A789" s="10"/>
      <c r="B789" s="11"/>
    </row>
    <row r="790" customFormat="false" ht="14.25" hidden="false" customHeight="false" outlineLevel="0" collapsed="false">
      <c r="A790" s="10"/>
      <c r="B790" s="11"/>
    </row>
    <row r="791" customFormat="false" ht="14.25" hidden="false" customHeight="false" outlineLevel="0" collapsed="false">
      <c r="A791" s="10"/>
      <c r="B791" s="4"/>
    </row>
    <row r="792" customFormat="false" ht="14.25" hidden="false" customHeight="false" outlineLevel="0" collapsed="false">
      <c r="A792" s="10"/>
      <c r="B792" s="11"/>
    </row>
    <row r="793" customFormat="false" ht="14.25" hidden="false" customHeight="false" outlineLevel="0" collapsed="false">
      <c r="A793" s="10"/>
      <c r="B793" s="11"/>
    </row>
    <row r="794" customFormat="false" ht="14.25" hidden="false" customHeight="false" outlineLevel="0" collapsed="false">
      <c r="A794" s="10"/>
      <c r="B794" s="11"/>
    </row>
    <row r="795" customFormat="false" ht="14.25" hidden="false" customHeight="false" outlineLevel="0" collapsed="false">
      <c r="A795" s="17"/>
      <c r="B795" s="4"/>
    </row>
    <row r="796" customFormat="false" ht="14.25" hidden="false" customHeight="false" outlineLevel="0" collapsed="false">
      <c r="A796" s="3"/>
      <c r="B796" s="4"/>
    </row>
    <row r="797" customFormat="false" ht="14.25" hidden="false" customHeight="false" outlineLevel="0" collapsed="false">
      <c r="A797" s="3"/>
      <c r="B797" s="4"/>
      <c r="J797" s="49"/>
    </row>
    <row r="798" customFormat="false" ht="14.25" hidden="false" customHeight="false" outlineLevel="0" collapsed="false">
      <c r="A798" s="60"/>
      <c r="B798" s="9"/>
    </row>
    <row r="799" customFormat="false" ht="14.25" hidden="false" customHeight="false" outlineLevel="0" collapsed="false">
      <c r="A799" s="60"/>
      <c r="B799" s="9"/>
    </row>
    <row r="800" customFormat="false" ht="14.25" hidden="false" customHeight="false" outlineLevel="0" collapsed="false">
      <c r="A800" s="60"/>
      <c r="B800" s="9"/>
    </row>
    <row r="801" customFormat="false" ht="14.25" hidden="false" customHeight="false" outlineLevel="0" collapsed="false">
      <c r="A801" s="60"/>
      <c r="B801" s="9"/>
    </row>
    <row r="802" customFormat="false" ht="14.25" hidden="false" customHeight="false" outlineLevel="0" collapsed="false">
      <c r="A802" s="60"/>
      <c r="B802" s="9"/>
    </row>
    <row r="803" customFormat="false" ht="14.25" hidden="false" customHeight="false" outlineLevel="0" collapsed="false">
      <c r="A803" s="60"/>
      <c r="B803" s="9"/>
    </row>
    <row r="804" customFormat="false" ht="14.25" hidden="false" customHeight="false" outlineLevel="0" collapsed="false">
      <c r="A804" s="60"/>
      <c r="B804" s="9"/>
    </row>
    <row r="805" customFormat="false" ht="14.25" hidden="false" customHeight="false" outlineLevel="0" collapsed="false">
      <c r="A805" s="60"/>
      <c r="B805" s="9"/>
    </row>
    <row r="806" customFormat="false" ht="14.25" hidden="false" customHeight="false" outlineLevel="0" collapsed="false">
      <c r="A806" s="60"/>
      <c r="B806" s="9"/>
    </row>
    <row r="807" customFormat="false" ht="14.25" hidden="false" customHeight="false" outlineLevel="0" collapsed="false">
      <c r="A807" s="60"/>
      <c r="B807" s="9"/>
    </row>
    <row r="808" customFormat="false" ht="14.25" hidden="false" customHeight="false" outlineLevel="0" collapsed="false">
      <c r="A808" s="60"/>
      <c r="B808" s="9"/>
    </row>
    <row r="809" customFormat="false" ht="14.25" hidden="false" customHeight="false" outlineLevel="0" collapsed="false">
      <c r="A809" s="60"/>
      <c r="B809" s="9"/>
    </row>
    <row r="810" customFormat="false" ht="14.25" hidden="false" customHeight="false" outlineLevel="0" collapsed="false">
      <c r="A810" s="60"/>
      <c r="B810" s="9"/>
    </row>
    <row r="811" customFormat="false" ht="14.25" hidden="false" customHeight="false" outlineLevel="0" collapsed="false">
      <c r="A811" s="60"/>
      <c r="B811" s="9"/>
    </row>
    <row r="812" customFormat="false" ht="14.25" hidden="false" customHeight="false" outlineLevel="0" collapsed="false">
      <c r="A812" s="60"/>
      <c r="B812" s="9"/>
    </row>
    <row r="813" customFormat="false" ht="14.25" hidden="false" customHeight="false" outlineLevel="0" collapsed="false">
      <c r="A813" s="60"/>
    </row>
    <row r="814" customFormat="false" ht="14.25" hidden="false" customHeight="false" outlineLevel="0" collapsed="false">
      <c r="A814" s="60"/>
      <c r="B814" s="9"/>
    </row>
    <row r="815" customFormat="false" ht="14.25" hidden="false" customHeight="false" outlineLevel="0" collapsed="false">
      <c r="A815" s="60"/>
      <c r="B815" s="9"/>
    </row>
    <row r="816" customFormat="false" ht="14.25" hidden="false" customHeight="false" outlineLevel="0" collapsed="false">
      <c r="A816" s="60"/>
      <c r="B816" s="9"/>
    </row>
    <row r="820" customFormat="false" ht="14.25" hidden="false" customHeight="false" outlineLevel="0" collapsed="false">
      <c r="A820" s="60"/>
      <c r="B820" s="9"/>
    </row>
    <row r="821" customFormat="false" ht="14.25" hidden="false" customHeight="false" outlineLevel="0" collapsed="false">
      <c r="A821" s="60"/>
      <c r="B821" s="9"/>
    </row>
    <row r="822" customFormat="false" ht="14.25" hidden="false" customHeight="false" outlineLevel="0" collapsed="false">
      <c r="A822" s="60"/>
      <c r="B822" s="9"/>
    </row>
    <row r="823" customFormat="false" ht="14.25" hidden="false" customHeight="false" outlineLevel="0" collapsed="false">
      <c r="A823" s="60"/>
      <c r="B823" s="9"/>
    </row>
    <row r="824" customFormat="false" ht="14.25" hidden="false" customHeight="false" outlineLevel="0" collapsed="false">
      <c r="A824" s="60"/>
      <c r="B824" s="9"/>
    </row>
    <row r="825" customFormat="false" ht="14.25" hidden="false" customHeight="false" outlineLevel="0" collapsed="false">
      <c r="A825" s="60"/>
      <c r="B825" s="9"/>
    </row>
    <row r="826" customFormat="false" ht="14.25" hidden="false" customHeight="false" outlineLevel="0" collapsed="false">
      <c r="A826" s="60"/>
      <c r="B826" s="9"/>
    </row>
    <row r="827" customFormat="false" ht="14.25" hidden="false" customHeight="false" outlineLevel="0" collapsed="false">
      <c r="A827" s="60"/>
      <c r="B827" s="9"/>
    </row>
    <row r="828" customFormat="false" ht="14.25" hidden="false" customHeight="false" outlineLevel="0" collapsed="false">
      <c r="A828" s="60"/>
      <c r="B828" s="9"/>
    </row>
    <row r="829" customFormat="false" ht="14.25" hidden="false" customHeight="false" outlineLevel="0" collapsed="false">
      <c r="A829" s="60"/>
      <c r="B829" s="9"/>
    </row>
    <row r="830" customFormat="false" ht="14.25" hidden="false" customHeight="false" outlineLevel="0" collapsed="false">
      <c r="A830" s="60"/>
      <c r="B830" s="9"/>
    </row>
    <row r="831" customFormat="false" ht="14.25" hidden="false" customHeight="false" outlineLevel="0" collapsed="false">
      <c r="A831" s="60"/>
      <c r="B831" s="9"/>
    </row>
    <row r="832" customFormat="false" ht="14.25" hidden="false" customHeight="false" outlineLevel="0" collapsed="false">
      <c r="A832" s="60"/>
      <c r="B832" s="9"/>
    </row>
    <row r="833" customFormat="false" ht="14.25" hidden="false" customHeight="false" outlineLevel="0" collapsed="false">
      <c r="A833" s="60"/>
      <c r="B833" s="9"/>
    </row>
    <row r="834" customFormat="false" ht="14.25" hidden="false" customHeight="false" outlineLevel="0" collapsed="false">
      <c r="A834" s="60"/>
      <c r="B834" s="9"/>
    </row>
    <row r="835" customFormat="false" ht="14.25" hidden="false" customHeight="false" outlineLevel="0" collapsed="false">
      <c r="A835" s="60"/>
    </row>
    <row r="836" customFormat="false" ht="14.25" hidden="false" customHeight="false" outlineLevel="0" collapsed="false">
      <c r="A836" s="60"/>
      <c r="B836" s="9"/>
    </row>
    <row r="837" customFormat="false" ht="14.25" hidden="false" customHeight="false" outlineLevel="0" collapsed="false">
      <c r="A837" s="60"/>
      <c r="B837" s="9"/>
    </row>
    <row r="838" customFormat="false" ht="14.25" hidden="false" customHeight="false" outlineLevel="0" collapsed="false">
      <c r="A838" s="60"/>
      <c r="B838" s="9"/>
    </row>
    <row r="842" customFormat="false" ht="14.25" hidden="false" customHeight="false" outlineLevel="0" collapsed="false">
      <c r="A842" s="60"/>
      <c r="B842" s="9"/>
    </row>
    <row r="843" customFormat="false" ht="14.25" hidden="false" customHeight="false" outlineLevel="0" collapsed="false">
      <c r="A843" s="60"/>
      <c r="B843" s="9"/>
    </row>
    <row r="844" customFormat="false" ht="14.25" hidden="false" customHeight="false" outlineLevel="0" collapsed="false">
      <c r="A844" s="60"/>
      <c r="B844" s="9"/>
    </row>
    <row r="845" customFormat="false" ht="14.25" hidden="false" customHeight="false" outlineLevel="0" collapsed="false">
      <c r="A845" s="60"/>
      <c r="B845" s="9"/>
    </row>
    <row r="846" customFormat="false" ht="14.25" hidden="false" customHeight="false" outlineLevel="0" collapsed="false">
      <c r="A846" s="60"/>
      <c r="B846" s="9"/>
    </row>
    <row r="847" customFormat="false" ht="14.25" hidden="false" customHeight="false" outlineLevel="0" collapsed="false">
      <c r="A847" s="60"/>
      <c r="B847" s="9"/>
    </row>
    <row r="848" customFormat="false" ht="14.25" hidden="false" customHeight="false" outlineLevel="0" collapsed="false">
      <c r="A848" s="60"/>
      <c r="B848" s="9"/>
    </row>
    <row r="849" customFormat="false" ht="14.25" hidden="false" customHeight="false" outlineLevel="0" collapsed="false">
      <c r="A849" s="60"/>
      <c r="B849" s="9"/>
    </row>
    <row r="850" customFormat="false" ht="14.25" hidden="false" customHeight="false" outlineLevel="0" collapsed="false">
      <c r="A850" s="60"/>
      <c r="B850" s="9"/>
    </row>
    <row r="851" customFormat="false" ht="14.25" hidden="false" customHeight="false" outlineLevel="0" collapsed="false">
      <c r="A851" s="60"/>
      <c r="B851" s="9"/>
    </row>
    <row r="852" customFormat="false" ht="14.25" hidden="false" customHeight="false" outlineLevel="0" collapsed="false">
      <c r="A852" s="60"/>
      <c r="B852" s="9"/>
    </row>
    <row r="853" customFormat="false" ht="14.25" hidden="false" customHeight="false" outlineLevel="0" collapsed="false">
      <c r="A853" s="60"/>
      <c r="B853" s="9"/>
    </row>
    <row r="854" customFormat="false" ht="14.25" hidden="false" customHeight="false" outlineLevel="0" collapsed="false">
      <c r="A854" s="60"/>
      <c r="B854" s="9"/>
    </row>
    <row r="855" customFormat="false" ht="14.25" hidden="false" customHeight="false" outlineLevel="0" collapsed="false">
      <c r="A855" s="60"/>
      <c r="B855" s="9"/>
    </row>
    <row r="856" customFormat="false" ht="14.25" hidden="false" customHeight="false" outlineLevel="0" collapsed="false">
      <c r="A856" s="60"/>
      <c r="B856" s="9"/>
    </row>
    <row r="857" customFormat="false" ht="14.25" hidden="false" customHeight="false" outlineLevel="0" collapsed="false">
      <c r="A857" s="60"/>
    </row>
    <row r="858" customFormat="false" ht="14.25" hidden="false" customHeight="false" outlineLevel="0" collapsed="false">
      <c r="A858" s="60"/>
      <c r="B858" s="9"/>
    </row>
    <row r="859" customFormat="false" ht="14.25" hidden="false" customHeight="false" outlineLevel="0" collapsed="false">
      <c r="A859" s="60"/>
      <c r="B859" s="9"/>
    </row>
    <row r="860" customFormat="false" ht="14.25" hidden="false" customHeight="false" outlineLevel="0" collapsed="false">
      <c r="A860" s="60"/>
      <c r="B860" s="9"/>
    </row>
    <row r="864" customFormat="false" ht="14.25" hidden="false" customHeight="false" outlineLevel="0" collapsed="false">
      <c r="A864" s="60"/>
      <c r="B864" s="9"/>
    </row>
    <row r="865" customFormat="false" ht="14.25" hidden="false" customHeight="false" outlineLevel="0" collapsed="false">
      <c r="A865" s="60"/>
      <c r="B865" s="9"/>
    </row>
    <row r="866" customFormat="false" ht="14.25" hidden="false" customHeight="false" outlineLevel="0" collapsed="false">
      <c r="A866" s="60"/>
      <c r="B866" s="9"/>
    </row>
    <row r="867" customFormat="false" ht="14.25" hidden="false" customHeight="false" outlineLevel="0" collapsed="false">
      <c r="A867" s="60"/>
      <c r="B867" s="9"/>
    </row>
    <row r="868" customFormat="false" ht="14.25" hidden="false" customHeight="false" outlineLevel="0" collapsed="false">
      <c r="A868" s="60"/>
      <c r="B868" s="9"/>
    </row>
    <row r="869" customFormat="false" ht="14.25" hidden="false" customHeight="false" outlineLevel="0" collapsed="false">
      <c r="A869" s="60"/>
      <c r="B869" s="9"/>
    </row>
    <row r="870" customFormat="false" ht="14.25" hidden="false" customHeight="false" outlineLevel="0" collapsed="false">
      <c r="A870" s="60"/>
      <c r="B870" s="9"/>
    </row>
    <row r="871" customFormat="false" ht="14.25" hidden="false" customHeight="false" outlineLevel="0" collapsed="false">
      <c r="A871" s="60"/>
      <c r="B871" s="9"/>
    </row>
    <row r="872" customFormat="false" ht="14.25" hidden="false" customHeight="false" outlineLevel="0" collapsed="false">
      <c r="A872" s="60"/>
      <c r="B872" s="9"/>
    </row>
    <row r="873" customFormat="false" ht="14.25" hidden="false" customHeight="false" outlineLevel="0" collapsed="false">
      <c r="A873" s="60"/>
      <c r="B873" s="9"/>
    </row>
    <row r="874" customFormat="false" ht="14.25" hidden="false" customHeight="false" outlineLevel="0" collapsed="false">
      <c r="A874" s="60"/>
      <c r="B874" s="9"/>
    </row>
    <row r="875" customFormat="false" ht="14.25" hidden="false" customHeight="false" outlineLevel="0" collapsed="false">
      <c r="A875" s="60"/>
      <c r="B875" s="9"/>
    </row>
    <row r="876" customFormat="false" ht="14.25" hidden="false" customHeight="false" outlineLevel="0" collapsed="false">
      <c r="A876" s="60"/>
      <c r="B876" s="9"/>
    </row>
    <row r="877" customFormat="false" ht="14.25" hidden="false" customHeight="false" outlineLevel="0" collapsed="false">
      <c r="A877" s="60"/>
      <c r="B877" s="9"/>
    </row>
    <row r="878" customFormat="false" ht="14.25" hidden="false" customHeight="false" outlineLevel="0" collapsed="false">
      <c r="A878" s="60"/>
      <c r="B878" s="9"/>
    </row>
    <row r="879" customFormat="false" ht="14.25" hidden="false" customHeight="false" outlineLevel="0" collapsed="false">
      <c r="A879" s="60"/>
    </row>
    <row r="880" customFormat="false" ht="14.25" hidden="false" customHeight="false" outlineLevel="0" collapsed="false">
      <c r="A880" s="60"/>
      <c r="B880" s="9"/>
    </row>
    <row r="881" customFormat="false" ht="14.25" hidden="false" customHeight="false" outlineLevel="0" collapsed="false">
      <c r="A881" s="60"/>
      <c r="B881" s="9"/>
    </row>
    <row r="882" customFormat="false" ht="14.25" hidden="false" customHeight="false" outlineLevel="0" collapsed="false">
      <c r="A882" s="60"/>
      <c r="B882" s="9"/>
    </row>
    <row r="886" customFormat="false" ht="14.25" hidden="false" customHeight="false" outlineLevel="0" collapsed="false">
      <c r="A886" s="60"/>
      <c r="B886" s="9"/>
    </row>
    <row r="887" customFormat="false" ht="14.25" hidden="false" customHeight="false" outlineLevel="0" collapsed="false">
      <c r="A887" s="60"/>
      <c r="B887" s="9"/>
    </row>
    <row r="888" customFormat="false" ht="14.25" hidden="false" customHeight="false" outlineLevel="0" collapsed="false">
      <c r="A888" s="60"/>
      <c r="B888" s="9"/>
    </row>
    <row r="889" customFormat="false" ht="14.25" hidden="false" customHeight="false" outlineLevel="0" collapsed="false">
      <c r="A889" s="60"/>
      <c r="B889" s="9"/>
    </row>
    <row r="890" customFormat="false" ht="14.25" hidden="false" customHeight="false" outlineLevel="0" collapsed="false">
      <c r="A890" s="60"/>
      <c r="B890" s="9"/>
    </row>
    <row r="891" customFormat="false" ht="14.25" hidden="false" customHeight="false" outlineLevel="0" collapsed="false">
      <c r="A891" s="60"/>
      <c r="B891" s="9"/>
    </row>
    <row r="892" customFormat="false" ht="14.25" hidden="false" customHeight="false" outlineLevel="0" collapsed="false">
      <c r="A892" s="60"/>
      <c r="B892" s="9"/>
    </row>
    <row r="893" customFormat="false" ht="14.25" hidden="false" customHeight="false" outlineLevel="0" collapsed="false">
      <c r="A893" s="60"/>
      <c r="B893" s="9"/>
    </row>
    <row r="894" customFormat="false" ht="14.25" hidden="false" customHeight="false" outlineLevel="0" collapsed="false">
      <c r="A894" s="60"/>
      <c r="B894" s="9"/>
    </row>
    <row r="895" customFormat="false" ht="14.25" hidden="false" customHeight="false" outlineLevel="0" collapsed="false">
      <c r="A895" s="60"/>
      <c r="B895" s="9"/>
    </row>
    <row r="896" customFormat="false" ht="14.25" hidden="false" customHeight="false" outlineLevel="0" collapsed="false">
      <c r="A896" s="60"/>
      <c r="B896" s="9"/>
    </row>
    <row r="897" customFormat="false" ht="14.25" hidden="false" customHeight="false" outlineLevel="0" collapsed="false">
      <c r="A897" s="60"/>
      <c r="B897" s="9"/>
    </row>
    <row r="898" customFormat="false" ht="14.25" hidden="false" customHeight="false" outlineLevel="0" collapsed="false">
      <c r="A898" s="60"/>
      <c r="B898" s="9"/>
    </row>
    <row r="899" customFormat="false" ht="14.25" hidden="false" customHeight="false" outlineLevel="0" collapsed="false">
      <c r="A899" s="60"/>
      <c r="B899" s="9"/>
    </row>
    <row r="900" customFormat="false" ht="14.25" hidden="false" customHeight="false" outlineLevel="0" collapsed="false">
      <c r="A900" s="60"/>
      <c r="B900" s="9"/>
    </row>
    <row r="901" customFormat="false" ht="14.25" hidden="false" customHeight="false" outlineLevel="0" collapsed="false">
      <c r="A901" s="60"/>
    </row>
    <row r="902" customFormat="false" ht="14.25" hidden="false" customHeight="false" outlineLevel="0" collapsed="false">
      <c r="A902" s="60"/>
      <c r="B902" s="9"/>
    </row>
    <row r="903" customFormat="false" ht="14.25" hidden="false" customHeight="false" outlineLevel="0" collapsed="false">
      <c r="A903" s="60"/>
      <c r="B903" s="9"/>
    </row>
    <row r="904" customFormat="false" ht="14.25" hidden="false" customHeight="false" outlineLevel="0" collapsed="false">
      <c r="A904" s="60"/>
      <c r="B904" s="9"/>
    </row>
  </sheetData>
  <mergeCells count="217">
    <mergeCell ref="A3:A5"/>
    <mergeCell ref="A6:A7"/>
    <mergeCell ref="A8:A11"/>
    <mergeCell ref="A12:A15"/>
    <mergeCell ref="A16:A17"/>
    <mergeCell ref="A19:A21"/>
    <mergeCell ref="A25:A27"/>
    <mergeCell ref="A28:A29"/>
    <mergeCell ref="A30:A33"/>
    <mergeCell ref="A34:A37"/>
    <mergeCell ref="A38:A39"/>
    <mergeCell ref="A41:A43"/>
    <mergeCell ref="A47:A49"/>
    <mergeCell ref="A50:A51"/>
    <mergeCell ref="A52:A55"/>
    <mergeCell ref="A56:A59"/>
    <mergeCell ref="A60:A61"/>
    <mergeCell ref="A63:A65"/>
    <mergeCell ref="A69:A71"/>
    <mergeCell ref="A72:A73"/>
    <mergeCell ref="A74:A77"/>
    <mergeCell ref="A78:A81"/>
    <mergeCell ref="A82:A83"/>
    <mergeCell ref="A85:A87"/>
    <mergeCell ref="A91:A93"/>
    <mergeCell ref="A94:A95"/>
    <mergeCell ref="A96:A99"/>
    <mergeCell ref="A100:A103"/>
    <mergeCell ref="A104:A105"/>
    <mergeCell ref="A107:A109"/>
    <mergeCell ref="A113:A115"/>
    <mergeCell ref="A116:A117"/>
    <mergeCell ref="A118:A121"/>
    <mergeCell ref="A122:A125"/>
    <mergeCell ref="A126:A127"/>
    <mergeCell ref="A129:A131"/>
    <mergeCell ref="A135:A137"/>
    <mergeCell ref="A138:A139"/>
    <mergeCell ref="A140:A143"/>
    <mergeCell ref="A145:A148"/>
    <mergeCell ref="A149:A150"/>
    <mergeCell ref="A152:A154"/>
    <mergeCell ref="A158:A160"/>
    <mergeCell ref="A161:A162"/>
    <mergeCell ref="A163:A166"/>
    <mergeCell ref="A167:A170"/>
    <mergeCell ref="A171:A172"/>
    <mergeCell ref="A174:A176"/>
    <mergeCell ref="A180:A182"/>
    <mergeCell ref="A183:A184"/>
    <mergeCell ref="A185:A188"/>
    <mergeCell ref="A189:A192"/>
    <mergeCell ref="A193:A194"/>
    <mergeCell ref="A196:A198"/>
    <mergeCell ref="A202:A204"/>
    <mergeCell ref="A205:A206"/>
    <mergeCell ref="A207:A210"/>
    <mergeCell ref="A211:A214"/>
    <mergeCell ref="A215:A216"/>
    <mergeCell ref="A218:A220"/>
    <mergeCell ref="A224:A226"/>
    <mergeCell ref="A227:A228"/>
    <mergeCell ref="A229:A232"/>
    <mergeCell ref="A233:A236"/>
    <mergeCell ref="A237:A238"/>
    <mergeCell ref="A240:A242"/>
    <mergeCell ref="A246:A248"/>
    <mergeCell ref="A249:A250"/>
    <mergeCell ref="A251:A254"/>
    <mergeCell ref="A255:A258"/>
    <mergeCell ref="A259:A260"/>
    <mergeCell ref="A262:A264"/>
    <mergeCell ref="A268:A270"/>
    <mergeCell ref="A271:A272"/>
    <mergeCell ref="A273:A276"/>
    <mergeCell ref="A277:A280"/>
    <mergeCell ref="A281:A282"/>
    <mergeCell ref="A284:A286"/>
    <mergeCell ref="A290:A292"/>
    <mergeCell ref="A293:A294"/>
    <mergeCell ref="A295:A298"/>
    <mergeCell ref="A299:A302"/>
    <mergeCell ref="A303:A304"/>
    <mergeCell ref="A306:A308"/>
    <mergeCell ref="A312:A314"/>
    <mergeCell ref="A315:A316"/>
    <mergeCell ref="A317:A320"/>
    <mergeCell ref="A321:A324"/>
    <mergeCell ref="A325:A326"/>
    <mergeCell ref="A328:A330"/>
    <mergeCell ref="A334:A336"/>
    <mergeCell ref="A337:A338"/>
    <mergeCell ref="A339:A342"/>
    <mergeCell ref="A343:A346"/>
    <mergeCell ref="A347:A348"/>
    <mergeCell ref="A350:A352"/>
    <mergeCell ref="A356:A358"/>
    <mergeCell ref="A359:A360"/>
    <mergeCell ref="A361:A364"/>
    <mergeCell ref="A365:A368"/>
    <mergeCell ref="A369:A370"/>
    <mergeCell ref="A372:A374"/>
    <mergeCell ref="A378:A380"/>
    <mergeCell ref="A381:A382"/>
    <mergeCell ref="A383:A386"/>
    <mergeCell ref="A387:A390"/>
    <mergeCell ref="A391:A392"/>
    <mergeCell ref="A394:A396"/>
    <mergeCell ref="A400:A402"/>
    <mergeCell ref="A403:A404"/>
    <mergeCell ref="A405:A408"/>
    <mergeCell ref="A409:A412"/>
    <mergeCell ref="A413:A414"/>
    <mergeCell ref="A416:A418"/>
    <mergeCell ref="A422:A424"/>
    <mergeCell ref="A425:A426"/>
    <mergeCell ref="A427:A430"/>
    <mergeCell ref="A431:A434"/>
    <mergeCell ref="A435:A436"/>
    <mergeCell ref="A438:A440"/>
    <mergeCell ref="A444:A446"/>
    <mergeCell ref="A447:A448"/>
    <mergeCell ref="A449:A452"/>
    <mergeCell ref="A453:A456"/>
    <mergeCell ref="A457:A458"/>
    <mergeCell ref="A460:A462"/>
    <mergeCell ref="A466:A468"/>
    <mergeCell ref="A469:A470"/>
    <mergeCell ref="A472:A475"/>
    <mergeCell ref="A476:A479"/>
    <mergeCell ref="A480:A481"/>
    <mergeCell ref="A483:A485"/>
    <mergeCell ref="A489:A491"/>
    <mergeCell ref="A492:A493"/>
    <mergeCell ref="A494:A497"/>
    <mergeCell ref="A498:A501"/>
    <mergeCell ref="C501:E501"/>
    <mergeCell ref="A502:A503"/>
    <mergeCell ref="A505:A507"/>
    <mergeCell ref="A511:A513"/>
    <mergeCell ref="A514:A515"/>
    <mergeCell ref="A516:A519"/>
    <mergeCell ref="A520:A523"/>
    <mergeCell ref="A524:A525"/>
    <mergeCell ref="A527:A529"/>
    <mergeCell ref="A533:A535"/>
    <mergeCell ref="A536:A537"/>
    <mergeCell ref="A538:A541"/>
    <mergeCell ref="A542:A545"/>
    <mergeCell ref="A546:A547"/>
    <mergeCell ref="A549:A551"/>
    <mergeCell ref="A555:A557"/>
    <mergeCell ref="A558:A559"/>
    <mergeCell ref="A560:A563"/>
    <mergeCell ref="A564:A567"/>
    <mergeCell ref="A568:A569"/>
    <mergeCell ref="A571:A573"/>
    <mergeCell ref="A577:A579"/>
    <mergeCell ref="A580:A581"/>
    <mergeCell ref="A582:A585"/>
    <mergeCell ref="A586:A589"/>
    <mergeCell ref="A590:A591"/>
    <mergeCell ref="A593:A595"/>
    <mergeCell ref="A599:A601"/>
    <mergeCell ref="A602:A603"/>
    <mergeCell ref="A604:A607"/>
    <mergeCell ref="A608:A611"/>
    <mergeCell ref="A612:A613"/>
    <mergeCell ref="A615:A617"/>
    <mergeCell ref="A621:A623"/>
    <mergeCell ref="A624:A625"/>
    <mergeCell ref="A626:A629"/>
    <mergeCell ref="A630:A633"/>
    <mergeCell ref="A634:A635"/>
    <mergeCell ref="A637:A639"/>
    <mergeCell ref="A643:A645"/>
    <mergeCell ref="A647:A648"/>
    <mergeCell ref="A649:A652"/>
    <mergeCell ref="A653:A656"/>
    <mergeCell ref="A657:A658"/>
    <mergeCell ref="A660:A662"/>
    <mergeCell ref="A666:A668"/>
    <mergeCell ref="A669:A670"/>
    <mergeCell ref="A671:A674"/>
    <mergeCell ref="A675:A678"/>
    <mergeCell ref="A679:A680"/>
    <mergeCell ref="A682:A684"/>
    <mergeCell ref="A688:A690"/>
    <mergeCell ref="A691:A692"/>
    <mergeCell ref="A693:A696"/>
    <mergeCell ref="A697:A700"/>
    <mergeCell ref="A701:A702"/>
    <mergeCell ref="A704:A706"/>
    <mergeCell ref="A710:A712"/>
    <mergeCell ref="A713:A714"/>
    <mergeCell ref="A715:A718"/>
    <mergeCell ref="A719:A722"/>
    <mergeCell ref="A723:A724"/>
    <mergeCell ref="A726:A728"/>
    <mergeCell ref="A732:A734"/>
    <mergeCell ref="A735:A736"/>
    <mergeCell ref="A737:A740"/>
    <mergeCell ref="A741:A744"/>
    <mergeCell ref="A745:A746"/>
    <mergeCell ref="A748:A750"/>
    <mergeCell ref="A754:A756"/>
    <mergeCell ref="A757:A758"/>
    <mergeCell ref="A759:A762"/>
    <mergeCell ref="A763:A766"/>
    <mergeCell ref="A767:A768"/>
    <mergeCell ref="A770:A772"/>
    <mergeCell ref="A776:A778"/>
    <mergeCell ref="A779:A780"/>
    <mergeCell ref="A781:A784"/>
    <mergeCell ref="A785:A788"/>
    <mergeCell ref="A789:A790"/>
    <mergeCell ref="A792:A794"/>
  </mergeCells>
  <conditionalFormatting sqref="AH760:BE760">
    <cfRule type="duplicateValues" priority="2" aboveAverage="0" equalAverage="0" bottom="0" percent="0" rank="0" text="" dxfId="0"/>
  </conditionalFormatting>
  <conditionalFormatting sqref="I760:AG760">
    <cfRule type="duplicateValues" priority="3" aboveAverage="0" equalAverage="0" bottom="0" percent="0" rank="0" text="" dxfId="1"/>
  </conditionalFormatting>
  <conditionalFormatting sqref="AB765:BK765">
    <cfRule type="duplicateValues" priority="4" aboveAverage="0" equalAverage="0" bottom="0" percent="0" rank="0" text="" dxfId="2"/>
  </conditionalFormatting>
  <conditionalFormatting sqref="C765:AA765">
    <cfRule type="duplicateValues" priority="5" aboveAverage="0" equalAverage="0" bottom="0" percent="0" rank="0" text="" dxfId="3"/>
  </conditionalFormatting>
  <conditionalFormatting sqref="BL765:BZ765">
    <cfRule type="duplicateValues" priority="6" aboveAverage="0" equalAverage="0" bottom="0" percent="0" rank="0" text="" dxfId="4"/>
  </conditionalFormatting>
  <conditionalFormatting sqref="J774:J798">
    <cfRule type="duplicateValues" priority="7" aboveAverage="0" equalAverage="0" bottom="0" percent="0" rank="0" text="" dxfId="5"/>
  </conditionalFormatting>
  <conditionalFormatting sqref="Y815:Y816 Y769:Y804">
    <cfRule type="duplicateValues" priority="8" aboveAverage="0" equalAverage="0" bottom="0" percent="0" rank="0" text="" dxfId="6"/>
  </conditionalFormatting>
  <hyperlinks>
    <hyperlink ref="C5" r:id="rId1" display="https://www.sleepdata.org/datasets/abc"/>
    <hyperlink ref="C21" r:id="rId2" display="https://doi.org/10.25822/nx52-bc11"/>
    <hyperlink ref="C22" r:id="rId3" display="https://github.com/nsrr/abc-data-dictionary "/>
    <hyperlink ref="C27" r:id="rId4" display="10.17605/OSF.IO/R26FH "/>
    <hyperlink ref="C43" r:id="rId5" display="https://doi.org/10.1038/s41597-024-03722-1 "/>
    <hyperlink ref="D43" r:id="rId6" display="10.17605/OSF.IO/R26FH "/>
    <hyperlink ref="C49" r:id="rId7" display="https://www.sleepdata.org/datasets/answers"/>
    <hyperlink ref="C65" r:id="rId8" display="https://doi.org/10.25822/0vvb-6t89"/>
    <hyperlink ref="C71" r:id="rId9" display="https://www.sleepdata.org/datasets/apoe "/>
    <hyperlink ref="C87" r:id="rId10" display="https://doi.org/10.25822/6ssj-2157"/>
    <hyperlink ref="C88" r:id="rId11" display="https://github.com/nsrr/apoe-data-dictionary "/>
    <hyperlink ref="C89" r:id="rId12" display="https://gitlab-scm.partners.org/zzz-public/nsrr/-/blob/master/studies/legacy/abc/sigs.alias "/>
    <hyperlink ref="C93" r:id="rId13" display="https://www.sleepdata.org/datasets/apples "/>
    <hyperlink ref="C109" r:id="rId14" display="https://doi.org/10.25822/63pr-a591"/>
    <hyperlink ref="C110" r:id="rId15" display="https://github.com/nsrr/apples-data-dictionary "/>
    <hyperlink ref="C131" r:id="rId16" display="https://doi.org/10.25822/f656-yg39"/>
    <hyperlink ref="C132" r:id="rId17" display="https://github.com/nsrr/bestair-data-dictionary"/>
    <hyperlink ref="C133" r:id="rId18" display="https://gitlab-scm.partners.org/zzz-public/nsrr/-/blob/master/studies/legacy/bestair/sigs.alias.1 "/>
    <hyperlink ref="C137" r:id="rId19" display="https://physionet.org/content/capslpdb/1.0.0/"/>
    <hyperlink ref="C154" r:id="rId20" display="https://doi.org/10.13026/C2VC79"/>
    <hyperlink ref="C176" r:id="rId21" display="https://doi.org/10.25822/jmyx-mz90"/>
    <hyperlink ref="C177" r:id="rId22" display="https://gitlab-scm.partners.org/zzz-public/nsrr/-/blob/master/studies/legacy/cfs/sigs.alias "/>
    <hyperlink ref="C182" r:id="rId23" display="https://physionet.org/content/cps-dataset-sleep/1.0.0/ "/>
    <hyperlink ref="C198" r:id="rId24" display="https://doi.org/10.13026/sxs0-h317"/>
    <hyperlink ref="C204" r:id="rId25" display="https://erda.ku.dk/public/archives/db553715ecbe1f3ac66c1dc569826eef/published-archive.html "/>
    <hyperlink ref="C220" r:id="rId26" display="https://doi.org/10.17894/ucph.282d3c1e-9b98-4c1e-886e-704afdfa9179"/>
    <hyperlink ref="C226" r:id="rId27" display="https://ieeexplore.ieee.org/document/9146268 "/>
    <hyperlink ref="C242" r:id="rId28" display="10.1109/TNSRE.2020.3011181"/>
    <hyperlink ref="C243" r:id="rId29" display="https://github.com/Dreem-Organization/dreem-learning-open "/>
    <hyperlink ref="C248" r:id="rId30" display="https://ieeexplore.ieee.org/document/9146268"/>
    <hyperlink ref="C264" r:id="rId31" display="10.1109/TNSRE.2020.3011181"/>
    <hyperlink ref="C265" r:id="rId32" display="https://github.com/Dreem-Organization/dreem-learning-open "/>
    <hyperlink ref="C270" r:id="rId33" display="https://physionet.org/content/dreamt/1.0.0/ "/>
    <hyperlink ref="C286" r:id="rId34" display="https://doi.org/10.13026/62an-cb28"/>
    <hyperlink ref="C292" r:id="rId35" display="https://www.sleepdata.org/datasets/fdcsr "/>
    <hyperlink ref="C308" r:id="rId36" display="https://doi.org/10.25822/cxjt-6585"/>
    <hyperlink ref="C309" r:id="rId37" display="https://github.com/nsrr/fdcsr-data-dictionary"/>
    <hyperlink ref="C314" r:id="rId38" display="https://sleepdata.org/datasets/heartbeat "/>
    <hyperlink ref="C330" r:id="rId39" display="https://doi.org/10.25822/njzh-dk37"/>
    <hyperlink ref="C331" r:id="rId40" display="https://github.com/nsrr/heartbeat-data-dictionary "/>
    <hyperlink ref="C332" r:id="rId41" display="https://gitlab-scm.partners.org/zzz-eartbeat/sigs.alias "/>
    <hyperlink ref="C336" r:id="rId42" display="https://physionet.org/content/hmc-sleep-staging/1.1/ "/>
    <hyperlink ref="C352" r:id="rId43" display="https://doi.org/10.13026/t4w7-3k21"/>
    <hyperlink ref="C358" r:id="rId44" display="https://sleepdata.org/datasets/homepap "/>
    <hyperlink ref="C374" r:id="rId45" display="https://doi.org/10.25822/xmwv-yz91"/>
    <hyperlink ref="C375" r:id="rId46" display="https://github.com/nsrr/homepap-data-dictionary "/>
    <hyperlink ref="C380" r:id="rId47" display="https://doi.org/10.1016/j.cmpb.2015.10.013"/>
    <hyperlink ref="C396" r:id="rId48" display="https://doi.org/10.1016/j.cmpb.2015.10.013"/>
    <hyperlink ref="C402" r:id="rId49" display="https://doi.org/10.13026/cerq-fc86"/>
    <hyperlink ref="C418" r:id="rId50" display="https://doi.org/10.3390/data5040091"/>
    <hyperlink ref="C424" r:id="rId51" display="https://sleepdata.org/datasets/mesa "/>
    <hyperlink ref="C440" r:id="rId52" display="https://doi.org/10.25822/n7hq-c406"/>
    <hyperlink ref="D440" r:id="rId53" display="10.5665/sleep.4732 "/>
    <hyperlink ref="C441" r:id="rId54" display="https://github.com/nsrr/mesa-data-dictionary "/>
    <hyperlink ref="C442" r:id="rId55" display="https://gitlab-scm.partners.org/zzz-public/nsrr/-/blob/master/studies/legacy/mesa/sigs.alias "/>
    <hyperlink ref="C446" r:id="rId56" display="https://physionet.org/content/slpdb/1.0.0/"/>
    <hyperlink ref="C462" r:id="rId57" display="https://doi.org/10.13026/C23K5S"/>
    <hyperlink ref="C468" r:id="rId58" display="https://sleepdata.org/datasets/mnc "/>
    <hyperlink ref="C485" r:id="rId59" display="https://doi.org/10.25822/00tc-zz78"/>
    <hyperlink ref="D485" r:id="rId60" display="https://doi.org/10.1038/s41467-018-07229-3 "/>
    <hyperlink ref="C486" r:id="rId61" display="https://gitlab-scm.partners.org/zzz-public/nsrr/-/blob/master/studies/legacy/mnc/sigs.alias "/>
    <hyperlink ref="C487" r:id="rId62" display="https://github.com/nsrr/mnc-documentation "/>
    <hyperlink ref="C491" r:id="rId63" display="https://physionet.org/content/sleep-accel/1.0.0/ "/>
    <hyperlink ref="C507" r:id="rId64" display="https://doi.org/10.1093/sleep/zsz180 "/>
    <hyperlink ref="D507" r:id="rId65" display="https://doi.org/10.13026/hmhs-py35 "/>
    <hyperlink ref="C513" r:id="rId66" display="https://sleepdata.org/datasets/mros "/>
    <hyperlink ref="C529" r:id="rId67" display="https://doi.org/10.25822/kc27-0425"/>
    <hyperlink ref="D529" r:id="rId68" display="10.1111/j.1532-5415.2011.03731.x "/>
    <hyperlink ref="C535" r:id="rId69" display="https://sleepdata.org/datasets/msp "/>
    <hyperlink ref="C551" r:id="rId70" display="https://doi.org/10.25822/gc7q-g526"/>
    <hyperlink ref="D551" r:id="rId71" display="https://doi.org/10.1002/dev.22118 "/>
    <hyperlink ref="C557" r:id="rId72" display="https://zenodo.org/records/3251716 "/>
    <hyperlink ref="C573" r:id="rId73" display="https://doi.org/10.5281/zenodo.3251715 "/>
    <hyperlink ref="C579" r:id="rId74" display="https://sleepdata.org/datasets/nchsdb "/>
    <hyperlink ref="C595" r:id="rId75" display="https://doi.org/10.25822/jpdr-vz50"/>
    <hyperlink ref="D595" r:id="rId76" display="https://doi.org/10.1038/s41597-022-01545-6 "/>
    <hyperlink ref="C596" r:id="rId77" display="https://github.com/liboyue/sleep_study "/>
    <hyperlink ref="C601" r:id="rId78" display="https://physionet.org/content/challenge-2018/1.0.0/ "/>
    <hyperlink ref="D617" r:id="rId79" display="https://bdsp.io/content/hsp/2.0/ "/>
    <hyperlink ref="C623" r:id="rId80" display="https://sleepdata.org/datasets/shhs "/>
    <hyperlink ref="C639" r:id="rId81" display="https://doi.org/10.25822/ghy8-ks59"/>
    <hyperlink ref="D639" r:id="rId82" display="https://pubmed.ncbi.nlm.nih.gov/9493915/ "/>
    <hyperlink ref="C645" r:id="rId83" display="https://www.physionet.org/content/sleep-edfx/1.0.0/ "/>
    <hyperlink ref="C662" r:id="rId84" display="https://doi.org/10.13026/C2X676"/>
    <hyperlink ref="C668" r:id="rId85" display="https://physionet.org/content/sleepbrl/1.0.0/ "/>
    <hyperlink ref="C684" r:id="rId86" display="https://doi.org/10.13026/C29H4K"/>
    <hyperlink ref="C690" r:id="rId87" display="https://sleepdata.org/datasets/sof "/>
    <hyperlink ref="C706" r:id="rId88" display="10.1111/j.1532-5415.2007.01506.x "/>
    <hyperlink ref="D706" r:id="rId89" display="https://doi.org/10.25822/e1cf-rx65"/>
    <hyperlink ref="C712" r:id="rId90" display="https://sleepdata.org/datasets/stages "/>
    <hyperlink ref="C728" r:id="rId91" display="https://doi.org/10.25822/me0d-xs45"/>
    <hyperlink ref="C734" r:id="rId92" display="https://physionet.org/content/ucddb/1.0.0/ "/>
    <hyperlink ref="C750" r:id="rId93" display="https://doi.org/10.13026/C26C7D"/>
    <hyperlink ref="C756" r:id="rId94" display="https://www.sleepdata.org/datasets/wsc "/>
    <hyperlink ref="C772" r:id="rId95" display="https://doi.org/10.25822/js0k-yh52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6"/>
  <sheetViews>
    <sheetView showFormulas="false" showGridLines="tru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A156" activeCellId="0" sqref="A156"/>
    </sheetView>
  </sheetViews>
  <sheetFormatPr defaultColWidth="10.5976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904</v>
      </c>
      <c r="B1" s="27" t="s">
        <v>905</v>
      </c>
    </row>
    <row r="2" customFormat="false" ht="14.25" hidden="false" customHeight="false" outlineLevel="0" collapsed="false">
      <c r="A2" s="67" t="s">
        <v>906</v>
      </c>
      <c r="B2" s="1" t="n">
        <v>1000</v>
      </c>
    </row>
    <row r="3" customFormat="false" ht="14.25" hidden="false" customHeight="false" outlineLevel="0" collapsed="false">
      <c r="A3" s="1" t="s">
        <v>907</v>
      </c>
      <c r="B3" s="1" t="n">
        <v>1000</v>
      </c>
    </row>
    <row r="4" customFormat="false" ht="14.25" hidden="false" customHeight="false" outlineLevel="0" collapsed="false">
      <c r="A4" s="1" t="s">
        <v>908</v>
      </c>
      <c r="B4" s="1" t="n">
        <v>1000</v>
      </c>
    </row>
    <row r="5" customFormat="false" ht="14.25" hidden="false" customHeight="false" outlineLevel="0" collapsed="false">
      <c r="A5" s="1" t="s">
        <v>909</v>
      </c>
      <c r="B5" s="1" t="n">
        <v>1000</v>
      </c>
    </row>
    <row r="6" customFormat="false" ht="14.25" hidden="false" customHeight="false" outlineLevel="0" collapsed="false">
      <c r="A6" s="1" t="s">
        <v>910</v>
      </c>
      <c r="B6" s="1" t="n">
        <v>1000</v>
      </c>
    </row>
    <row r="7" customFormat="false" ht="14.25" hidden="false" customHeight="false" outlineLevel="0" collapsed="false">
      <c r="A7" s="1" t="s">
        <v>911</v>
      </c>
      <c r="B7" s="1" t="n">
        <v>1000</v>
      </c>
    </row>
    <row r="8" customFormat="false" ht="14.25" hidden="false" customHeight="false" outlineLevel="0" collapsed="false">
      <c r="A8" s="1" t="s">
        <v>912</v>
      </c>
      <c r="B8" s="1" t="n">
        <v>1000</v>
      </c>
    </row>
    <row r="9" customFormat="false" ht="14.25" hidden="false" customHeight="false" outlineLevel="0" collapsed="false">
      <c r="A9" s="1" t="s">
        <v>913</v>
      </c>
      <c r="B9" s="1" t="n">
        <v>1000</v>
      </c>
    </row>
    <row r="10" customFormat="false" ht="14.25" hidden="false" customHeight="false" outlineLevel="0" collapsed="false">
      <c r="A10" s="1" t="s">
        <v>914</v>
      </c>
      <c r="B10" s="1" t="n">
        <v>1000</v>
      </c>
    </row>
    <row r="11" customFormat="false" ht="14.25" hidden="false" customHeight="false" outlineLevel="0" collapsed="false">
      <c r="A11" s="1" t="s">
        <v>915</v>
      </c>
      <c r="B11" s="1" t="n">
        <v>1000</v>
      </c>
    </row>
    <row r="12" customFormat="false" ht="14.25" hidden="false" customHeight="false" outlineLevel="0" collapsed="false">
      <c r="A12" s="1" t="s">
        <v>916</v>
      </c>
      <c r="B12" s="1" t="n">
        <v>1000</v>
      </c>
    </row>
    <row r="13" customFormat="false" ht="14.25" hidden="false" customHeight="false" outlineLevel="0" collapsed="false">
      <c r="A13" s="1" t="s">
        <v>917</v>
      </c>
      <c r="B13" s="1" t="n">
        <v>1000</v>
      </c>
    </row>
    <row r="14" customFormat="false" ht="14.25" hidden="false" customHeight="false" outlineLevel="0" collapsed="false">
      <c r="A14" s="1" t="s">
        <v>918</v>
      </c>
      <c r="B14" s="1" t="n">
        <v>1000</v>
      </c>
    </row>
    <row r="15" customFormat="false" ht="14.25" hidden="false" customHeight="false" outlineLevel="0" collapsed="false">
      <c r="A15" s="1" t="s">
        <v>919</v>
      </c>
      <c r="B15" s="1" t="n">
        <v>1000</v>
      </c>
    </row>
    <row r="16" customFormat="false" ht="14.25" hidden="false" customHeight="false" outlineLevel="0" collapsed="false">
      <c r="A16" s="1" t="s">
        <v>211</v>
      </c>
      <c r="B16" s="1" t="n">
        <v>1000</v>
      </c>
    </row>
    <row r="17" customFormat="false" ht="14.25" hidden="false" customHeight="false" outlineLevel="0" collapsed="false">
      <c r="A17" s="1" t="s">
        <v>920</v>
      </c>
      <c r="B17" s="1" t="n">
        <v>1000</v>
      </c>
    </row>
    <row r="18" customFormat="false" ht="14.25" hidden="false" customHeight="false" outlineLevel="0" collapsed="false">
      <c r="A18" s="1" t="s">
        <v>212</v>
      </c>
      <c r="B18" s="1" t="n">
        <v>1000</v>
      </c>
    </row>
    <row r="19" customFormat="false" ht="14.25" hidden="false" customHeight="false" outlineLevel="0" collapsed="false">
      <c r="A19" s="1" t="s">
        <v>921</v>
      </c>
      <c r="B19" s="1" t="n">
        <v>1000</v>
      </c>
    </row>
    <row r="20" customFormat="false" ht="14.25" hidden="false" customHeight="false" outlineLevel="0" collapsed="false">
      <c r="A20" s="1" t="s">
        <v>922</v>
      </c>
      <c r="B20" s="1" t="n">
        <v>1000</v>
      </c>
    </row>
    <row r="21" customFormat="false" ht="14.25" hidden="false" customHeight="false" outlineLevel="0" collapsed="false">
      <c r="A21" s="1" t="s">
        <v>923</v>
      </c>
      <c r="B21" s="1" t="n">
        <v>1000</v>
      </c>
    </row>
    <row r="22" customFormat="false" ht="14.25" hidden="false" customHeight="false" outlineLevel="0" collapsed="false">
      <c r="A22" s="1" t="s">
        <v>924</v>
      </c>
      <c r="B22" s="1" t="n">
        <v>1000</v>
      </c>
    </row>
    <row r="23" customFormat="false" ht="14.25" hidden="false" customHeight="false" outlineLevel="0" collapsed="false">
      <c r="A23" s="1" t="s">
        <v>925</v>
      </c>
      <c r="B23" s="1" t="n">
        <v>1000</v>
      </c>
    </row>
    <row r="24" customFormat="false" ht="14.25" hidden="false" customHeight="false" outlineLevel="0" collapsed="false">
      <c r="A24" s="1" t="s">
        <v>926</v>
      </c>
      <c r="B24" s="1" t="n">
        <v>1000</v>
      </c>
    </row>
    <row r="25" customFormat="false" ht="14.25" hidden="false" customHeight="false" outlineLevel="0" collapsed="false">
      <c r="A25" s="1" t="s">
        <v>927</v>
      </c>
      <c r="B25" s="1" t="n">
        <v>1000</v>
      </c>
    </row>
    <row r="26" customFormat="false" ht="14.25" hidden="false" customHeight="false" outlineLevel="0" collapsed="false">
      <c r="A26" s="1" t="s">
        <v>928</v>
      </c>
      <c r="B26" s="1" t="n">
        <v>1000</v>
      </c>
    </row>
    <row r="27" customFormat="false" ht="14.25" hidden="false" customHeight="false" outlineLevel="0" collapsed="false">
      <c r="A27" s="1" t="s">
        <v>929</v>
      </c>
      <c r="B27" s="1" t="n">
        <v>1000</v>
      </c>
    </row>
    <row r="28" customFormat="false" ht="14.25" hidden="false" customHeight="false" outlineLevel="0" collapsed="false">
      <c r="A28" s="1" t="s">
        <v>930</v>
      </c>
      <c r="B28" s="1" t="n">
        <v>1000</v>
      </c>
    </row>
    <row r="29" customFormat="false" ht="14.25" hidden="false" customHeight="false" outlineLevel="0" collapsed="false">
      <c r="A29" s="1" t="s">
        <v>931</v>
      </c>
      <c r="B29" s="1" t="n">
        <v>1000</v>
      </c>
    </row>
    <row r="30" customFormat="false" ht="14.25" hidden="false" customHeight="false" outlineLevel="0" collapsed="false">
      <c r="A30" s="1" t="s">
        <v>932</v>
      </c>
      <c r="B30" s="1" t="n">
        <v>1000</v>
      </c>
    </row>
    <row r="31" customFormat="false" ht="14.25" hidden="false" customHeight="false" outlineLevel="0" collapsed="false">
      <c r="A31" s="1" t="s">
        <v>933</v>
      </c>
      <c r="B31" s="1" t="n">
        <v>1000</v>
      </c>
    </row>
    <row r="32" customFormat="false" ht="14.25" hidden="false" customHeight="false" outlineLevel="0" collapsed="false">
      <c r="A32" s="1" t="s">
        <v>934</v>
      </c>
      <c r="B32" s="1" t="n">
        <v>1000</v>
      </c>
    </row>
    <row r="33" customFormat="false" ht="14.25" hidden="false" customHeight="false" outlineLevel="0" collapsed="false">
      <c r="A33" s="1" t="s">
        <v>935</v>
      </c>
      <c r="B33" s="1" t="n">
        <v>1000</v>
      </c>
    </row>
    <row r="34" customFormat="false" ht="14.25" hidden="false" customHeight="false" outlineLevel="0" collapsed="false">
      <c r="A34" s="1" t="s">
        <v>936</v>
      </c>
      <c r="B34" s="1" t="n">
        <v>1000</v>
      </c>
    </row>
    <row r="35" customFormat="false" ht="14.25" hidden="false" customHeight="false" outlineLevel="0" collapsed="false">
      <c r="A35" s="1" t="s">
        <v>937</v>
      </c>
      <c r="B35" s="1" t="n">
        <v>1000</v>
      </c>
    </row>
    <row r="36" customFormat="false" ht="14.25" hidden="false" customHeight="false" outlineLevel="0" collapsed="false">
      <c r="A36" s="1" t="s">
        <v>938</v>
      </c>
      <c r="B36" s="1" t="n">
        <v>1000</v>
      </c>
    </row>
    <row r="37" customFormat="false" ht="14.25" hidden="false" customHeight="false" outlineLevel="0" collapsed="false">
      <c r="A37" s="1" t="s">
        <v>939</v>
      </c>
      <c r="B37" s="1" t="n">
        <v>1000</v>
      </c>
    </row>
    <row r="38" customFormat="false" ht="14.25" hidden="false" customHeight="false" outlineLevel="0" collapsed="false">
      <c r="A38" s="1" t="s">
        <v>940</v>
      </c>
      <c r="B38" s="1" t="n">
        <v>1000</v>
      </c>
    </row>
    <row r="39" customFormat="false" ht="14.25" hidden="false" customHeight="false" outlineLevel="0" collapsed="false">
      <c r="A39" s="1" t="s">
        <v>941</v>
      </c>
      <c r="B39" s="1" t="n">
        <v>1000</v>
      </c>
    </row>
    <row r="40" customFormat="false" ht="14.25" hidden="false" customHeight="false" outlineLevel="0" collapsed="false">
      <c r="A40" s="1" t="s">
        <v>213</v>
      </c>
      <c r="B40" s="1" t="n">
        <v>1000</v>
      </c>
    </row>
    <row r="41" customFormat="false" ht="14.25" hidden="false" customHeight="false" outlineLevel="0" collapsed="false">
      <c r="A41" s="1" t="s">
        <v>942</v>
      </c>
      <c r="B41" s="1" t="n">
        <v>1000</v>
      </c>
    </row>
    <row r="42" customFormat="false" ht="14.25" hidden="false" customHeight="false" outlineLevel="0" collapsed="false">
      <c r="A42" s="1" t="s">
        <v>943</v>
      </c>
      <c r="B42" s="1" t="n">
        <v>1000</v>
      </c>
    </row>
    <row r="43" customFormat="false" ht="14.25" hidden="false" customHeight="false" outlineLevel="0" collapsed="false">
      <c r="A43" s="1" t="s">
        <v>944</v>
      </c>
      <c r="B43" s="1" t="n">
        <v>1000</v>
      </c>
    </row>
    <row r="44" customFormat="false" ht="14.25" hidden="false" customHeight="false" outlineLevel="0" collapsed="false">
      <c r="A44" s="1" t="s">
        <v>945</v>
      </c>
      <c r="B44" s="1" t="n">
        <v>1000</v>
      </c>
    </row>
    <row r="45" customFormat="false" ht="14.25" hidden="false" customHeight="false" outlineLevel="0" collapsed="false">
      <c r="A45" s="1" t="s">
        <v>946</v>
      </c>
      <c r="B45" s="1" t="n">
        <v>1000</v>
      </c>
    </row>
    <row r="46" customFormat="false" ht="14.25" hidden="false" customHeight="false" outlineLevel="0" collapsed="false">
      <c r="A46" s="1" t="s">
        <v>947</v>
      </c>
      <c r="B46" s="1" t="n">
        <v>1000</v>
      </c>
    </row>
    <row r="47" customFormat="false" ht="14.25" hidden="false" customHeight="false" outlineLevel="0" collapsed="false">
      <c r="A47" s="1" t="s">
        <v>948</v>
      </c>
      <c r="B47" s="1" t="n">
        <v>1000</v>
      </c>
    </row>
    <row r="48" customFormat="false" ht="14.25" hidden="false" customHeight="false" outlineLevel="0" collapsed="false">
      <c r="A48" s="1" t="s">
        <v>949</v>
      </c>
      <c r="B48" s="1" t="n">
        <v>1000</v>
      </c>
    </row>
    <row r="49" customFormat="false" ht="14.25" hidden="false" customHeight="false" outlineLevel="0" collapsed="false">
      <c r="A49" s="1" t="s">
        <v>950</v>
      </c>
      <c r="B49" s="1" t="n">
        <v>1000</v>
      </c>
    </row>
    <row r="50" customFormat="false" ht="14.25" hidden="false" customHeight="false" outlineLevel="0" collapsed="false">
      <c r="A50" s="1" t="s">
        <v>951</v>
      </c>
      <c r="B50" s="1" t="n">
        <v>1000</v>
      </c>
    </row>
    <row r="51" customFormat="false" ht="14.25" hidden="false" customHeight="false" outlineLevel="0" collapsed="false">
      <c r="A51" s="1" t="s">
        <v>952</v>
      </c>
      <c r="B51" s="1" t="n">
        <v>1000</v>
      </c>
    </row>
    <row r="52" customFormat="false" ht="14.25" hidden="false" customHeight="false" outlineLevel="0" collapsed="false">
      <c r="A52" s="1" t="s">
        <v>953</v>
      </c>
      <c r="B52" s="1" t="n">
        <v>1000</v>
      </c>
    </row>
    <row r="53" customFormat="false" ht="14.25" hidden="false" customHeight="false" outlineLevel="0" collapsed="false">
      <c r="A53" s="1" t="s">
        <v>281</v>
      </c>
      <c r="B53" s="1" t="n">
        <v>1000</v>
      </c>
    </row>
    <row r="54" customFormat="false" ht="14.25" hidden="false" customHeight="false" outlineLevel="0" collapsed="false">
      <c r="A54" s="1" t="s">
        <v>954</v>
      </c>
      <c r="B54" s="1" t="n">
        <v>1000</v>
      </c>
    </row>
    <row r="55" customFormat="false" ht="14.25" hidden="false" customHeight="false" outlineLevel="0" collapsed="false">
      <c r="A55" s="1" t="s">
        <v>955</v>
      </c>
      <c r="B55" s="1" t="n">
        <v>1000</v>
      </c>
    </row>
    <row r="56" customFormat="false" ht="14.25" hidden="false" customHeight="false" outlineLevel="0" collapsed="false">
      <c r="A56" s="1" t="s">
        <v>956</v>
      </c>
      <c r="B56" s="1" t="n">
        <v>1000</v>
      </c>
    </row>
    <row r="57" customFormat="false" ht="14.25" hidden="false" customHeight="false" outlineLevel="0" collapsed="false">
      <c r="A57" s="1" t="s">
        <v>957</v>
      </c>
      <c r="B57" s="1" t="n">
        <v>1000</v>
      </c>
    </row>
    <row r="58" customFormat="false" ht="14.25" hidden="false" customHeight="false" outlineLevel="0" collapsed="false">
      <c r="A58" s="1" t="s">
        <v>958</v>
      </c>
      <c r="B58" s="1" t="n">
        <v>1000</v>
      </c>
    </row>
    <row r="59" customFormat="false" ht="14.25" hidden="false" customHeight="false" outlineLevel="0" collapsed="false">
      <c r="A59" s="1" t="s">
        <v>959</v>
      </c>
      <c r="B59" s="1" t="n">
        <v>1000</v>
      </c>
    </row>
    <row r="60" customFormat="false" ht="14.25" hidden="false" customHeight="false" outlineLevel="0" collapsed="false">
      <c r="A60" s="1" t="s">
        <v>960</v>
      </c>
      <c r="B60" s="1" t="n">
        <v>1000</v>
      </c>
    </row>
    <row r="61" customFormat="false" ht="14.25" hidden="false" customHeight="false" outlineLevel="0" collapsed="false">
      <c r="A61" s="1" t="s">
        <v>961</v>
      </c>
      <c r="B61" s="1" t="n">
        <v>1000</v>
      </c>
    </row>
    <row r="62" customFormat="false" ht="14.25" hidden="false" customHeight="false" outlineLevel="0" collapsed="false">
      <c r="A62" s="1" t="s">
        <v>962</v>
      </c>
      <c r="B62" s="1" t="n">
        <v>1000</v>
      </c>
    </row>
    <row r="63" customFormat="false" ht="14.25" hidden="false" customHeight="false" outlineLevel="0" collapsed="false">
      <c r="A63" s="1" t="s">
        <v>963</v>
      </c>
      <c r="B63" s="1" t="n">
        <v>1000</v>
      </c>
    </row>
    <row r="64" customFormat="false" ht="14.25" hidden="false" customHeight="false" outlineLevel="0" collapsed="false">
      <c r="A64" s="1" t="s">
        <v>964</v>
      </c>
      <c r="B64" s="1" t="n">
        <v>1000</v>
      </c>
    </row>
    <row r="65" customFormat="false" ht="14.25" hidden="false" customHeight="false" outlineLevel="0" collapsed="false">
      <c r="A65" s="1" t="s">
        <v>965</v>
      </c>
      <c r="B65" s="1" t="n">
        <v>1000</v>
      </c>
    </row>
    <row r="66" customFormat="false" ht="14.25" hidden="false" customHeight="false" outlineLevel="0" collapsed="false">
      <c r="A66" s="1" t="s">
        <v>966</v>
      </c>
      <c r="B66" s="1" t="n">
        <v>1000</v>
      </c>
    </row>
    <row r="67" customFormat="false" ht="14.25" hidden="false" customHeight="false" outlineLevel="0" collapsed="false">
      <c r="A67" s="1" t="s">
        <v>967</v>
      </c>
      <c r="B67" s="1" t="n">
        <v>1000</v>
      </c>
    </row>
    <row r="68" customFormat="false" ht="14.25" hidden="false" customHeight="false" outlineLevel="0" collapsed="false">
      <c r="A68" s="1" t="s">
        <v>968</v>
      </c>
      <c r="B68" s="1" t="n">
        <v>1000</v>
      </c>
    </row>
    <row r="69" customFormat="false" ht="14.25" hidden="false" customHeight="false" outlineLevel="0" collapsed="false">
      <c r="A69" s="1" t="s">
        <v>969</v>
      </c>
      <c r="B69" s="1" t="n">
        <v>1000</v>
      </c>
    </row>
    <row r="70" customFormat="false" ht="14.25" hidden="false" customHeight="false" outlineLevel="0" collapsed="false">
      <c r="A70" s="1" t="s">
        <v>970</v>
      </c>
      <c r="B70" s="1" t="n">
        <v>1000</v>
      </c>
    </row>
    <row r="71" customFormat="false" ht="14.25" hidden="false" customHeight="false" outlineLevel="0" collapsed="false">
      <c r="A71" s="1" t="s">
        <v>971</v>
      </c>
      <c r="B71" s="1" t="n">
        <v>1000</v>
      </c>
    </row>
    <row r="72" customFormat="false" ht="14.25" hidden="false" customHeight="false" outlineLevel="0" collapsed="false">
      <c r="A72" s="1" t="s">
        <v>972</v>
      </c>
      <c r="B72" s="1" t="n">
        <v>1000</v>
      </c>
    </row>
    <row r="73" customFormat="false" ht="14.25" hidden="false" customHeight="false" outlineLevel="0" collapsed="false">
      <c r="A73" s="1" t="s">
        <v>973</v>
      </c>
      <c r="B73" s="1" t="n">
        <v>1000</v>
      </c>
    </row>
    <row r="74" customFormat="false" ht="14.25" hidden="false" customHeight="false" outlineLevel="0" collapsed="false">
      <c r="A74" s="1" t="s">
        <v>974</v>
      </c>
      <c r="B74" s="1" t="n">
        <v>1000</v>
      </c>
    </row>
    <row r="75" customFormat="false" ht="14.25" hidden="false" customHeight="false" outlineLevel="0" collapsed="false">
      <c r="A75" s="1" t="s">
        <v>975</v>
      </c>
      <c r="B75" s="1" t="n">
        <v>1000</v>
      </c>
    </row>
    <row r="76" customFormat="false" ht="14.25" hidden="false" customHeight="false" outlineLevel="0" collapsed="false">
      <c r="A76" s="1" t="s">
        <v>976</v>
      </c>
      <c r="B76" s="1" t="n">
        <v>1000</v>
      </c>
    </row>
    <row r="77" customFormat="false" ht="14.25" hidden="false" customHeight="false" outlineLevel="0" collapsed="false">
      <c r="A77" s="1" t="s">
        <v>977</v>
      </c>
      <c r="B77" s="1" t="n">
        <v>1000</v>
      </c>
    </row>
    <row r="78" customFormat="false" ht="14.25" hidden="false" customHeight="false" outlineLevel="0" collapsed="false">
      <c r="A78" s="1" t="s">
        <v>978</v>
      </c>
      <c r="B78" s="1" t="n">
        <v>1000</v>
      </c>
    </row>
    <row r="79" customFormat="false" ht="14.25" hidden="false" customHeight="false" outlineLevel="0" collapsed="false">
      <c r="A79" s="1" t="s">
        <v>979</v>
      </c>
      <c r="B79" s="1" t="n">
        <v>1000</v>
      </c>
    </row>
    <row r="80" customFormat="false" ht="14.25" hidden="false" customHeight="false" outlineLevel="0" collapsed="false">
      <c r="A80" s="1" t="s">
        <v>980</v>
      </c>
      <c r="B80" s="1" t="n">
        <v>1000</v>
      </c>
    </row>
    <row r="81" customFormat="false" ht="14.25" hidden="false" customHeight="false" outlineLevel="0" collapsed="false">
      <c r="A81" s="1" t="s">
        <v>981</v>
      </c>
      <c r="B81" s="1" t="n">
        <v>1000</v>
      </c>
    </row>
    <row r="82" customFormat="false" ht="14.25" hidden="false" customHeight="false" outlineLevel="0" collapsed="false">
      <c r="A82" s="1" t="s">
        <v>982</v>
      </c>
      <c r="B82" s="1" t="n">
        <v>1000</v>
      </c>
    </row>
    <row r="83" customFormat="false" ht="14.25" hidden="false" customHeight="false" outlineLevel="0" collapsed="false">
      <c r="A83" s="1" t="s">
        <v>983</v>
      </c>
      <c r="B83" s="1" t="n">
        <v>1000</v>
      </c>
    </row>
    <row r="84" customFormat="false" ht="14.25" hidden="false" customHeight="false" outlineLevel="0" collapsed="false">
      <c r="A84" s="1" t="s">
        <v>984</v>
      </c>
      <c r="B84" s="1" t="n">
        <v>1000</v>
      </c>
    </row>
    <row r="85" customFormat="false" ht="14.25" hidden="false" customHeight="false" outlineLevel="0" collapsed="false">
      <c r="A85" s="1" t="s">
        <v>985</v>
      </c>
      <c r="B85" s="1" t="n">
        <v>1000</v>
      </c>
    </row>
    <row r="86" customFormat="false" ht="14.25" hidden="false" customHeight="false" outlineLevel="0" collapsed="false">
      <c r="A86" s="1" t="s">
        <v>986</v>
      </c>
      <c r="B86" s="1" t="n">
        <v>1000</v>
      </c>
    </row>
    <row r="87" customFormat="false" ht="14.25" hidden="false" customHeight="false" outlineLevel="0" collapsed="false">
      <c r="A87" s="1" t="s">
        <v>987</v>
      </c>
      <c r="B87" s="1" t="n">
        <v>1000</v>
      </c>
    </row>
    <row r="88" customFormat="false" ht="14.25" hidden="false" customHeight="false" outlineLevel="0" collapsed="false">
      <c r="A88" s="1" t="s">
        <v>988</v>
      </c>
      <c r="B88" s="1" t="n">
        <v>1000</v>
      </c>
    </row>
    <row r="89" customFormat="false" ht="14.25" hidden="false" customHeight="false" outlineLevel="0" collapsed="false">
      <c r="A89" s="1" t="s">
        <v>989</v>
      </c>
      <c r="B89" s="1" t="n">
        <v>1000</v>
      </c>
    </row>
    <row r="90" customFormat="false" ht="14.25" hidden="false" customHeight="false" outlineLevel="0" collapsed="false">
      <c r="A90" s="1" t="s">
        <v>990</v>
      </c>
      <c r="B90" s="1" t="n">
        <v>1000</v>
      </c>
    </row>
    <row r="91" customFormat="false" ht="14.25" hidden="false" customHeight="false" outlineLevel="0" collapsed="false">
      <c r="A91" s="1" t="s">
        <v>991</v>
      </c>
      <c r="B91" s="1" t="n">
        <v>1000</v>
      </c>
    </row>
    <row r="92" customFormat="false" ht="14.25" hidden="false" customHeight="false" outlineLevel="0" collapsed="false">
      <c r="A92" s="1" t="s">
        <v>992</v>
      </c>
      <c r="B92" s="1" t="n">
        <v>1000</v>
      </c>
    </row>
    <row r="93" customFormat="false" ht="14.25" hidden="false" customHeight="false" outlineLevel="0" collapsed="false">
      <c r="A93" s="1" t="s">
        <v>993</v>
      </c>
      <c r="B93" s="1" t="n">
        <v>1000</v>
      </c>
    </row>
    <row r="94" customFormat="false" ht="14.25" hidden="false" customHeight="false" outlineLevel="0" collapsed="false">
      <c r="A94" s="1" t="s">
        <v>994</v>
      </c>
      <c r="B94" s="1" t="n">
        <v>1000</v>
      </c>
    </row>
    <row r="95" customFormat="false" ht="14.25" hidden="false" customHeight="false" outlineLevel="0" collapsed="false">
      <c r="A95" s="1" t="s">
        <v>995</v>
      </c>
      <c r="B95" s="1" t="n">
        <v>1000</v>
      </c>
    </row>
    <row r="96" customFormat="false" ht="14.25" hidden="false" customHeight="false" outlineLevel="0" collapsed="false">
      <c r="A96" s="1" t="s">
        <v>818</v>
      </c>
      <c r="B96" s="1" t="n">
        <v>1000</v>
      </c>
    </row>
    <row r="97" customFormat="false" ht="14.25" hidden="false" customHeight="false" outlineLevel="0" collapsed="false">
      <c r="A97" s="1" t="s">
        <v>996</v>
      </c>
      <c r="B97" s="1" t="n">
        <v>1000</v>
      </c>
    </row>
    <row r="98" customFormat="false" ht="14.25" hidden="false" customHeight="false" outlineLevel="0" collapsed="false">
      <c r="A98" s="1" t="s">
        <v>283</v>
      </c>
      <c r="B98" s="1" t="n">
        <v>1000</v>
      </c>
    </row>
    <row r="99" customFormat="false" ht="14.25" hidden="false" customHeight="false" outlineLevel="0" collapsed="false">
      <c r="A99" s="1" t="s">
        <v>997</v>
      </c>
      <c r="B99" s="1" t="n">
        <v>1000</v>
      </c>
    </row>
    <row r="100" customFormat="false" ht="14.25" hidden="false" customHeight="false" outlineLevel="0" collapsed="false">
      <c r="A100" s="1" t="s">
        <v>998</v>
      </c>
      <c r="B100" s="1" t="n">
        <v>1000</v>
      </c>
    </row>
    <row r="101" customFormat="false" ht="14.25" hidden="false" customHeight="false" outlineLevel="0" collapsed="false">
      <c r="A101" s="1" t="s">
        <v>999</v>
      </c>
      <c r="B101" s="1" t="n">
        <v>1000</v>
      </c>
    </row>
    <row r="102" customFormat="false" ht="14.25" hidden="false" customHeight="false" outlineLevel="0" collapsed="false">
      <c r="A102" s="1" t="s">
        <v>1000</v>
      </c>
      <c r="B102" s="1" t="n">
        <v>1000</v>
      </c>
    </row>
    <row r="103" customFormat="false" ht="14.25" hidden="false" customHeight="false" outlineLevel="0" collapsed="false">
      <c r="A103" s="1" t="s">
        <v>1001</v>
      </c>
      <c r="B103" s="1" t="n">
        <v>1000</v>
      </c>
    </row>
    <row r="104" customFormat="false" ht="14.25" hidden="false" customHeight="false" outlineLevel="0" collapsed="false">
      <c r="A104" s="1" t="s">
        <v>1002</v>
      </c>
      <c r="B104" s="1" t="n">
        <v>1000</v>
      </c>
    </row>
    <row r="105" customFormat="false" ht="14.25" hidden="false" customHeight="false" outlineLevel="0" collapsed="false">
      <c r="A105" s="1" t="s">
        <v>1003</v>
      </c>
      <c r="B105" s="1" t="n">
        <v>1000</v>
      </c>
    </row>
    <row r="106" customFormat="false" ht="14.25" hidden="false" customHeight="false" outlineLevel="0" collapsed="false">
      <c r="A106" s="1" t="s">
        <v>1004</v>
      </c>
      <c r="B106" s="1" t="n">
        <v>1000</v>
      </c>
    </row>
    <row r="107" customFormat="false" ht="14.25" hidden="false" customHeight="false" outlineLevel="0" collapsed="false">
      <c r="A107" s="1" t="s">
        <v>1005</v>
      </c>
      <c r="B107" s="1" t="n">
        <v>1000</v>
      </c>
    </row>
    <row r="108" customFormat="false" ht="14.25" hidden="false" customHeight="false" outlineLevel="0" collapsed="false">
      <c r="A108" s="1" t="s">
        <v>1006</v>
      </c>
      <c r="B108" s="1" t="n">
        <v>1000</v>
      </c>
    </row>
    <row r="109" customFormat="false" ht="14.25" hidden="false" customHeight="false" outlineLevel="0" collapsed="false">
      <c r="A109" s="1" t="s">
        <v>1007</v>
      </c>
      <c r="B109" s="1" t="n">
        <v>1000</v>
      </c>
    </row>
    <row r="110" customFormat="false" ht="14.25" hidden="false" customHeight="false" outlineLevel="0" collapsed="false">
      <c r="A110" s="1" t="s">
        <v>1008</v>
      </c>
      <c r="B110" s="1" t="n">
        <v>1000</v>
      </c>
    </row>
    <row r="111" customFormat="false" ht="14.25" hidden="false" customHeight="false" outlineLevel="0" collapsed="false">
      <c r="A111" s="1" t="s">
        <v>1009</v>
      </c>
      <c r="B111" s="1" t="n">
        <v>1000</v>
      </c>
    </row>
    <row r="112" customFormat="false" ht="14.25" hidden="false" customHeight="false" outlineLevel="0" collapsed="false">
      <c r="A112" s="1" t="s">
        <v>1010</v>
      </c>
      <c r="B112" s="1" t="n">
        <v>1000</v>
      </c>
    </row>
    <row r="113" customFormat="false" ht="14.25" hidden="false" customHeight="false" outlineLevel="0" collapsed="false">
      <c r="A113" s="1" t="s">
        <v>1011</v>
      </c>
      <c r="B113" s="1" t="n">
        <v>1000</v>
      </c>
    </row>
    <row r="114" customFormat="false" ht="14.25" hidden="false" customHeight="false" outlineLevel="0" collapsed="false">
      <c r="A114" s="1" t="s">
        <v>1012</v>
      </c>
      <c r="B114" s="1" t="n">
        <v>1000</v>
      </c>
    </row>
    <row r="115" customFormat="false" ht="14.25" hidden="false" customHeight="false" outlineLevel="0" collapsed="false">
      <c r="A115" s="1" t="s">
        <v>1013</v>
      </c>
      <c r="B115" s="1" t="n">
        <v>1000</v>
      </c>
    </row>
    <row r="116" customFormat="false" ht="14.25" hidden="false" customHeight="false" outlineLevel="0" collapsed="false">
      <c r="A116" s="1" t="s">
        <v>1014</v>
      </c>
      <c r="B116" s="1" t="n">
        <v>1000</v>
      </c>
    </row>
    <row r="117" customFormat="false" ht="14.25" hidden="false" customHeight="false" outlineLevel="0" collapsed="false">
      <c r="A117" s="1" t="s">
        <v>1015</v>
      </c>
      <c r="B117" s="1" t="n">
        <v>1000</v>
      </c>
    </row>
    <row r="118" customFormat="false" ht="14.25" hidden="false" customHeight="false" outlineLevel="0" collapsed="false">
      <c r="A118" s="1" t="s">
        <v>1016</v>
      </c>
      <c r="B118" s="1" t="n">
        <v>1000</v>
      </c>
    </row>
    <row r="119" customFormat="false" ht="14.25" hidden="false" customHeight="false" outlineLevel="0" collapsed="false">
      <c r="A119" s="1" t="s">
        <v>1017</v>
      </c>
      <c r="B119" s="1" t="n">
        <v>1000</v>
      </c>
    </row>
    <row r="120" customFormat="false" ht="14.25" hidden="false" customHeight="false" outlineLevel="0" collapsed="false">
      <c r="A120" s="1" t="s">
        <v>1018</v>
      </c>
      <c r="B120" s="1" t="n">
        <v>1000</v>
      </c>
    </row>
    <row r="121" customFormat="false" ht="14.25" hidden="false" customHeight="false" outlineLevel="0" collapsed="false">
      <c r="A121" s="1" t="s">
        <v>1019</v>
      </c>
      <c r="B121" s="1" t="n">
        <v>1000</v>
      </c>
    </row>
    <row r="122" customFormat="false" ht="14.25" hidden="false" customHeight="false" outlineLevel="0" collapsed="false">
      <c r="A122" s="1" t="s">
        <v>1020</v>
      </c>
      <c r="B122" s="1" t="n">
        <v>1000</v>
      </c>
    </row>
    <row r="123" customFormat="false" ht="14.25" hidden="false" customHeight="false" outlineLevel="0" collapsed="false">
      <c r="A123" s="1" t="s">
        <v>1021</v>
      </c>
      <c r="B123" s="1" t="n">
        <v>1000</v>
      </c>
    </row>
    <row r="124" customFormat="false" ht="14.25" hidden="false" customHeight="false" outlineLevel="0" collapsed="false">
      <c r="A124" s="1" t="s">
        <v>1022</v>
      </c>
      <c r="B124" s="1" t="n">
        <v>1000</v>
      </c>
    </row>
    <row r="125" customFormat="false" ht="14.25" hidden="false" customHeight="false" outlineLevel="0" collapsed="false">
      <c r="A125" s="1" t="s">
        <v>1023</v>
      </c>
      <c r="B125" s="1" t="n">
        <v>1000</v>
      </c>
    </row>
    <row r="126" customFormat="false" ht="14.25" hidden="false" customHeight="false" outlineLevel="0" collapsed="false">
      <c r="A126" s="1" t="s">
        <v>1024</v>
      </c>
      <c r="B126" s="1" t="n">
        <v>1000</v>
      </c>
    </row>
    <row r="127" customFormat="false" ht="14.25" hidden="false" customHeight="false" outlineLevel="0" collapsed="false">
      <c r="A127" s="1" t="s">
        <v>1025</v>
      </c>
      <c r="B127" s="1" t="n">
        <v>1000</v>
      </c>
    </row>
    <row r="128" customFormat="false" ht="14.25" hidden="false" customHeight="false" outlineLevel="0" collapsed="false">
      <c r="A128" s="1" t="s">
        <v>1026</v>
      </c>
      <c r="B128" s="1" t="n">
        <v>1000</v>
      </c>
    </row>
    <row r="129" customFormat="false" ht="14.25" hidden="false" customHeight="false" outlineLevel="0" collapsed="false">
      <c r="A129" s="1" t="s">
        <v>1027</v>
      </c>
      <c r="B129" s="1" t="n">
        <v>1000</v>
      </c>
    </row>
    <row r="130" customFormat="false" ht="14.25" hidden="false" customHeight="false" outlineLevel="0" collapsed="false">
      <c r="A130" s="1" t="s">
        <v>1028</v>
      </c>
      <c r="B130" s="1" t="n">
        <v>1000</v>
      </c>
    </row>
    <row r="131" customFormat="false" ht="14.25" hidden="false" customHeight="false" outlineLevel="0" collapsed="false">
      <c r="A131" s="1" t="s">
        <v>1029</v>
      </c>
      <c r="B131" s="1" t="n">
        <v>1000</v>
      </c>
    </row>
    <row r="132" customFormat="false" ht="14.25" hidden="false" customHeight="false" outlineLevel="0" collapsed="false">
      <c r="A132" s="1" t="s">
        <v>1030</v>
      </c>
      <c r="B132" s="1" t="n">
        <v>1000</v>
      </c>
    </row>
    <row r="133" customFormat="false" ht="14.25" hidden="false" customHeight="false" outlineLevel="0" collapsed="false">
      <c r="A133" s="1" t="s">
        <v>565</v>
      </c>
      <c r="B133" s="1" t="n">
        <v>1000</v>
      </c>
    </row>
    <row r="134" customFormat="false" ht="14.25" hidden="false" customHeight="false" outlineLevel="0" collapsed="false">
      <c r="A134" s="1" t="s">
        <v>1031</v>
      </c>
      <c r="B134" s="1" t="n">
        <v>1000</v>
      </c>
    </row>
    <row r="135" customFormat="false" ht="14.25" hidden="false" customHeight="false" outlineLevel="0" collapsed="false">
      <c r="A135" s="1" t="s">
        <v>1032</v>
      </c>
      <c r="B135" s="1" t="n">
        <v>1000</v>
      </c>
    </row>
    <row r="136" customFormat="false" ht="14.25" hidden="false" customHeight="false" outlineLevel="0" collapsed="false">
      <c r="A136" s="1" t="s">
        <v>1033</v>
      </c>
      <c r="B136" s="1" t="n">
        <v>1000</v>
      </c>
    </row>
    <row r="137" customFormat="false" ht="14.25" hidden="false" customHeight="false" outlineLevel="0" collapsed="false">
      <c r="A137" s="1" t="s">
        <v>1034</v>
      </c>
      <c r="B137" s="1" t="n">
        <v>1000</v>
      </c>
    </row>
    <row r="138" customFormat="false" ht="14.25" hidden="false" customHeight="false" outlineLevel="0" collapsed="false">
      <c r="A138" s="1" t="s">
        <v>1035</v>
      </c>
      <c r="B138" s="1" t="n">
        <v>1000</v>
      </c>
    </row>
    <row r="139" customFormat="false" ht="14.25" hidden="false" customHeight="false" outlineLevel="0" collapsed="false">
      <c r="A139" s="1" t="s">
        <v>1036</v>
      </c>
      <c r="B139" s="1" t="n">
        <v>1000</v>
      </c>
    </row>
    <row r="140" customFormat="false" ht="14.25" hidden="false" customHeight="false" outlineLevel="0" collapsed="false">
      <c r="A140" s="1" t="s">
        <v>1037</v>
      </c>
      <c r="B140" s="1" t="n">
        <v>1000</v>
      </c>
    </row>
    <row r="141" customFormat="false" ht="14.25" hidden="false" customHeight="false" outlineLevel="0" collapsed="false">
      <c r="A141" s="1" t="s">
        <v>1038</v>
      </c>
      <c r="B141" s="1" t="n">
        <v>1000</v>
      </c>
    </row>
    <row r="142" customFormat="false" ht="14.25" hidden="false" customHeight="false" outlineLevel="0" collapsed="false">
      <c r="A142" s="1" t="s">
        <v>1039</v>
      </c>
      <c r="B142" s="1" t="n">
        <v>1000</v>
      </c>
    </row>
    <row r="143" customFormat="false" ht="14.25" hidden="false" customHeight="false" outlineLevel="0" collapsed="false">
      <c r="A143" s="1" t="s">
        <v>1040</v>
      </c>
      <c r="B143" s="1" t="n">
        <v>1000</v>
      </c>
    </row>
    <row r="144" customFormat="false" ht="14.25" hidden="false" customHeight="false" outlineLevel="0" collapsed="false">
      <c r="A144" s="1" t="s">
        <v>1041</v>
      </c>
      <c r="B144" s="1" t="n">
        <v>1000</v>
      </c>
    </row>
    <row r="145" customFormat="false" ht="14.25" hidden="false" customHeight="false" outlineLevel="0" collapsed="false">
      <c r="A145" s="1" t="s">
        <v>1042</v>
      </c>
      <c r="B145" s="1" t="n">
        <v>1000</v>
      </c>
    </row>
    <row r="146" customFormat="false" ht="14.25" hidden="false" customHeight="false" outlineLevel="0" collapsed="false">
      <c r="A146" s="1" t="s">
        <v>1043</v>
      </c>
      <c r="B146" s="1" t="n">
        <v>1000</v>
      </c>
    </row>
    <row r="147" customFormat="false" ht="14.25" hidden="false" customHeight="false" outlineLevel="0" collapsed="false">
      <c r="A147" s="1" t="s">
        <v>1044</v>
      </c>
      <c r="B147" s="1" t="n">
        <v>1000</v>
      </c>
    </row>
    <row r="148" customFormat="false" ht="14.25" hidden="false" customHeight="false" outlineLevel="0" collapsed="false">
      <c r="A148" s="1" t="s">
        <v>1045</v>
      </c>
      <c r="B148" s="1" t="n">
        <v>1000</v>
      </c>
    </row>
    <row r="149" customFormat="false" ht="14.25" hidden="false" customHeight="false" outlineLevel="0" collapsed="false">
      <c r="A149" s="1" t="s">
        <v>1046</v>
      </c>
      <c r="B149" s="1" t="n">
        <v>1000</v>
      </c>
    </row>
    <row r="150" customFormat="false" ht="14.25" hidden="false" customHeight="false" outlineLevel="0" collapsed="false">
      <c r="A150" s="1" t="s">
        <v>1047</v>
      </c>
      <c r="B150" s="1" t="n">
        <v>1000</v>
      </c>
    </row>
    <row r="151" customFormat="false" ht="14.25" hidden="false" customHeight="false" outlineLevel="0" collapsed="false">
      <c r="A151" s="1" t="s">
        <v>1048</v>
      </c>
      <c r="B151" s="1" t="n">
        <v>1000</v>
      </c>
    </row>
    <row r="152" customFormat="false" ht="14.25" hidden="false" customHeight="false" outlineLevel="0" collapsed="false">
      <c r="A152" s="1" t="s">
        <v>1049</v>
      </c>
      <c r="B152" s="1" t="n">
        <v>1000</v>
      </c>
    </row>
    <row r="153" customFormat="false" ht="14.25" hidden="false" customHeight="false" outlineLevel="0" collapsed="false">
      <c r="A153" s="1" t="s">
        <v>1050</v>
      </c>
      <c r="B153" s="1" t="n">
        <v>1000</v>
      </c>
    </row>
    <row r="154" customFormat="false" ht="14.25" hidden="false" customHeight="false" outlineLevel="0" collapsed="false">
      <c r="A154" s="1" t="s">
        <v>1051</v>
      </c>
      <c r="B154" s="1" t="n">
        <v>1000</v>
      </c>
    </row>
    <row r="155" customFormat="false" ht="14.25" hidden="false" customHeight="false" outlineLevel="0" collapsed="false">
      <c r="A155" s="1" t="s">
        <v>1052</v>
      </c>
      <c r="B155" s="1" t="n">
        <v>1000</v>
      </c>
    </row>
    <row r="156" customFormat="false" ht="14.25" hidden="false" customHeight="false" outlineLevel="0" collapsed="false">
      <c r="A156" s="1" t="s">
        <v>1053</v>
      </c>
      <c r="B156" s="1" t="n">
        <v>1000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"/>
  <sheetViews>
    <sheetView showFormulas="false" showGridLines="true" showRowColHeaders="true" showZeros="true" rightToLeft="false" tabSelected="false" showOutlineSymbols="true" defaultGridColor="true" view="normal" topLeftCell="A49" colorId="64" zoomScale="110" zoomScaleNormal="110" zoomScalePageLayoutView="100" workbookViewId="0">
      <selection pane="topLeft" activeCell="A90" activeCellId="0" sqref="A90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27" width="10.91"/>
  </cols>
  <sheetData>
    <row r="1" customFormat="false" ht="14.25" hidden="false" customHeight="false" outlineLevel="0" collapsed="false">
      <c r="A1" s="1" t="s">
        <v>1054</v>
      </c>
      <c r="B1" s="27" t="s">
        <v>905</v>
      </c>
    </row>
    <row r="2" customFormat="false" ht="14.25" hidden="false" customHeight="false" outlineLevel="0" collapsed="false">
      <c r="A2" s="1" t="s">
        <v>1055</v>
      </c>
      <c r="B2" s="27" t="n">
        <v>128</v>
      </c>
    </row>
    <row r="3" customFormat="false" ht="14.25" hidden="false" customHeight="false" outlineLevel="0" collapsed="false">
      <c r="A3" s="1" t="s">
        <v>1056</v>
      </c>
      <c r="B3" s="27" t="s">
        <v>1057</v>
      </c>
    </row>
    <row r="4" customFormat="false" ht="14.25" hidden="false" customHeight="false" outlineLevel="0" collapsed="false">
      <c r="A4" s="1" t="s">
        <v>1058</v>
      </c>
      <c r="B4" s="27" t="n">
        <v>16</v>
      </c>
    </row>
    <row r="5" customFormat="false" ht="14.25" hidden="false" customHeight="false" outlineLevel="0" collapsed="false">
      <c r="A5" s="1" t="s">
        <v>28</v>
      </c>
      <c r="B5" s="27" t="s">
        <v>1059</v>
      </c>
    </row>
    <row r="6" customFormat="false" ht="14.25" hidden="false" customHeight="false" outlineLevel="0" collapsed="false">
      <c r="A6" s="1" t="s">
        <v>808</v>
      </c>
      <c r="B6" s="27" t="n">
        <v>16</v>
      </c>
    </row>
    <row r="7" customFormat="false" ht="14.25" hidden="false" customHeight="false" outlineLevel="0" collapsed="false">
      <c r="A7" s="1" t="s">
        <v>29</v>
      </c>
      <c r="B7" s="79" t="n">
        <v>16256</v>
      </c>
    </row>
    <row r="8" customFormat="false" ht="14.25" hidden="false" customHeight="false" outlineLevel="0" collapsed="false">
      <c r="A8" s="1" t="s">
        <v>1060</v>
      </c>
      <c r="B8" s="27" t="n">
        <v>128</v>
      </c>
    </row>
    <row r="9" customFormat="false" ht="14.25" hidden="false" customHeight="false" outlineLevel="0" collapsed="false">
      <c r="A9" s="1" t="s">
        <v>1061</v>
      </c>
      <c r="B9" s="27" t="n">
        <v>128</v>
      </c>
    </row>
    <row r="10" customFormat="false" ht="14.25" hidden="false" customHeight="false" outlineLevel="0" collapsed="false">
      <c r="A10" s="1" t="s">
        <v>1062</v>
      </c>
      <c r="B10" s="79" t="n">
        <v>128256</v>
      </c>
    </row>
    <row r="11" customFormat="false" ht="14.25" hidden="false" customHeight="false" outlineLevel="0" collapsed="false">
      <c r="A11" s="1" t="s">
        <v>1063</v>
      </c>
      <c r="B11" s="27" t="n">
        <v>256</v>
      </c>
    </row>
    <row r="12" customFormat="false" ht="14.25" hidden="false" customHeight="false" outlineLevel="0" collapsed="false">
      <c r="A12" s="1" t="s">
        <v>1064</v>
      </c>
      <c r="B12" s="27" t="n">
        <v>32</v>
      </c>
    </row>
    <row r="13" customFormat="false" ht="14.25" hidden="false" customHeight="false" outlineLevel="0" collapsed="false">
      <c r="A13" s="1" t="s">
        <v>1065</v>
      </c>
      <c r="B13" s="27" t="n">
        <v>128</v>
      </c>
    </row>
    <row r="14" customFormat="false" ht="14.25" hidden="false" customHeight="false" outlineLevel="0" collapsed="false">
      <c r="A14" s="1" t="s">
        <v>1066</v>
      </c>
      <c r="B14" s="27" t="s">
        <v>1067</v>
      </c>
    </row>
    <row r="15" customFormat="false" ht="14.25" hidden="false" customHeight="false" outlineLevel="0" collapsed="false">
      <c r="A15" s="1" t="s">
        <v>494</v>
      </c>
      <c r="B15" s="27" t="s">
        <v>1067</v>
      </c>
    </row>
    <row r="16" customFormat="false" ht="14.25" hidden="false" customHeight="false" outlineLevel="0" collapsed="false">
      <c r="A16" s="1" t="s">
        <v>1068</v>
      </c>
      <c r="B16" s="27" t="n">
        <v>128</v>
      </c>
    </row>
    <row r="17" customFormat="false" ht="14.25" hidden="false" customHeight="false" outlineLevel="0" collapsed="false">
      <c r="A17" s="1" t="s">
        <v>1069</v>
      </c>
      <c r="B17" s="27" t="n">
        <v>128</v>
      </c>
    </row>
    <row r="18" customFormat="false" ht="14.25" hidden="false" customHeight="false" outlineLevel="0" collapsed="false">
      <c r="A18" s="1" t="s">
        <v>495</v>
      </c>
      <c r="B18" s="27" t="s">
        <v>1067</v>
      </c>
    </row>
    <row r="19" customFormat="false" ht="14.25" hidden="false" customHeight="false" outlineLevel="0" collapsed="false">
      <c r="A19" s="1" t="s">
        <v>1070</v>
      </c>
      <c r="B19" s="27" t="s">
        <v>1071</v>
      </c>
    </row>
    <row r="20" customFormat="false" ht="14.25" hidden="false" customHeight="false" outlineLevel="0" collapsed="false">
      <c r="A20" s="1" t="s">
        <v>1072</v>
      </c>
      <c r="B20" s="27" t="s">
        <v>1073</v>
      </c>
    </row>
    <row r="21" customFormat="false" ht="14.25" hidden="false" customHeight="false" outlineLevel="0" collapsed="false">
      <c r="A21" s="1" t="s">
        <v>1074</v>
      </c>
      <c r="B21" s="27" t="n">
        <v>16</v>
      </c>
    </row>
    <row r="22" customFormat="false" ht="14.25" hidden="false" customHeight="false" outlineLevel="0" collapsed="false">
      <c r="A22" s="1" t="s">
        <v>1075</v>
      </c>
      <c r="B22" s="27" t="s">
        <v>1076</v>
      </c>
    </row>
    <row r="23" customFormat="false" ht="14.25" hidden="false" customHeight="false" outlineLevel="0" collapsed="false">
      <c r="A23" s="1" t="s">
        <v>1077</v>
      </c>
      <c r="B23" s="27" t="n">
        <v>16</v>
      </c>
    </row>
    <row r="24" customFormat="false" ht="14.25" hidden="false" customHeight="false" outlineLevel="0" collapsed="false">
      <c r="A24" s="1" t="s">
        <v>1078</v>
      </c>
      <c r="B24" s="79" t="n">
        <v>128256</v>
      </c>
    </row>
    <row r="25" customFormat="false" ht="14.25" hidden="false" customHeight="false" outlineLevel="0" collapsed="false">
      <c r="A25" s="1" t="s">
        <v>1079</v>
      </c>
      <c r="B25" s="27" t="n">
        <v>256</v>
      </c>
    </row>
    <row r="26" customFormat="false" ht="14.25" hidden="false" customHeight="false" outlineLevel="0" collapsed="false">
      <c r="A26" s="1" t="s">
        <v>1080</v>
      </c>
      <c r="B26" s="27" t="n">
        <v>512</v>
      </c>
    </row>
    <row r="27" customFormat="false" ht="14.25" hidden="false" customHeight="false" outlineLevel="0" collapsed="false">
      <c r="A27" s="1" t="s">
        <v>1081</v>
      </c>
      <c r="B27" s="27" t="n">
        <v>512</v>
      </c>
    </row>
    <row r="28" customFormat="false" ht="14.25" hidden="false" customHeight="false" outlineLevel="0" collapsed="false">
      <c r="A28" s="1" t="s">
        <v>1082</v>
      </c>
      <c r="B28" s="27" t="n">
        <v>512</v>
      </c>
    </row>
    <row r="29" customFormat="false" ht="14.25" hidden="false" customHeight="false" outlineLevel="0" collapsed="false">
      <c r="A29" s="1" t="s">
        <v>1083</v>
      </c>
      <c r="B29" s="27" t="s">
        <v>1084</v>
      </c>
    </row>
    <row r="30" customFormat="false" ht="14.25" hidden="false" customHeight="false" outlineLevel="0" collapsed="false">
      <c r="A30" s="1" t="s">
        <v>1085</v>
      </c>
      <c r="B30" s="27" t="s">
        <v>1086</v>
      </c>
    </row>
    <row r="31" customFormat="false" ht="14.25" hidden="false" customHeight="false" outlineLevel="0" collapsed="false">
      <c r="A31" s="1" t="s">
        <v>1087</v>
      </c>
      <c r="B31" s="27" t="s">
        <v>1088</v>
      </c>
    </row>
    <row r="32" customFormat="false" ht="14.25" hidden="false" customHeight="false" outlineLevel="0" collapsed="false">
      <c r="A32" s="1" t="s">
        <v>1089</v>
      </c>
      <c r="B32" s="27" t="s">
        <v>1067</v>
      </c>
    </row>
    <row r="33" customFormat="false" ht="14.25" hidden="false" customHeight="false" outlineLevel="0" collapsed="false">
      <c r="A33" s="1" t="s">
        <v>1090</v>
      </c>
      <c r="B33" s="27" t="s">
        <v>1067</v>
      </c>
    </row>
    <row r="34" customFormat="false" ht="14.25" hidden="false" customHeight="false" outlineLevel="0" collapsed="false">
      <c r="A34" s="1" t="s">
        <v>1091</v>
      </c>
      <c r="B34" s="27" t="n">
        <v>128</v>
      </c>
    </row>
    <row r="35" customFormat="false" ht="14.25" hidden="false" customHeight="false" outlineLevel="0" collapsed="false">
      <c r="A35" s="1" t="s">
        <v>1092</v>
      </c>
      <c r="B35" s="27" t="n">
        <v>128</v>
      </c>
    </row>
    <row r="36" customFormat="false" ht="14.25" hidden="false" customHeight="false" outlineLevel="0" collapsed="false">
      <c r="A36" s="1" t="s">
        <v>498</v>
      </c>
      <c r="B36" s="27" t="n">
        <v>128</v>
      </c>
    </row>
    <row r="37" customFormat="false" ht="14.25" hidden="false" customHeight="false" outlineLevel="0" collapsed="false">
      <c r="A37" s="1" t="s">
        <v>1093</v>
      </c>
      <c r="B37" s="27" t="n">
        <v>128</v>
      </c>
    </row>
    <row r="38" customFormat="false" ht="14.25" hidden="false" customHeight="false" outlineLevel="0" collapsed="false">
      <c r="A38" s="1" t="s">
        <v>499</v>
      </c>
      <c r="B38" s="27" t="n">
        <v>128</v>
      </c>
    </row>
    <row r="39" customFormat="false" ht="14.25" hidden="false" customHeight="false" outlineLevel="0" collapsed="false">
      <c r="A39" s="1" t="s">
        <v>1094</v>
      </c>
      <c r="B39" s="27" t="n">
        <v>16</v>
      </c>
    </row>
    <row r="40" customFormat="false" ht="14.25" hidden="false" customHeight="false" outlineLevel="0" collapsed="false">
      <c r="A40" s="1" t="s">
        <v>1095</v>
      </c>
      <c r="B40" s="27" t="n">
        <v>16</v>
      </c>
    </row>
    <row r="41" customFormat="false" ht="14.25" hidden="false" customHeight="false" outlineLevel="0" collapsed="false">
      <c r="A41" s="1" t="s">
        <v>1096</v>
      </c>
      <c r="B41" s="27" t="n">
        <v>128</v>
      </c>
    </row>
    <row r="42" customFormat="false" ht="14.25" hidden="false" customHeight="false" outlineLevel="0" collapsed="false">
      <c r="A42" s="1" t="s">
        <v>1097</v>
      </c>
      <c r="B42" s="27" t="n">
        <v>128</v>
      </c>
    </row>
    <row r="43" customFormat="false" ht="14.25" hidden="false" customHeight="false" outlineLevel="0" collapsed="false">
      <c r="A43" s="1" t="s">
        <v>1098</v>
      </c>
      <c r="B43" s="27" t="n">
        <v>128</v>
      </c>
    </row>
    <row r="44" customFormat="false" ht="14.25" hidden="false" customHeight="false" outlineLevel="0" collapsed="false">
      <c r="A44" s="1" t="s">
        <v>1099</v>
      </c>
      <c r="B44" s="27" t="n">
        <v>128</v>
      </c>
    </row>
    <row r="45" customFormat="false" ht="14.25" hidden="false" customHeight="false" outlineLevel="0" collapsed="false">
      <c r="A45" s="1" t="s">
        <v>1100</v>
      </c>
      <c r="B45" s="27" t="n">
        <v>128</v>
      </c>
    </row>
    <row r="46" customFormat="false" ht="14.25" hidden="false" customHeight="false" outlineLevel="0" collapsed="false">
      <c r="A46" s="1" t="s">
        <v>1101</v>
      </c>
      <c r="B46" s="27" t="n">
        <v>128</v>
      </c>
    </row>
    <row r="47" customFormat="false" ht="14.25" hidden="false" customHeight="false" outlineLevel="0" collapsed="false">
      <c r="A47" s="1" t="s">
        <v>1102</v>
      </c>
      <c r="B47" s="27" t="s">
        <v>1103</v>
      </c>
    </row>
    <row r="48" customFormat="false" ht="14.25" hidden="false" customHeight="false" outlineLevel="0" collapsed="false">
      <c r="A48" s="1" t="s">
        <v>1104</v>
      </c>
      <c r="B48" s="27" t="s">
        <v>1067</v>
      </c>
    </row>
    <row r="49" customFormat="false" ht="14.25" hidden="false" customHeight="false" outlineLevel="0" collapsed="false">
      <c r="A49" s="1" t="s">
        <v>1105</v>
      </c>
      <c r="B49" s="27" t="n">
        <v>64</v>
      </c>
    </row>
    <row r="50" customFormat="false" ht="14.25" hidden="false" customHeight="false" outlineLevel="0" collapsed="false">
      <c r="A50" s="1" t="s">
        <v>1106</v>
      </c>
      <c r="B50" s="79" t="n">
        <v>128256</v>
      </c>
    </row>
    <row r="51" customFormat="false" ht="14.25" hidden="false" customHeight="false" outlineLevel="0" collapsed="false">
      <c r="A51" s="1" t="s">
        <v>1107</v>
      </c>
      <c r="B51" s="27" t="n">
        <v>256</v>
      </c>
    </row>
    <row r="52" customFormat="false" ht="14.25" hidden="false" customHeight="false" outlineLevel="0" collapsed="false">
      <c r="A52" s="1" t="s">
        <v>1108</v>
      </c>
      <c r="B52" s="27" t="n">
        <v>256</v>
      </c>
    </row>
    <row r="53" customFormat="false" ht="14.25" hidden="false" customHeight="false" outlineLevel="0" collapsed="false">
      <c r="A53" s="1" t="s">
        <v>1109</v>
      </c>
      <c r="B53" s="27" t="n">
        <v>64</v>
      </c>
    </row>
    <row r="54" customFormat="false" ht="14.25" hidden="false" customHeight="false" outlineLevel="0" collapsed="false">
      <c r="A54" s="1" t="s">
        <v>1110</v>
      </c>
      <c r="B54" s="27" t="n">
        <v>64</v>
      </c>
    </row>
    <row r="55" customFormat="false" ht="14.25" hidden="false" customHeight="false" outlineLevel="0" collapsed="false">
      <c r="A55" s="1" t="s">
        <v>137</v>
      </c>
      <c r="B55" s="79" t="n">
        <v>64128</v>
      </c>
    </row>
    <row r="56" customFormat="false" ht="14.25" hidden="false" customHeight="false" outlineLevel="0" collapsed="false">
      <c r="A56" s="1" t="s">
        <v>1111</v>
      </c>
      <c r="B56" s="27" t="n">
        <v>128</v>
      </c>
    </row>
    <row r="57" customFormat="false" ht="14.25" hidden="false" customHeight="false" outlineLevel="0" collapsed="false">
      <c r="A57" s="1" t="s">
        <v>500</v>
      </c>
      <c r="B57" s="79" t="n">
        <v>64128</v>
      </c>
    </row>
    <row r="58" customFormat="false" ht="14.25" hidden="false" customHeight="false" outlineLevel="0" collapsed="false">
      <c r="A58" s="1" t="s">
        <v>1112</v>
      </c>
      <c r="B58" s="79" t="n">
        <v>128256</v>
      </c>
    </row>
    <row r="59" customFormat="false" ht="14.25" hidden="false" customHeight="false" outlineLevel="0" collapsed="false">
      <c r="A59" s="1" t="s">
        <v>1113</v>
      </c>
      <c r="B59" s="27" t="n">
        <v>256</v>
      </c>
    </row>
    <row r="60" customFormat="false" ht="14.25" hidden="false" customHeight="false" outlineLevel="0" collapsed="false">
      <c r="A60" s="1" t="s">
        <v>1114</v>
      </c>
      <c r="B60" s="27" t="n">
        <v>256</v>
      </c>
    </row>
    <row r="61" customFormat="false" ht="14.25" hidden="false" customHeight="false" outlineLevel="0" collapsed="false">
      <c r="A61" s="1" t="s">
        <v>54</v>
      </c>
      <c r="B61" s="27" t="s">
        <v>1115</v>
      </c>
    </row>
    <row r="62" customFormat="false" ht="14.25" hidden="false" customHeight="false" outlineLevel="0" collapsed="false">
      <c r="A62" s="1" t="s">
        <v>1116</v>
      </c>
      <c r="B62" s="79" t="n">
        <v>64256</v>
      </c>
    </row>
    <row r="63" customFormat="false" ht="14.25" hidden="false" customHeight="false" outlineLevel="0" collapsed="false">
      <c r="A63" s="1" t="s">
        <v>1117</v>
      </c>
      <c r="B63" s="79" t="n">
        <v>64256</v>
      </c>
    </row>
    <row r="64" customFormat="false" ht="14.25" hidden="false" customHeight="false" outlineLevel="0" collapsed="false">
      <c r="A64" s="1" t="s">
        <v>1118</v>
      </c>
      <c r="B64" s="79" t="n">
        <v>64256</v>
      </c>
    </row>
    <row r="65" customFormat="false" ht="14.25" hidden="false" customHeight="false" outlineLevel="0" collapsed="false">
      <c r="A65" s="1" t="s">
        <v>1119</v>
      </c>
      <c r="B65" s="27" t="n">
        <v>128</v>
      </c>
    </row>
    <row r="66" customFormat="false" ht="14.25" hidden="false" customHeight="false" outlineLevel="0" collapsed="false">
      <c r="A66" s="1" t="s">
        <v>1120</v>
      </c>
      <c r="B66" s="27" t="s">
        <v>1067</v>
      </c>
    </row>
    <row r="67" customFormat="false" ht="14.25" hidden="false" customHeight="false" outlineLevel="0" collapsed="false">
      <c r="A67" s="1" t="s">
        <v>1121</v>
      </c>
      <c r="B67" s="27" t="n">
        <v>128</v>
      </c>
    </row>
    <row r="68" customFormat="false" ht="14.25" hidden="false" customHeight="false" outlineLevel="0" collapsed="false">
      <c r="A68" s="1" t="s">
        <v>1122</v>
      </c>
      <c r="B68" s="27" t="s">
        <v>1103</v>
      </c>
    </row>
    <row r="69" customFormat="false" ht="14.25" hidden="false" customHeight="false" outlineLevel="0" collapsed="false">
      <c r="A69" s="1" t="s">
        <v>1123</v>
      </c>
      <c r="B69" s="27" t="s">
        <v>1115</v>
      </c>
    </row>
    <row r="70" customFormat="false" ht="14.25" hidden="false" customHeight="false" outlineLevel="0" collapsed="false">
      <c r="A70" s="1" t="s">
        <v>1124</v>
      </c>
      <c r="B70" s="79" t="n">
        <v>64256</v>
      </c>
    </row>
    <row r="71" customFormat="false" ht="14.25" hidden="false" customHeight="false" outlineLevel="0" collapsed="false">
      <c r="A71" s="1" t="s">
        <v>1125</v>
      </c>
      <c r="B71" s="27" t="n">
        <v>64</v>
      </c>
    </row>
    <row r="72" customFormat="false" ht="14.25" hidden="false" customHeight="false" outlineLevel="0" collapsed="false">
      <c r="A72" s="1" t="s">
        <v>1126</v>
      </c>
      <c r="B72" s="27" t="s">
        <v>1127</v>
      </c>
    </row>
    <row r="73" customFormat="false" ht="14.25" hidden="false" customHeight="false" outlineLevel="0" collapsed="false">
      <c r="A73" s="1" t="s">
        <v>1128</v>
      </c>
      <c r="B73" s="27" t="n">
        <v>64</v>
      </c>
    </row>
    <row r="74" customFormat="false" ht="14.25" hidden="false" customHeight="false" outlineLevel="0" collapsed="false">
      <c r="A74" s="1" t="s">
        <v>1129</v>
      </c>
      <c r="B74" s="27" t="s">
        <v>1130</v>
      </c>
    </row>
    <row r="75" customFormat="false" ht="14.25" hidden="false" customHeight="false" outlineLevel="0" collapsed="false">
      <c r="A75" s="1" t="s">
        <v>1131</v>
      </c>
      <c r="B75" s="27" t="s">
        <v>1130</v>
      </c>
    </row>
    <row r="76" customFormat="false" ht="14.25" hidden="false" customHeight="false" outlineLevel="0" collapsed="false">
      <c r="A76" s="1" t="s">
        <v>1132</v>
      </c>
      <c r="B76" s="27" t="n">
        <v>16</v>
      </c>
    </row>
    <row r="77" customFormat="false" ht="14.25" hidden="false" customHeight="false" outlineLevel="0" collapsed="false">
      <c r="A77" s="1" t="s">
        <v>57</v>
      </c>
      <c r="B77" s="27" t="n">
        <v>4</v>
      </c>
    </row>
    <row r="78" customFormat="false" ht="14.25" hidden="false" customHeight="false" outlineLevel="0" collapsed="false">
      <c r="A78" s="1" t="s">
        <v>1133</v>
      </c>
      <c r="B78" s="27" t="n">
        <v>16</v>
      </c>
    </row>
    <row r="79" customFormat="false" ht="14.25" hidden="false" customHeight="false" outlineLevel="0" collapsed="false">
      <c r="A79" s="1" t="s">
        <v>1134</v>
      </c>
      <c r="B79" s="27" t="n">
        <v>4</v>
      </c>
    </row>
    <row r="80" customFormat="false" ht="14.25" hidden="false" customHeight="false" outlineLevel="0" collapsed="false">
      <c r="A80" s="1" t="s">
        <v>1135</v>
      </c>
      <c r="B80" s="27" t="n">
        <v>32</v>
      </c>
    </row>
    <row r="81" customFormat="false" ht="14.25" hidden="false" customHeight="false" outlineLevel="0" collapsed="false">
      <c r="A81" s="1" t="s">
        <v>1136</v>
      </c>
      <c r="B81" s="27" t="n">
        <v>256</v>
      </c>
    </row>
    <row r="82" customFormat="false" ht="14.25" hidden="false" customHeight="false" outlineLevel="0" collapsed="false">
      <c r="A82" s="1" t="s">
        <v>1137</v>
      </c>
      <c r="B82" s="27" t="n">
        <v>256</v>
      </c>
    </row>
    <row r="83" customFormat="false" ht="14.25" hidden="false" customHeight="false" outlineLevel="0" collapsed="false">
      <c r="A83" s="1" t="s">
        <v>1138</v>
      </c>
      <c r="B83" s="27" t="n">
        <v>64</v>
      </c>
    </row>
    <row r="84" customFormat="false" ht="14.25" hidden="false" customHeight="false" outlineLevel="0" collapsed="false">
      <c r="A84" s="1" t="s">
        <v>1139</v>
      </c>
      <c r="B84" s="79" t="n">
        <v>128256</v>
      </c>
    </row>
    <row r="85" customFormat="false" ht="14.25" hidden="false" customHeight="false" outlineLevel="0" collapsed="false">
      <c r="A85" s="1" t="s">
        <v>1140</v>
      </c>
      <c r="B85" s="27" t="n">
        <v>256</v>
      </c>
    </row>
    <row r="86" customFormat="false" ht="14.25" hidden="false" customHeight="false" outlineLevel="0" collapsed="false">
      <c r="A86" s="1" t="s">
        <v>1141</v>
      </c>
      <c r="B86" s="27" t="n">
        <v>256</v>
      </c>
    </row>
    <row r="87" customFormat="false" ht="14.25" hidden="false" customHeight="false" outlineLevel="0" collapsed="false">
      <c r="A87" s="1" t="s">
        <v>142</v>
      </c>
      <c r="B87" s="79" t="n">
        <v>64128</v>
      </c>
    </row>
    <row r="88" customFormat="false" ht="14.25" hidden="false" customHeight="false" outlineLevel="0" collapsed="false">
      <c r="A88" s="1" t="s">
        <v>1142</v>
      </c>
      <c r="B88" s="27" t="n">
        <v>128</v>
      </c>
    </row>
    <row r="89" customFormat="false" ht="14.25" hidden="false" customHeight="false" outlineLevel="0" collapsed="false">
      <c r="A89" s="1" t="s">
        <v>503</v>
      </c>
      <c r="B89" s="79" t="n">
        <v>64128</v>
      </c>
    </row>
    <row r="90" customFormat="false" ht="14.25" hidden="false" customHeight="false" outlineLevel="0" collapsed="false">
      <c r="A90" s="1" t="s">
        <v>60</v>
      </c>
      <c r="B90" s="27" t="n">
        <v>256</v>
      </c>
    </row>
    <row r="91" customFormat="false" ht="14.25" hidden="false" customHeight="false" outlineLevel="0" collapsed="false">
      <c r="A91" s="1" t="s">
        <v>1143</v>
      </c>
      <c r="B91" s="27" t="n">
        <v>256</v>
      </c>
    </row>
    <row r="92" customFormat="false" ht="14.25" hidden="false" customHeight="false" outlineLevel="0" collapsed="false">
      <c r="A92" s="1" t="s">
        <v>61</v>
      </c>
      <c r="B92" s="27" t="n">
        <v>4</v>
      </c>
    </row>
    <row r="93" customFormat="false" ht="14.25" hidden="false" customHeight="false" outlineLevel="0" collapsed="false">
      <c r="A93" s="1" t="s">
        <v>1034</v>
      </c>
      <c r="B93" s="27" t="n">
        <v>128</v>
      </c>
    </row>
    <row r="94" customFormat="false" ht="14.25" hidden="false" customHeight="false" outlineLevel="0" collapsed="false">
      <c r="A94" s="1" t="s">
        <v>1144</v>
      </c>
      <c r="B94" s="27" t="n">
        <v>128</v>
      </c>
    </row>
    <row r="95" customFormat="false" ht="14.25" hidden="false" customHeight="false" outlineLevel="0" collapsed="false">
      <c r="A95" s="1" t="s">
        <v>1145</v>
      </c>
      <c r="B95" s="27" t="n">
        <v>128</v>
      </c>
    </row>
    <row r="96" customFormat="false" ht="14.25" hidden="false" customHeight="false" outlineLevel="0" collapsed="false">
      <c r="A96" s="1" t="s">
        <v>1146</v>
      </c>
      <c r="B96" s="27" t="n">
        <v>4</v>
      </c>
    </row>
    <row r="97" customFormat="false" ht="14.25" hidden="false" customHeight="false" outlineLevel="0" collapsed="false">
      <c r="A97" s="1" t="s">
        <v>1147</v>
      </c>
      <c r="B97" s="27" t="n">
        <v>4</v>
      </c>
    </row>
    <row r="98" customFormat="false" ht="14.25" hidden="false" customHeight="false" outlineLevel="0" collapsed="false">
      <c r="A98" s="1" t="s">
        <v>1148</v>
      </c>
      <c r="B98" s="27" t="n">
        <v>16</v>
      </c>
    </row>
    <row r="99" customFormat="false" ht="14.25" hidden="false" customHeight="false" outlineLevel="0" collapsed="false">
      <c r="A99" s="1" t="s">
        <v>1149</v>
      </c>
      <c r="B99" s="27" t="n">
        <v>32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9"/>
  <sheetViews>
    <sheetView showFormulas="false" showGridLines="true" showRowColHeaders="true" showZeros="true" rightToLeft="false" tabSelected="false" showOutlineSymbols="true" defaultGridColor="true" view="normal" topLeftCell="A43" colorId="64" zoomScale="110" zoomScaleNormal="110" zoomScalePageLayoutView="100" workbookViewId="0">
      <selection pane="topLeft" activeCell="C39" activeCellId="0" sqref="C39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23.91"/>
    <col collapsed="false" customWidth="true" hidden="false" outlineLevel="0" max="2" min="2" style="27" width="10.91"/>
  </cols>
  <sheetData>
    <row r="1" customFormat="false" ht="14.25" hidden="false" customHeight="false" outlineLevel="0" collapsed="false">
      <c r="A1" s="1" t="s">
        <v>1150</v>
      </c>
      <c r="B1" s="27" t="s">
        <v>905</v>
      </c>
    </row>
    <row r="2" customFormat="false" ht="14.25" hidden="false" customHeight="false" outlineLevel="0" collapsed="false">
      <c r="A2" s="1" t="s">
        <v>1151</v>
      </c>
      <c r="B2" s="27" t="n">
        <v>200</v>
      </c>
    </row>
    <row r="3" customFormat="false" ht="14.25" hidden="false" customHeight="false" outlineLevel="0" collapsed="false">
      <c r="A3" s="1" t="s">
        <v>28</v>
      </c>
      <c r="B3" s="27" t="n">
        <v>25</v>
      </c>
    </row>
    <row r="4" customFormat="false" ht="14.25" hidden="false" customHeight="false" outlineLevel="0" collapsed="false">
      <c r="A4" s="1" t="s">
        <v>1152</v>
      </c>
      <c r="B4" s="27" t="n">
        <v>1</v>
      </c>
    </row>
    <row r="5" customFormat="false" ht="14.25" hidden="false" customHeight="false" outlineLevel="0" collapsed="false">
      <c r="A5" s="1" t="s">
        <v>1153</v>
      </c>
      <c r="B5" s="27" t="n">
        <v>50</v>
      </c>
    </row>
    <row r="6" customFormat="false" ht="14.25" hidden="false" customHeight="false" outlineLevel="0" collapsed="false">
      <c r="A6" s="1" t="s">
        <v>1154</v>
      </c>
      <c r="B6" s="27" t="n">
        <v>100</v>
      </c>
    </row>
    <row r="7" customFormat="false" ht="14.25" hidden="false" customHeight="false" outlineLevel="0" collapsed="false">
      <c r="A7" s="1" t="s">
        <v>1155</v>
      </c>
      <c r="B7" s="27" t="n">
        <v>200</v>
      </c>
    </row>
    <row r="8" customFormat="false" ht="14.25" hidden="false" customHeight="false" outlineLevel="0" collapsed="false">
      <c r="A8" s="1" t="s">
        <v>691</v>
      </c>
      <c r="B8" s="27" t="n">
        <v>50</v>
      </c>
    </row>
    <row r="9" customFormat="false" ht="14.25" hidden="false" customHeight="false" outlineLevel="0" collapsed="false">
      <c r="A9" s="1" t="s">
        <v>692</v>
      </c>
      <c r="B9" s="27" t="n">
        <v>1</v>
      </c>
    </row>
    <row r="10" customFormat="false" ht="14.25" hidden="false" customHeight="false" outlineLevel="0" collapsed="false">
      <c r="A10" s="1" t="s">
        <v>1156</v>
      </c>
      <c r="B10" s="27" t="n">
        <v>200</v>
      </c>
    </row>
    <row r="11" customFormat="false" ht="14.25" hidden="false" customHeight="false" outlineLevel="0" collapsed="false">
      <c r="A11" s="1" t="s">
        <v>1157</v>
      </c>
      <c r="B11" s="27" t="n">
        <v>200</v>
      </c>
    </row>
    <row r="12" customFormat="false" ht="14.25" hidden="false" customHeight="false" outlineLevel="0" collapsed="false">
      <c r="A12" s="1" t="s">
        <v>1158</v>
      </c>
      <c r="B12" s="27" t="n">
        <v>50</v>
      </c>
    </row>
    <row r="13" customFormat="false" ht="14.25" hidden="false" customHeight="false" outlineLevel="0" collapsed="false">
      <c r="A13" s="1" t="s">
        <v>1159</v>
      </c>
      <c r="B13" s="27" t="n">
        <v>200</v>
      </c>
    </row>
    <row r="14" customFormat="false" ht="14.25" hidden="false" customHeight="false" outlineLevel="0" collapsed="false">
      <c r="A14" s="1" t="s">
        <v>1160</v>
      </c>
      <c r="B14" s="27" t="n">
        <v>3</v>
      </c>
    </row>
    <row r="15" customFormat="false" ht="14.25" hidden="false" customHeight="false" outlineLevel="0" collapsed="false">
      <c r="A15" s="1" t="s">
        <v>1161</v>
      </c>
      <c r="B15" s="27" t="n">
        <v>50</v>
      </c>
    </row>
    <row r="16" customFormat="false" ht="14.25" hidden="false" customHeight="false" outlineLevel="0" collapsed="false">
      <c r="A16" s="1" t="s">
        <v>471</v>
      </c>
      <c r="B16" s="27" t="n">
        <v>100</v>
      </c>
    </row>
    <row r="17" customFormat="false" ht="14.25" hidden="false" customHeight="false" outlineLevel="0" collapsed="false">
      <c r="A17" s="1" t="s">
        <v>1162</v>
      </c>
      <c r="B17" s="27" t="n">
        <v>2</v>
      </c>
    </row>
    <row r="18" customFormat="false" ht="14.25" hidden="false" customHeight="false" outlineLevel="0" collapsed="false">
      <c r="A18" s="1" t="s">
        <v>1163</v>
      </c>
      <c r="B18" s="27" t="n">
        <v>25</v>
      </c>
    </row>
    <row r="19" customFormat="false" ht="14.25" hidden="false" customHeight="false" outlineLevel="0" collapsed="false">
      <c r="A19" s="1" t="s">
        <v>1164</v>
      </c>
      <c r="B19" s="27" t="n">
        <v>25</v>
      </c>
    </row>
    <row r="20" customFormat="false" ht="14.25" hidden="false" customHeight="false" outlineLevel="0" collapsed="false">
      <c r="A20" s="1" t="s">
        <v>1165</v>
      </c>
      <c r="B20" s="27" t="n">
        <v>200</v>
      </c>
    </row>
    <row r="21" customFormat="false" ht="14.25" hidden="false" customHeight="false" outlineLevel="0" collapsed="false">
      <c r="A21" s="1" t="s">
        <v>1166</v>
      </c>
      <c r="B21" s="27" t="n">
        <v>200</v>
      </c>
    </row>
    <row r="22" customFormat="false" ht="14.25" hidden="false" customHeight="false" outlineLevel="0" collapsed="false">
      <c r="A22" s="1" t="s">
        <v>1167</v>
      </c>
      <c r="B22" s="27" t="s">
        <v>1168</v>
      </c>
    </row>
    <row r="23" customFormat="false" ht="14.25" hidden="false" customHeight="false" outlineLevel="0" collapsed="false">
      <c r="A23" s="1" t="s">
        <v>811</v>
      </c>
      <c r="B23" s="27" t="n">
        <v>100</v>
      </c>
    </row>
    <row r="24" customFormat="false" ht="14.25" hidden="false" customHeight="false" outlineLevel="0" collapsed="false">
      <c r="A24" s="1" t="s">
        <v>1169</v>
      </c>
      <c r="B24" s="27" t="n">
        <v>200</v>
      </c>
    </row>
    <row r="25" customFormat="false" ht="14.25" hidden="false" customHeight="false" outlineLevel="0" collapsed="false">
      <c r="A25" s="1" t="s">
        <v>312</v>
      </c>
      <c r="B25" s="27" t="s">
        <v>146</v>
      </c>
    </row>
    <row r="26" customFormat="false" ht="14.25" hidden="false" customHeight="false" outlineLevel="0" collapsed="false">
      <c r="A26" s="1" t="s">
        <v>462</v>
      </c>
      <c r="B26" s="27" t="s">
        <v>1170</v>
      </c>
    </row>
    <row r="27" customFormat="false" ht="14.25" hidden="false" customHeight="false" outlineLevel="0" collapsed="false">
      <c r="A27" s="1" t="s">
        <v>134</v>
      </c>
      <c r="B27" s="27" t="n">
        <v>100</v>
      </c>
    </row>
    <row r="28" customFormat="false" ht="14.25" hidden="false" customHeight="false" outlineLevel="0" collapsed="false">
      <c r="A28" s="1" t="s">
        <v>1171</v>
      </c>
      <c r="B28" s="27" t="n">
        <v>200</v>
      </c>
    </row>
    <row r="29" customFormat="false" ht="14.25" hidden="false" customHeight="false" outlineLevel="0" collapsed="false">
      <c r="A29" s="1" t="s">
        <v>1172</v>
      </c>
      <c r="B29" s="27" t="n">
        <v>50</v>
      </c>
    </row>
    <row r="30" customFormat="false" ht="14.25" hidden="false" customHeight="false" outlineLevel="0" collapsed="false">
      <c r="A30" s="1" t="s">
        <v>1173</v>
      </c>
      <c r="B30" s="27" t="n">
        <v>1</v>
      </c>
    </row>
    <row r="31" customFormat="false" ht="14.25" hidden="false" customHeight="false" outlineLevel="0" collapsed="false">
      <c r="A31" s="1" t="s">
        <v>1174</v>
      </c>
      <c r="B31" s="27" t="n">
        <v>100</v>
      </c>
    </row>
    <row r="32" customFormat="false" ht="14.25" hidden="false" customHeight="false" outlineLevel="0" collapsed="false">
      <c r="A32" s="1" t="s">
        <v>1175</v>
      </c>
      <c r="B32" s="27" t="n">
        <v>25</v>
      </c>
    </row>
    <row r="33" customFormat="false" ht="14.25" hidden="false" customHeight="false" outlineLevel="0" collapsed="false">
      <c r="A33" s="1" t="s">
        <v>1176</v>
      </c>
      <c r="B33" s="27" t="n">
        <v>200</v>
      </c>
    </row>
    <row r="34" customFormat="false" ht="14.25" hidden="false" customHeight="false" outlineLevel="0" collapsed="false">
      <c r="A34" s="1" t="s">
        <v>1177</v>
      </c>
      <c r="B34" s="27" t="n">
        <v>200</v>
      </c>
    </row>
    <row r="35" customFormat="false" ht="14.25" hidden="false" customHeight="false" outlineLevel="0" collapsed="false">
      <c r="A35" s="1" t="s">
        <v>1178</v>
      </c>
      <c r="B35" s="27" t="n">
        <v>200</v>
      </c>
    </row>
    <row r="36" customFormat="false" ht="14.25" hidden="false" customHeight="false" outlineLevel="0" collapsed="false">
      <c r="A36" s="1" t="s">
        <v>1179</v>
      </c>
      <c r="B36" s="27" t="n">
        <v>25</v>
      </c>
    </row>
    <row r="37" customFormat="false" ht="14.25" hidden="false" customHeight="false" outlineLevel="0" collapsed="false">
      <c r="A37" s="1" t="s">
        <v>1083</v>
      </c>
      <c r="B37" s="27" t="n">
        <v>200</v>
      </c>
    </row>
    <row r="38" customFormat="false" ht="14.25" hidden="false" customHeight="false" outlineLevel="0" collapsed="false">
      <c r="A38" s="1" t="s">
        <v>1180</v>
      </c>
      <c r="B38" s="27" t="n">
        <v>100</v>
      </c>
    </row>
    <row r="39" customFormat="false" ht="14.25" hidden="false" customHeight="false" outlineLevel="0" collapsed="false">
      <c r="A39" s="1" t="s">
        <v>463</v>
      </c>
      <c r="B39" s="27" t="n">
        <v>200</v>
      </c>
    </row>
    <row r="40" customFormat="false" ht="14.25" hidden="false" customHeight="false" outlineLevel="0" collapsed="false">
      <c r="A40" s="1" t="s">
        <v>1181</v>
      </c>
      <c r="B40" s="27" t="n">
        <v>25</v>
      </c>
    </row>
    <row r="41" customFormat="false" ht="14.25" hidden="false" customHeight="false" outlineLevel="0" collapsed="false">
      <c r="A41" s="1" t="s">
        <v>1182</v>
      </c>
      <c r="B41" s="27" t="n">
        <v>100</v>
      </c>
    </row>
    <row r="42" customFormat="false" ht="14.25" hidden="false" customHeight="false" outlineLevel="0" collapsed="false">
      <c r="A42" s="1" t="s">
        <v>335</v>
      </c>
      <c r="B42" s="27" t="n">
        <v>200</v>
      </c>
    </row>
    <row r="43" customFormat="false" ht="14.25" hidden="false" customHeight="false" outlineLevel="0" collapsed="false">
      <c r="A43" s="1" t="s">
        <v>336</v>
      </c>
      <c r="B43" s="27" t="n">
        <v>200</v>
      </c>
    </row>
    <row r="44" customFormat="false" ht="14.25" hidden="false" customHeight="false" outlineLevel="0" collapsed="false">
      <c r="A44" s="1" t="s">
        <v>695</v>
      </c>
      <c r="B44" s="27" t="n">
        <v>100</v>
      </c>
    </row>
    <row r="45" customFormat="false" ht="14.25" hidden="false" customHeight="false" outlineLevel="0" collapsed="false">
      <c r="A45" s="1" t="s">
        <v>696</v>
      </c>
      <c r="B45" s="27" t="n">
        <v>75</v>
      </c>
    </row>
    <row r="46" customFormat="false" ht="14.25" hidden="false" customHeight="false" outlineLevel="0" collapsed="false">
      <c r="A46" s="1" t="s">
        <v>1094</v>
      </c>
      <c r="B46" s="27" t="n">
        <v>200</v>
      </c>
    </row>
    <row r="47" customFormat="false" ht="14.25" hidden="false" customHeight="false" outlineLevel="0" collapsed="false">
      <c r="A47" s="1" t="s">
        <v>846</v>
      </c>
      <c r="B47" s="27" t="n">
        <v>10</v>
      </c>
    </row>
    <row r="48" customFormat="false" ht="14.25" hidden="false" customHeight="false" outlineLevel="0" collapsed="false">
      <c r="A48" s="1" t="s">
        <v>1183</v>
      </c>
      <c r="B48" s="27" t="n">
        <v>200</v>
      </c>
    </row>
    <row r="49" customFormat="false" ht="14.25" hidden="false" customHeight="false" outlineLevel="0" collapsed="false">
      <c r="A49" s="1" t="s">
        <v>1184</v>
      </c>
      <c r="B49" s="27" t="n">
        <v>200</v>
      </c>
    </row>
    <row r="50" customFormat="false" ht="14.25" hidden="false" customHeight="false" outlineLevel="0" collapsed="false">
      <c r="A50" s="1" t="s">
        <v>1185</v>
      </c>
      <c r="B50" s="27" t="s">
        <v>1186</v>
      </c>
    </row>
    <row r="51" customFormat="false" ht="14.25" hidden="false" customHeight="false" outlineLevel="0" collapsed="false">
      <c r="A51" s="1" t="s">
        <v>1187</v>
      </c>
      <c r="B51" s="27" t="n">
        <v>10</v>
      </c>
    </row>
    <row r="52" customFormat="false" ht="14.25" hidden="false" customHeight="false" outlineLevel="0" collapsed="false">
      <c r="A52" s="1" t="s">
        <v>1188</v>
      </c>
      <c r="B52" s="27" t="n">
        <v>25</v>
      </c>
    </row>
    <row r="53" customFormat="false" ht="14.25" hidden="false" customHeight="false" outlineLevel="0" collapsed="false">
      <c r="A53" s="1" t="s">
        <v>1189</v>
      </c>
      <c r="B53" s="27" t="n">
        <v>200</v>
      </c>
    </row>
    <row r="54" customFormat="false" ht="14.25" hidden="false" customHeight="false" outlineLevel="0" collapsed="false">
      <c r="A54" s="1" t="s">
        <v>1190</v>
      </c>
      <c r="B54" s="27" t="n">
        <v>25</v>
      </c>
    </row>
    <row r="55" customFormat="false" ht="14.25" hidden="false" customHeight="false" outlineLevel="0" collapsed="false">
      <c r="A55" s="1" t="s">
        <v>1191</v>
      </c>
      <c r="B55" s="27" t="n">
        <v>100</v>
      </c>
    </row>
    <row r="56" customFormat="false" ht="14.25" hidden="false" customHeight="false" outlineLevel="0" collapsed="false">
      <c r="A56" s="1" t="s">
        <v>1192</v>
      </c>
      <c r="B56" s="27" t="n">
        <v>200</v>
      </c>
    </row>
    <row r="57" customFormat="false" ht="14.25" hidden="false" customHeight="false" outlineLevel="0" collapsed="false">
      <c r="A57" s="28" t="s">
        <v>137</v>
      </c>
      <c r="B57" s="27" t="n">
        <v>200</v>
      </c>
    </row>
    <row r="58" customFormat="false" ht="14.25" hidden="false" customHeight="false" outlineLevel="0" collapsed="false">
      <c r="A58" s="1" t="s">
        <v>1193</v>
      </c>
      <c r="B58" s="27" t="n">
        <v>200</v>
      </c>
    </row>
    <row r="59" customFormat="false" ht="14.25" hidden="false" customHeight="false" outlineLevel="0" collapsed="false">
      <c r="A59" s="1" t="s">
        <v>1194</v>
      </c>
      <c r="B59" s="27" t="n">
        <v>50</v>
      </c>
    </row>
    <row r="60" customFormat="false" ht="14.25" hidden="false" customHeight="false" outlineLevel="0" collapsed="false">
      <c r="A60" s="28" t="s">
        <v>1195</v>
      </c>
      <c r="B60" s="27" t="n">
        <v>100</v>
      </c>
    </row>
    <row r="61" customFormat="false" ht="14.25" hidden="false" customHeight="false" outlineLevel="0" collapsed="false">
      <c r="A61" s="1" t="s">
        <v>1196</v>
      </c>
      <c r="B61" s="27" t="n">
        <v>200</v>
      </c>
    </row>
    <row r="62" customFormat="false" ht="14.25" hidden="false" customHeight="false" outlineLevel="0" collapsed="false">
      <c r="A62" s="1" t="s">
        <v>1197</v>
      </c>
      <c r="B62" s="27" t="n">
        <v>3</v>
      </c>
    </row>
    <row r="63" customFormat="false" ht="14.25" hidden="false" customHeight="false" outlineLevel="0" collapsed="false">
      <c r="A63" s="1" t="s">
        <v>1198</v>
      </c>
      <c r="B63" s="27" t="n">
        <v>200</v>
      </c>
    </row>
    <row r="64" customFormat="false" ht="14.25" hidden="false" customHeight="false" outlineLevel="0" collapsed="false">
      <c r="A64" s="1" t="s">
        <v>1199</v>
      </c>
      <c r="B64" s="27" t="n">
        <v>10</v>
      </c>
    </row>
    <row r="65" customFormat="false" ht="14.25" hidden="false" customHeight="false" outlineLevel="0" collapsed="false">
      <c r="A65" s="1" t="s">
        <v>1200</v>
      </c>
      <c r="B65" s="27" t="n">
        <v>200</v>
      </c>
    </row>
    <row r="66" customFormat="false" ht="14.25" hidden="false" customHeight="false" outlineLevel="0" collapsed="false">
      <c r="A66" s="1" t="s">
        <v>1201</v>
      </c>
      <c r="B66" s="27" t="n">
        <v>200</v>
      </c>
    </row>
    <row r="67" customFormat="false" ht="14.25" hidden="false" customHeight="false" outlineLevel="0" collapsed="false">
      <c r="A67" s="1" t="s">
        <v>1202</v>
      </c>
      <c r="B67" s="27" t="n">
        <v>200</v>
      </c>
    </row>
    <row r="68" customFormat="false" ht="14.25" hidden="false" customHeight="false" outlineLevel="0" collapsed="false">
      <c r="A68" s="1" t="s">
        <v>1203</v>
      </c>
      <c r="B68" s="27" t="n">
        <v>200</v>
      </c>
    </row>
    <row r="69" customFormat="false" ht="14.25" hidden="false" customHeight="false" outlineLevel="0" collapsed="false">
      <c r="A69" s="1" t="s">
        <v>1204</v>
      </c>
      <c r="B69" s="27" t="n">
        <v>200</v>
      </c>
    </row>
    <row r="70" customFormat="false" ht="14.25" hidden="false" customHeight="false" outlineLevel="0" collapsed="false">
      <c r="A70" s="1" t="s">
        <v>1205</v>
      </c>
      <c r="B70" s="27" t="s">
        <v>1206</v>
      </c>
    </row>
    <row r="71" customFormat="false" ht="14.25" hidden="false" customHeight="false" outlineLevel="0" collapsed="false">
      <c r="A71" s="1" t="s">
        <v>1207</v>
      </c>
      <c r="B71" s="27" t="n">
        <v>20</v>
      </c>
    </row>
    <row r="72" customFormat="false" ht="14.25" hidden="false" customHeight="false" outlineLevel="0" collapsed="false">
      <c r="A72" s="1" t="s">
        <v>697</v>
      </c>
      <c r="B72" s="27" t="n">
        <v>200</v>
      </c>
    </row>
    <row r="73" customFormat="false" ht="14.25" hidden="false" customHeight="false" outlineLevel="0" collapsed="false">
      <c r="A73" s="1" t="s">
        <v>698</v>
      </c>
      <c r="B73" s="27" t="n">
        <v>10</v>
      </c>
    </row>
    <row r="74" customFormat="false" ht="14.25" hidden="false" customHeight="false" outlineLevel="0" collapsed="false">
      <c r="A74" s="1" t="s">
        <v>1208</v>
      </c>
      <c r="B74" s="27" t="n">
        <v>200</v>
      </c>
    </row>
    <row r="75" customFormat="false" ht="14.25" hidden="false" customHeight="false" outlineLevel="0" collapsed="false">
      <c r="A75" s="1" t="s">
        <v>57</v>
      </c>
      <c r="B75" s="27" t="s">
        <v>1206</v>
      </c>
    </row>
    <row r="76" customFormat="false" ht="14.25" hidden="false" customHeight="false" outlineLevel="0" collapsed="false">
      <c r="A76" s="1" t="s">
        <v>58</v>
      </c>
      <c r="B76" s="27" t="n">
        <v>200</v>
      </c>
    </row>
    <row r="77" customFormat="false" ht="14.25" hidden="false" customHeight="false" outlineLevel="0" collapsed="false">
      <c r="A77" s="1" t="s">
        <v>1209</v>
      </c>
      <c r="B77" s="27" t="n">
        <v>10</v>
      </c>
    </row>
    <row r="78" customFormat="false" ht="14.25" hidden="false" customHeight="false" outlineLevel="0" collapsed="false">
      <c r="A78" s="1" t="s">
        <v>1210</v>
      </c>
      <c r="B78" s="27" t="n">
        <v>100</v>
      </c>
    </row>
    <row r="79" customFormat="false" ht="14.25" hidden="false" customHeight="false" outlineLevel="0" collapsed="false">
      <c r="A79" s="1" t="s">
        <v>1211</v>
      </c>
      <c r="B79" s="27" t="n">
        <v>100</v>
      </c>
    </row>
    <row r="80" customFormat="false" ht="14.25" hidden="false" customHeight="false" outlineLevel="0" collapsed="false">
      <c r="A80" s="1" t="s">
        <v>1212</v>
      </c>
      <c r="B80" s="27" t="n">
        <v>200</v>
      </c>
    </row>
    <row r="81" customFormat="false" ht="14.25" hidden="false" customHeight="false" outlineLevel="0" collapsed="false">
      <c r="A81" s="1" t="s">
        <v>1213</v>
      </c>
      <c r="B81" s="27" t="n">
        <v>200</v>
      </c>
    </row>
    <row r="82" customFormat="false" ht="14.25" hidden="false" customHeight="false" outlineLevel="0" collapsed="false">
      <c r="A82" s="1" t="s">
        <v>142</v>
      </c>
      <c r="B82" s="27" t="n">
        <v>200</v>
      </c>
    </row>
    <row r="83" customFormat="false" ht="14.25" hidden="false" customHeight="false" outlineLevel="0" collapsed="false">
      <c r="A83" s="1" t="s">
        <v>1214</v>
      </c>
      <c r="B83" s="27" t="n">
        <v>10</v>
      </c>
    </row>
    <row r="84" customFormat="false" ht="14.25" hidden="false" customHeight="false" outlineLevel="0" collapsed="false">
      <c r="A84" s="1" t="s">
        <v>1215</v>
      </c>
      <c r="B84" s="27" t="n">
        <v>1</v>
      </c>
    </row>
    <row r="85" customFormat="false" ht="14.25" hidden="false" customHeight="false" outlineLevel="0" collapsed="false">
      <c r="A85" s="1" t="s">
        <v>820</v>
      </c>
      <c r="B85" s="27" t="n">
        <v>200</v>
      </c>
    </row>
    <row r="86" customFormat="false" ht="14.25" hidden="false" customHeight="false" outlineLevel="0" collapsed="false">
      <c r="A86" s="1" t="s">
        <v>230</v>
      </c>
      <c r="B86" s="27" t="n">
        <v>200</v>
      </c>
    </row>
    <row r="87" customFormat="false" ht="14.25" hidden="false" customHeight="false" outlineLevel="0" collapsed="false">
      <c r="A87" s="1" t="s">
        <v>1216</v>
      </c>
      <c r="B87" s="27" t="n">
        <v>1</v>
      </c>
    </row>
    <row r="88" customFormat="false" ht="14.25" hidden="false" customHeight="false" outlineLevel="0" collapsed="false">
      <c r="A88" s="1" t="s">
        <v>231</v>
      </c>
      <c r="B88" s="27" t="n">
        <v>200</v>
      </c>
    </row>
    <row r="89" customFormat="false" ht="14.25" hidden="false" customHeight="false" outlineLevel="0" collapsed="false">
      <c r="A89" s="1" t="s">
        <v>60</v>
      </c>
      <c r="B89" s="27" t="n">
        <v>100</v>
      </c>
    </row>
    <row r="90" customFormat="false" ht="14.25" hidden="false" customHeight="false" outlineLevel="0" collapsed="false">
      <c r="A90" s="1" t="s">
        <v>61</v>
      </c>
      <c r="B90" s="27" t="n">
        <v>200</v>
      </c>
    </row>
    <row r="91" customFormat="false" ht="14.25" hidden="false" customHeight="false" outlineLevel="0" collapsed="false">
      <c r="A91" s="1" t="s">
        <v>1217</v>
      </c>
      <c r="B91" s="27" t="s">
        <v>147</v>
      </c>
    </row>
    <row r="92" customFormat="false" ht="14.25" hidden="false" customHeight="false" outlineLevel="0" collapsed="false">
      <c r="A92" s="1" t="s">
        <v>1218</v>
      </c>
      <c r="B92" s="27" t="s">
        <v>146</v>
      </c>
    </row>
    <row r="93" customFormat="false" ht="14.25" hidden="false" customHeight="false" outlineLevel="0" collapsed="false">
      <c r="A93" s="1" t="s">
        <v>62</v>
      </c>
      <c r="B93" s="27" t="n">
        <v>200</v>
      </c>
    </row>
    <row r="94" customFormat="false" ht="14.25" hidden="false" customHeight="false" outlineLevel="0" collapsed="false">
      <c r="A94" s="1" t="s">
        <v>1219</v>
      </c>
      <c r="B94" s="27" t="n">
        <v>200</v>
      </c>
    </row>
    <row r="95" customFormat="false" ht="14.25" hidden="false" customHeight="false" outlineLevel="0" collapsed="false">
      <c r="A95" s="1" t="s">
        <v>1220</v>
      </c>
      <c r="B95" s="27" t="n">
        <v>200</v>
      </c>
    </row>
    <row r="96" customFormat="false" ht="14.25" hidden="false" customHeight="false" outlineLevel="0" collapsed="false">
      <c r="A96" s="1" t="s">
        <v>1221</v>
      </c>
      <c r="B96" s="27" t="n">
        <v>200</v>
      </c>
    </row>
    <row r="97" customFormat="false" ht="14.25" hidden="false" customHeight="false" outlineLevel="0" collapsed="false">
      <c r="A97" s="1" t="s">
        <v>1222</v>
      </c>
      <c r="B97" s="27" t="n">
        <v>200</v>
      </c>
    </row>
    <row r="98" customFormat="false" ht="14.25" hidden="false" customHeight="false" outlineLevel="0" collapsed="false">
      <c r="A98" s="1" t="s">
        <v>63</v>
      </c>
      <c r="B98" s="27" t="n">
        <v>10</v>
      </c>
    </row>
    <row r="99" customFormat="false" ht="14.25" hidden="false" customHeight="false" outlineLevel="0" collapsed="false">
      <c r="A99" s="1" t="s">
        <v>450</v>
      </c>
      <c r="B99" s="27" t="n">
        <v>200</v>
      </c>
    </row>
    <row r="100" customFormat="false" ht="14.25" hidden="false" customHeight="false" outlineLevel="0" collapsed="false">
      <c r="A100" s="1" t="s">
        <v>1223</v>
      </c>
      <c r="B100" s="27" t="n">
        <v>200</v>
      </c>
    </row>
    <row r="101" customFormat="false" ht="14.25" hidden="false" customHeight="false" outlineLevel="0" collapsed="false">
      <c r="A101" s="1" t="s">
        <v>1224</v>
      </c>
      <c r="B101" s="27" t="n">
        <v>200</v>
      </c>
    </row>
    <row r="102" customFormat="false" ht="14.25" hidden="false" customHeight="false" outlineLevel="0" collapsed="false">
      <c r="A102" s="1" t="s">
        <v>1225</v>
      </c>
      <c r="B102" s="27" t="n">
        <v>100</v>
      </c>
    </row>
    <row r="103" customFormat="false" ht="14.25" hidden="false" customHeight="false" outlineLevel="0" collapsed="false">
      <c r="A103" s="1" t="s">
        <v>1226</v>
      </c>
      <c r="B103" s="27" t="s">
        <v>147</v>
      </c>
    </row>
    <row r="104" customFormat="false" ht="14.25" hidden="false" customHeight="false" outlineLevel="0" collapsed="false">
      <c r="A104" s="1" t="s">
        <v>1227</v>
      </c>
      <c r="B104" s="27" t="n">
        <v>3</v>
      </c>
    </row>
    <row r="105" customFormat="false" ht="14.25" hidden="false" customHeight="false" outlineLevel="0" collapsed="false">
      <c r="A105" s="1" t="s">
        <v>1228</v>
      </c>
      <c r="B105" s="27" t="n">
        <v>100</v>
      </c>
    </row>
    <row r="106" customFormat="false" ht="14.25" hidden="false" customHeight="false" outlineLevel="0" collapsed="false">
      <c r="A106" s="1" t="s">
        <v>1229</v>
      </c>
      <c r="B106" s="27" t="n">
        <v>75</v>
      </c>
    </row>
    <row r="107" customFormat="false" ht="14.25" hidden="false" customHeight="false" outlineLevel="0" collapsed="false">
      <c r="A107" s="1" t="s">
        <v>1230</v>
      </c>
      <c r="B107" s="27" t="n">
        <v>25</v>
      </c>
    </row>
    <row r="108" customFormat="false" ht="14.25" hidden="false" customHeight="false" outlineLevel="0" collapsed="false">
      <c r="A108" s="1" t="s">
        <v>1231</v>
      </c>
      <c r="B108" s="27" t="s">
        <v>1168</v>
      </c>
    </row>
    <row r="109" customFormat="false" ht="14.25" hidden="false" customHeight="false" outlineLevel="0" collapsed="false">
      <c r="A109" s="1" t="s">
        <v>1232</v>
      </c>
      <c r="B109" s="27" t="n">
        <v>200</v>
      </c>
    </row>
    <row r="110" customFormat="false" ht="14.25" hidden="false" customHeight="false" outlineLevel="0" collapsed="false">
      <c r="A110" s="1" t="s">
        <v>1233</v>
      </c>
      <c r="B110" s="27" t="s">
        <v>1206</v>
      </c>
    </row>
    <row r="111" customFormat="false" ht="14.25" hidden="false" customHeight="false" outlineLevel="0" collapsed="false">
      <c r="A111" s="1" t="s">
        <v>1234</v>
      </c>
      <c r="B111" s="27" t="n">
        <v>10</v>
      </c>
    </row>
    <row r="112" customFormat="false" ht="14.25" hidden="false" customHeight="false" outlineLevel="0" collapsed="false">
      <c r="A112" s="1" t="s">
        <v>1235</v>
      </c>
      <c r="B112" s="27" t="n">
        <v>200</v>
      </c>
    </row>
    <row r="113" customFormat="false" ht="14.25" hidden="false" customHeight="false" outlineLevel="0" collapsed="false">
      <c r="A113" s="1" t="s">
        <v>1236</v>
      </c>
      <c r="B113" s="27" t="s">
        <v>1237</v>
      </c>
    </row>
    <row r="114" customFormat="false" ht="14.25" hidden="false" customHeight="false" outlineLevel="0" collapsed="false">
      <c r="A114" s="1" t="s">
        <v>1238</v>
      </c>
      <c r="B114" s="27" t="n">
        <v>200</v>
      </c>
    </row>
    <row r="115" customFormat="false" ht="14.25" hidden="false" customHeight="false" outlineLevel="0" collapsed="false">
      <c r="A115" s="1" t="s">
        <v>1239</v>
      </c>
      <c r="B115" s="27" t="n">
        <v>200</v>
      </c>
    </row>
    <row r="116" customFormat="false" ht="14.25" hidden="false" customHeight="false" outlineLevel="0" collapsed="false">
      <c r="A116" s="1" t="s">
        <v>1240</v>
      </c>
      <c r="B116" s="27" t="n">
        <v>200</v>
      </c>
    </row>
    <row r="117" customFormat="false" ht="14.25" hidden="false" customHeight="false" outlineLevel="0" collapsed="false">
      <c r="A117" s="1" t="s">
        <v>1241</v>
      </c>
      <c r="B117" s="27" t="n">
        <v>200</v>
      </c>
    </row>
    <row r="118" customFormat="false" ht="14.25" hidden="false" customHeight="false" outlineLevel="0" collapsed="false">
      <c r="A118" s="1" t="s">
        <v>1242</v>
      </c>
      <c r="B118" s="27" t="n">
        <v>50</v>
      </c>
    </row>
    <row r="119" customFormat="false" ht="14.25" hidden="false" customHeight="false" outlineLevel="0" collapsed="false">
      <c r="A119" s="1" t="s">
        <v>1243</v>
      </c>
      <c r="B119" s="27" t="n">
        <v>200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85" activeCellId="0" sqref="B85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22.54"/>
    <col collapsed="false" customWidth="true" hidden="false" outlineLevel="0" max="2" min="2" style="27" width="18.45"/>
  </cols>
  <sheetData>
    <row r="1" customFormat="false" ht="14.25" hidden="false" customHeight="false" outlineLevel="0" collapsed="false">
      <c r="A1" s="1" t="s">
        <v>1244</v>
      </c>
      <c r="B1" s="27" t="s">
        <v>905</v>
      </c>
    </row>
    <row r="2" customFormat="false" ht="14.25" hidden="false" customHeight="false" outlineLevel="0" collapsed="false">
      <c r="A2" s="1" t="s">
        <v>806</v>
      </c>
      <c r="B2" s="27" t="s">
        <v>1245</v>
      </c>
    </row>
    <row r="3" customFormat="false" ht="14.25" hidden="false" customHeight="false" outlineLevel="0" collapsed="false">
      <c r="A3" s="1" t="s">
        <v>807</v>
      </c>
      <c r="B3" s="27" t="s">
        <v>1245</v>
      </c>
    </row>
    <row r="4" customFormat="false" ht="14.25" hidden="false" customHeight="false" outlineLevel="0" collapsed="false">
      <c r="A4" s="1" t="s">
        <v>1246</v>
      </c>
      <c r="B4" s="27" t="n">
        <v>16</v>
      </c>
    </row>
    <row r="5" customFormat="false" ht="14.25" hidden="false" customHeight="false" outlineLevel="0" collapsed="false">
      <c r="A5" s="1" t="s">
        <v>131</v>
      </c>
      <c r="B5" s="27" t="n">
        <v>10</v>
      </c>
    </row>
    <row r="6" customFormat="false" ht="14.25" hidden="false" customHeight="false" outlineLevel="0" collapsed="false">
      <c r="A6" s="1" t="s">
        <v>1247</v>
      </c>
      <c r="B6" s="27" t="n">
        <v>64</v>
      </c>
    </row>
    <row r="7" customFormat="false" ht="14.25" hidden="false" customHeight="false" outlineLevel="0" collapsed="false">
      <c r="A7" s="1" t="s">
        <v>1248</v>
      </c>
      <c r="B7" s="27" t="n">
        <v>64</v>
      </c>
    </row>
    <row r="8" customFormat="false" ht="14.25" hidden="false" customHeight="false" outlineLevel="0" collapsed="false">
      <c r="A8" s="1" t="s">
        <v>211</v>
      </c>
      <c r="B8" s="27" t="s">
        <v>1245</v>
      </c>
    </row>
    <row r="9" customFormat="false" ht="14.25" hidden="false" customHeight="false" outlineLevel="0" collapsed="false">
      <c r="A9" s="1" t="s">
        <v>494</v>
      </c>
      <c r="B9" s="27" t="s">
        <v>902</v>
      </c>
    </row>
    <row r="10" customFormat="false" ht="14.25" hidden="false" customHeight="false" outlineLevel="0" collapsed="false">
      <c r="A10" s="1" t="s">
        <v>1249</v>
      </c>
      <c r="B10" s="27" t="s">
        <v>237</v>
      </c>
    </row>
    <row r="11" customFormat="false" ht="14.25" hidden="false" customHeight="false" outlineLevel="0" collapsed="false">
      <c r="A11" s="1" t="s">
        <v>844</v>
      </c>
      <c r="B11" s="27" t="n">
        <v>200</v>
      </c>
    </row>
    <row r="12" customFormat="false" ht="14.25" hidden="false" customHeight="false" outlineLevel="0" collapsed="false">
      <c r="A12" s="1" t="s">
        <v>212</v>
      </c>
      <c r="B12" s="27" t="s">
        <v>1245</v>
      </c>
    </row>
    <row r="13" customFormat="false" ht="14.25" hidden="false" customHeight="false" outlineLevel="0" collapsed="false">
      <c r="A13" s="1" t="s">
        <v>495</v>
      </c>
      <c r="B13" s="27" t="s">
        <v>1250</v>
      </c>
    </row>
    <row r="14" customFormat="false" ht="14.25" hidden="false" customHeight="false" outlineLevel="0" collapsed="false">
      <c r="A14" s="1" t="s">
        <v>1251</v>
      </c>
      <c r="B14" s="27" t="s">
        <v>1250</v>
      </c>
    </row>
    <row r="15" customFormat="false" ht="14.25" hidden="false" customHeight="false" outlineLevel="0" collapsed="false">
      <c r="A15" s="1" t="s">
        <v>845</v>
      </c>
      <c r="B15" s="27" t="n">
        <v>200</v>
      </c>
    </row>
    <row r="16" customFormat="false" ht="14.25" hidden="false" customHeight="false" outlineLevel="0" collapsed="false">
      <c r="A16" s="1" t="s">
        <v>1252</v>
      </c>
      <c r="B16" s="27" t="n">
        <v>20</v>
      </c>
    </row>
    <row r="17" customFormat="false" ht="14.25" hidden="false" customHeight="false" outlineLevel="0" collapsed="false">
      <c r="A17" s="1" t="s">
        <v>1253</v>
      </c>
      <c r="B17" s="27" t="n">
        <v>16</v>
      </c>
    </row>
    <row r="18" customFormat="false" ht="14.25" hidden="false" customHeight="false" outlineLevel="0" collapsed="false">
      <c r="A18" s="1" t="s">
        <v>1254</v>
      </c>
      <c r="B18" s="27" t="n">
        <v>200</v>
      </c>
    </row>
    <row r="19" customFormat="false" ht="14.25" hidden="false" customHeight="false" outlineLevel="0" collapsed="false">
      <c r="A19" s="1" t="s">
        <v>1161</v>
      </c>
      <c r="B19" s="27" t="n">
        <v>200</v>
      </c>
    </row>
    <row r="20" customFormat="false" ht="14.25" hidden="false" customHeight="false" outlineLevel="0" collapsed="false">
      <c r="A20" s="1" t="s">
        <v>1255</v>
      </c>
      <c r="B20" s="27" t="n">
        <v>200</v>
      </c>
    </row>
    <row r="21" customFormat="false" ht="14.25" hidden="false" customHeight="false" outlineLevel="0" collapsed="false">
      <c r="A21" s="1" t="s">
        <v>1256</v>
      </c>
      <c r="B21" s="27" t="n">
        <v>128</v>
      </c>
    </row>
    <row r="22" customFormat="false" ht="14.25" hidden="false" customHeight="false" outlineLevel="0" collapsed="false">
      <c r="A22" s="1" t="s">
        <v>1257</v>
      </c>
      <c r="B22" s="27" t="s">
        <v>237</v>
      </c>
    </row>
    <row r="23" customFormat="false" ht="14.25" hidden="false" customHeight="false" outlineLevel="0" collapsed="false">
      <c r="A23" s="1" t="s">
        <v>1258</v>
      </c>
      <c r="B23" s="27" t="n">
        <v>256</v>
      </c>
    </row>
    <row r="24" customFormat="false" ht="14.25" hidden="false" customHeight="false" outlineLevel="0" collapsed="false">
      <c r="A24" s="1" t="s">
        <v>1259</v>
      </c>
      <c r="B24" s="27" t="n">
        <v>128</v>
      </c>
    </row>
    <row r="25" customFormat="false" ht="14.25" hidden="false" customHeight="false" outlineLevel="0" collapsed="false">
      <c r="A25" s="1" t="s">
        <v>134</v>
      </c>
      <c r="B25" s="27" t="n">
        <v>128</v>
      </c>
    </row>
    <row r="26" customFormat="false" ht="14.25" hidden="false" customHeight="false" outlineLevel="0" collapsed="false">
      <c r="A26" s="1" t="s">
        <v>213</v>
      </c>
      <c r="B26" s="27" t="s">
        <v>1245</v>
      </c>
    </row>
    <row r="27" customFormat="false" ht="14.25" hidden="false" customHeight="false" outlineLevel="0" collapsed="false">
      <c r="A27" s="1" t="s">
        <v>1260</v>
      </c>
      <c r="B27" s="27" t="s">
        <v>237</v>
      </c>
    </row>
    <row r="28" customFormat="false" ht="14.25" hidden="false" customHeight="false" outlineLevel="0" collapsed="false">
      <c r="A28" s="1" t="s">
        <v>214</v>
      </c>
      <c r="B28" s="27" t="s">
        <v>1245</v>
      </c>
    </row>
    <row r="29" customFormat="false" ht="14.25" hidden="false" customHeight="false" outlineLevel="0" collapsed="false">
      <c r="A29" s="1" t="s">
        <v>1261</v>
      </c>
      <c r="B29" s="27" t="n">
        <v>200</v>
      </c>
    </row>
    <row r="30" customFormat="false" ht="14.25" hidden="false" customHeight="false" outlineLevel="0" collapsed="false">
      <c r="A30" s="1" t="s">
        <v>1083</v>
      </c>
      <c r="B30" s="27" t="n">
        <v>200</v>
      </c>
    </row>
    <row r="31" customFormat="false" ht="14.25" hidden="false" customHeight="false" outlineLevel="0" collapsed="false">
      <c r="A31" s="1" t="s">
        <v>135</v>
      </c>
      <c r="B31" s="27" t="n">
        <v>128</v>
      </c>
    </row>
    <row r="32" customFormat="false" ht="14.25" hidden="false" customHeight="false" outlineLevel="0" collapsed="false">
      <c r="A32" s="1" t="s">
        <v>1262</v>
      </c>
      <c r="B32" s="27" t="n">
        <v>128</v>
      </c>
    </row>
    <row r="33" customFormat="false" ht="14.25" hidden="false" customHeight="false" outlineLevel="0" collapsed="false">
      <c r="A33" s="1" t="s">
        <v>215</v>
      </c>
      <c r="B33" s="27" t="s">
        <v>1245</v>
      </c>
    </row>
    <row r="34" customFormat="false" ht="14.25" hidden="false" customHeight="false" outlineLevel="0" collapsed="false">
      <c r="A34" s="1" t="s">
        <v>1263</v>
      </c>
      <c r="B34" s="27" t="s">
        <v>237</v>
      </c>
    </row>
    <row r="35" customFormat="false" ht="14.25" hidden="false" customHeight="false" outlineLevel="0" collapsed="false">
      <c r="A35" s="1" t="s">
        <v>216</v>
      </c>
      <c r="B35" s="27" t="s">
        <v>1245</v>
      </c>
    </row>
    <row r="36" customFormat="false" ht="14.25" hidden="false" customHeight="false" outlineLevel="0" collapsed="false">
      <c r="A36" s="1" t="s">
        <v>1264</v>
      </c>
      <c r="B36" s="27" t="n">
        <v>100</v>
      </c>
    </row>
    <row r="37" customFormat="false" ht="14.25" hidden="false" customHeight="false" outlineLevel="0" collapsed="false">
      <c r="A37" s="1" t="s">
        <v>1265</v>
      </c>
      <c r="B37" s="27" t="n">
        <v>100</v>
      </c>
    </row>
    <row r="38" customFormat="false" ht="14.25" hidden="false" customHeight="false" outlineLevel="0" collapsed="false">
      <c r="A38" s="1" t="s">
        <v>550</v>
      </c>
      <c r="B38" s="27" t="s">
        <v>901</v>
      </c>
    </row>
    <row r="39" customFormat="false" ht="14.25" hidden="false" customHeight="false" outlineLevel="0" collapsed="false">
      <c r="A39" s="1" t="s">
        <v>1266</v>
      </c>
      <c r="B39" s="27" t="s">
        <v>901</v>
      </c>
    </row>
    <row r="40" customFormat="false" ht="14.25" hidden="false" customHeight="false" outlineLevel="0" collapsed="false">
      <c r="A40" s="1" t="s">
        <v>1267</v>
      </c>
      <c r="B40" s="27" t="n">
        <v>512</v>
      </c>
    </row>
    <row r="41" customFormat="false" ht="14.25" hidden="false" customHeight="false" outlineLevel="0" collapsed="false">
      <c r="A41" s="1" t="s">
        <v>1268</v>
      </c>
      <c r="B41" s="27" t="n">
        <v>512</v>
      </c>
    </row>
    <row r="42" customFormat="false" ht="14.25" hidden="false" customHeight="false" outlineLevel="0" collapsed="false">
      <c r="A42" s="1" t="s">
        <v>952</v>
      </c>
      <c r="B42" s="27" t="s">
        <v>1245</v>
      </c>
    </row>
    <row r="43" customFormat="false" ht="14.25" hidden="false" customHeight="false" outlineLevel="0" collapsed="false">
      <c r="A43" s="1" t="s">
        <v>1269</v>
      </c>
      <c r="B43" s="27" t="s">
        <v>237</v>
      </c>
    </row>
    <row r="44" customFormat="false" ht="14.25" hidden="false" customHeight="false" outlineLevel="0" collapsed="false">
      <c r="A44" s="1" t="s">
        <v>1270</v>
      </c>
      <c r="B44" s="27" t="n">
        <v>200</v>
      </c>
    </row>
    <row r="45" customFormat="false" ht="14.25" hidden="false" customHeight="false" outlineLevel="0" collapsed="false">
      <c r="A45" s="1" t="s">
        <v>281</v>
      </c>
      <c r="B45" s="27" t="s">
        <v>1245</v>
      </c>
    </row>
    <row r="46" customFormat="false" ht="14.25" hidden="false" customHeight="false" outlineLevel="0" collapsed="false">
      <c r="A46" s="1" t="s">
        <v>1271</v>
      </c>
      <c r="B46" s="27" t="s">
        <v>1250</v>
      </c>
    </row>
    <row r="47" customFormat="false" ht="14.25" hidden="false" customHeight="false" outlineLevel="0" collapsed="false">
      <c r="A47" s="1" t="s">
        <v>1272</v>
      </c>
      <c r="B47" s="27" t="n">
        <v>200</v>
      </c>
    </row>
    <row r="48" customFormat="false" ht="14.25" hidden="false" customHeight="false" outlineLevel="0" collapsed="false">
      <c r="A48" s="1" t="s">
        <v>959</v>
      </c>
      <c r="B48" s="27" t="s">
        <v>1245</v>
      </c>
    </row>
    <row r="49" customFormat="false" ht="14.25" hidden="false" customHeight="false" outlineLevel="0" collapsed="false">
      <c r="A49" s="1" t="s">
        <v>1273</v>
      </c>
      <c r="B49" s="27" t="s">
        <v>237</v>
      </c>
    </row>
    <row r="50" customFormat="false" ht="14.25" hidden="false" customHeight="false" outlineLevel="0" collapsed="false">
      <c r="A50" s="1" t="s">
        <v>961</v>
      </c>
      <c r="B50" s="27" t="s">
        <v>1245</v>
      </c>
    </row>
    <row r="51" customFormat="false" ht="14.25" hidden="false" customHeight="false" outlineLevel="0" collapsed="false">
      <c r="A51" s="1" t="s">
        <v>1274</v>
      </c>
      <c r="B51" s="27" t="s">
        <v>237</v>
      </c>
    </row>
    <row r="52" customFormat="false" ht="14.25" hidden="false" customHeight="false" outlineLevel="0" collapsed="false">
      <c r="A52" s="1" t="s">
        <v>1275</v>
      </c>
      <c r="B52" s="27" t="n">
        <v>50</v>
      </c>
    </row>
    <row r="53" customFormat="false" ht="14.25" hidden="false" customHeight="false" outlineLevel="0" collapsed="false">
      <c r="A53" s="1" t="s">
        <v>878</v>
      </c>
      <c r="B53" s="27" t="n">
        <v>20</v>
      </c>
    </row>
    <row r="54" customFormat="false" ht="14.25" hidden="false" customHeight="false" outlineLevel="0" collapsed="false">
      <c r="A54" s="1" t="s">
        <v>846</v>
      </c>
      <c r="B54" s="27" t="n">
        <v>20</v>
      </c>
    </row>
    <row r="55" customFormat="false" ht="14.25" hidden="false" customHeight="false" outlineLevel="0" collapsed="false">
      <c r="A55" s="1" t="s">
        <v>1276</v>
      </c>
      <c r="B55" s="27" t="n">
        <v>8</v>
      </c>
    </row>
    <row r="56" customFormat="false" ht="14.25" hidden="false" customHeight="false" outlineLevel="0" collapsed="false">
      <c r="A56" s="1" t="s">
        <v>1277</v>
      </c>
      <c r="B56" s="27" t="s">
        <v>1245</v>
      </c>
    </row>
    <row r="57" customFormat="false" ht="14.25" hidden="false" customHeight="false" outlineLevel="0" collapsed="false">
      <c r="A57" s="1" t="s">
        <v>1278</v>
      </c>
      <c r="B57" s="27" t="s">
        <v>237</v>
      </c>
    </row>
    <row r="58" customFormat="false" ht="14.25" hidden="false" customHeight="false" outlineLevel="0" collapsed="false">
      <c r="A58" s="1" t="s">
        <v>979</v>
      </c>
      <c r="B58" s="27" t="s">
        <v>1245</v>
      </c>
    </row>
    <row r="59" customFormat="false" ht="14.25" hidden="false" customHeight="false" outlineLevel="0" collapsed="false">
      <c r="A59" s="1" t="s">
        <v>1279</v>
      </c>
      <c r="B59" s="27" t="s">
        <v>1280</v>
      </c>
    </row>
    <row r="60" customFormat="false" ht="14.25" hidden="false" customHeight="false" outlineLevel="0" collapsed="false">
      <c r="A60" s="1" t="s">
        <v>1281</v>
      </c>
      <c r="B60" s="27" t="n">
        <v>128</v>
      </c>
    </row>
    <row r="61" customFormat="false" ht="14.25" hidden="false" customHeight="false" outlineLevel="0" collapsed="false">
      <c r="A61" s="1" t="s">
        <v>1282</v>
      </c>
      <c r="B61" s="27" t="n">
        <v>1</v>
      </c>
    </row>
    <row r="62" customFormat="false" ht="14.25" hidden="false" customHeight="false" outlineLevel="0" collapsed="false">
      <c r="A62" s="1" t="s">
        <v>361</v>
      </c>
      <c r="B62" s="27" t="s">
        <v>396</v>
      </c>
    </row>
    <row r="63" customFormat="false" ht="14.25" hidden="false" customHeight="false" outlineLevel="0" collapsed="false">
      <c r="A63" s="1" t="s">
        <v>137</v>
      </c>
      <c r="B63" s="27" t="n">
        <v>128</v>
      </c>
    </row>
    <row r="64" customFormat="false" ht="14.25" hidden="false" customHeight="false" outlineLevel="0" collapsed="false">
      <c r="A64" s="1" t="s">
        <v>1283</v>
      </c>
      <c r="B64" s="27" t="n">
        <v>128</v>
      </c>
    </row>
    <row r="65" customFormat="false" ht="14.25" hidden="false" customHeight="false" outlineLevel="0" collapsed="false">
      <c r="A65" s="1" t="s">
        <v>1284</v>
      </c>
      <c r="B65" s="27" t="n">
        <v>512</v>
      </c>
    </row>
    <row r="66" customFormat="false" ht="14.25" hidden="false" customHeight="false" outlineLevel="0" collapsed="false">
      <c r="A66" s="1" t="s">
        <v>1285</v>
      </c>
      <c r="B66" s="27" t="s">
        <v>236</v>
      </c>
    </row>
    <row r="67" customFormat="false" ht="14.25" hidden="false" customHeight="false" outlineLevel="0" collapsed="false">
      <c r="A67" s="1" t="s">
        <v>1286</v>
      </c>
      <c r="B67" s="27" t="n">
        <v>200</v>
      </c>
    </row>
    <row r="68" customFormat="false" ht="14.25" hidden="false" customHeight="false" outlineLevel="0" collapsed="false">
      <c r="A68" s="1" t="s">
        <v>818</v>
      </c>
      <c r="B68" s="27" t="s">
        <v>1245</v>
      </c>
    </row>
    <row r="69" customFormat="false" ht="14.25" hidden="false" customHeight="false" outlineLevel="0" collapsed="false">
      <c r="A69" s="1" t="s">
        <v>1287</v>
      </c>
      <c r="B69" s="27" t="n">
        <v>200</v>
      </c>
    </row>
    <row r="70" customFormat="false" ht="14.25" hidden="false" customHeight="false" outlineLevel="0" collapsed="false">
      <c r="A70" s="1" t="s">
        <v>283</v>
      </c>
      <c r="B70" s="27" t="s">
        <v>1245</v>
      </c>
    </row>
    <row r="71" customFormat="false" ht="14.25" hidden="false" customHeight="false" outlineLevel="0" collapsed="false">
      <c r="A71" s="1" t="s">
        <v>502</v>
      </c>
      <c r="B71" s="27" t="n">
        <v>128</v>
      </c>
    </row>
    <row r="72" customFormat="false" ht="14.25" hidden="false" customHeight="false" outlineLevel="0" collapsed="false">
      <c r="A72" s="1" t="s">
        <v>1288</v>
      </c>
      <c r="B72" s="27" t="n">
        <v>200</v>
      </c>
    </row>
    <row r="73" customFormat="false" ht="14.25" hidden="false" customHeight="false" outlineLevel="0" collapsed="false">
      <c r="A73" s="1" t="s">
        <v>55</v>
      </c>
      <c r="B73" s="27" t="s">
        <v>396</v>
      </c>
    </row>
    <row r="74" customFormat="false" ht="14.25" hidden="false" customHeight="false" outlineLevel="0" collapsed="false">
      <c r="A74" s="1" t="s">
        <v>1007</v>
      </c>
      <c r="B74" s="27" t="s">
        <v>1245</v>
      </c>
    </row>
    <row r="75" customFormat="false" ht="14.25" hidden="false" customHeight="false" outlineLevel="0" collapsed="false">
      <c r="A75" s="1" t="s">
        <v>1289</v>
      </c>
      <c r="B75" s="27" t="s">
        <v>237</v>
      </c>
    </row>
    <row r="76" customFormat="false" ht="14.25" hidden="false" customHeight="false" outlineLevel="0" collapsed="false">
      <c r="A76" s="1" t="s">
        <v>1009</v>
      </c>
      <c r="B76" s="27" t="s">
        <v>1245</v>
      </c>
    </row>
    <row r="77" customFormat="false" ht="14.25" hidden="false" customHeight="false" outlineLevel="0" collapsed="false">
      <c r="A77" s="1" t="s">
        <v>1290</v>
      </c>
      <c r="B77" s="27" t="s">
        <v>1250</v>
      </c>
    </row>
    <row r="78" customFormat="false" ht="14.25" hidden="false" customHeight="false" outlineLevel="0" collapsed="false">
      <c r="A78" s="1" t="s">
        <v>1291</v>
      </c>
      <c r="B78" s="27" t="n">
        <v>128</v>
      </c>
    </row>
    <row r="79" customFormat="false" ht="14.25" hidden="false" customHeight="false" outlineLevel="0" collapsed="false">
      <c r="A79" s="1" t="s">
        <v>1292</v>
      </c>
      <c r="B79" s="27" t="n">
        <v>128</v>
      </c>
    </row>
    <row r="80" customFormat="false" ht="14.25" hidden="false" customHeight="false" outlineLevel="0" collapsed="false">
      <c r="A80" s="1" t="s">
        <v>57</v>
      </c>
      <c r="B80" s="27" t="s">
        <v>823</v>
      </c>
    </row>
    <row r="81" customFormat="false" ht="14.25" hidden="false" customHeight="false" outlineLevel="0" collapsed="false">
      <c r="A81" s="1" t="s">
        <v>1293</v>
      </c>
      <c r="B81" s="27" t="n">
        <v>64</v>
      </c>
    </row>
    <row r="82" customFormat="false" ht="14.25" hidden="false" customHeight="false" outlineLevel="0" collapsed="false">
      <c r="A82" s="1" t="s">
        <v>142</v>
      </c>
      <c r="B82" s="27" t="n">
        <v>128</v>
      </c>
    </row>
    <row r="83" customFormat="false" ht="14.25" hidden="false" customHeight="false" outlineLevel="0" collapsed="false">
      <c r="A83" s="1" t="s">
        <v>1294</v>
      </c>
      <c r="B83" s="27" t="n">
        <v>128</v>
      </c>
    </row>
    <row r="84" customFormat="false" ht="14.25" hidden="false" customHeight="false" outlineLevel="0" collapsed="false">
      <c r="A84" s="1" t="s">
        <v>1295</v>
      </c>
      <c r="B84" s="27" t="s">
        <v>1245</v>
      </c>
    </row>
    <row r="85" customFormat="false" ht="14.25" hidden="false" customHeight="false" outlineLevel="0" collapsed="false">
      <c r="A85" s="1" t="s">
        <v>820</v>
      </c>
      <c r="B85" s="27" t="s">
        <v>396</v>
      </c>
    </row>
    <row r="86" customFormat="false" ht="14.25" hidden="false" customHeight="false" outlineLevel="0" collapsed="false">
      <c r="A86" s="1" t="s">
        <v>853</v>
      </c>
      <c r="B86" s="27" t="n">
        <v>128</v>
      </c>
    </row>
    <row r="87" customFormat="false" ht="14.25" hidden="false" customHeight="false" outlineLevel="0" collapsed="false">
      <c r="A87" s="1" t="s">
        <v>61</v>
      </c>
      <c r="B87" s="27" t="n">
        <v>1</v>
      </c>
    </row>
    <row r="88" customFormat="false" ht="14.25" hidden="false" customHeight="false" outlineLevel="0" collapsed="false">
      <c r="A88" s="1" t="s">
        <v>821</v>
      </c>
      <c r="B88" s="27" t="n">
        <v>1</v>
      </c>
    </row>
    <row r="89" customFormat="false" ht="14.25" hidden="false" customHeight="false" outlineLevel="0" collapsed="false">
      <c r="A89" s="1" t="s">
        <v>1296</v>
      </c>
      <c r="B89" s="27" t="n">
        <v>128</v>
      </c>
    </row>
    <row r="90" customFormat="false" ht="14.25" hidden="false" customHeight="false" outlineLevel="0" collapsed="false">
      <c r="A90" s="1" t="s">
        <v>1297</v>
      </c>
      <c r="B90" s="27" t="s">
        <v>237</v>
      </c>
    </row>
    <row r="91" customFormat="false" ht="14.25" hidden="false" customHeight="false" outlineLevel="0" collapsed="false">
      <c r="A91" s="1" t="s">
        <v>1298</v>
      </c>
      <c r="B91" s="27" t="n">
        <v>128</v>
      </c>
    </row>
    <row r="92" customFormat="false" ht="14.25" hidden="false" customHeight="false" outlineLevel="0" collapsed="false">
      <c r="A92" s="1" t="s">
        <v>1034</v>
      </c>
      <c r="B92" s="27" t="s">
        <v>1245</v>
      </c>
    </row>
    <row r="93" customFormat="false" ht="14.25" hidden="false" customHeight="false" outlineLevel="0" collapsed="false">
      <c r="A93" s="1" t="s">
        <v>1299</v>
      </c>
      <c r="B93" s="27" t="s">
        <v>237</v>
      </c>
    </row>
    <row r="94" customFormat="false" ht="14.25" hidden="false" customHeight="false" outlineLevel="0" collapsed="false">
      <c r="A94" s="1" t="s">
        <v>1036</v>
      </c>
      <c r="B94" s="27" t="s">
        <v>237</v>
      </c>
    </row>
    <row r="95" customFormat="false" ht="14.25" hidden="false" customHeight="false" outlineLevel="0" collapsed="false">
      <c r="A95" s="1" t="s">
        <v>1300</v>
      </c>
      <c r="B95" s="27" t="s">
        <v>237</v>
      </c>
    </row>
    <row r="96" customFormat="false" ht="14.25" hidden="false" customHeight="false" outlineLevel="0" collapsed="false">
      <c r="A96" s="1" t="s">
        <v>1038</v>
      </c>
      <c r="B96" s="27" t="s">
        <v>1245</v>
      </c>
    </row>
    <row r="97" customFormat="false" ht="14.25" hidden="false" customHeight="false" outlineLevel="0" collapsed="false">
      <c r="A97" s="1" t="s">
        <v>1040</v>
      </c>
      <c r="B97" s="27" t="s">
        <v>1245</v>
      </c>
    </row>
    <row r="98" customFormat="false" ht="14.25" hidden="false" customHeight="false" outlineLevel="0" collapsed="false">
      <c r="A98" s="1" t="s">
        <v>1301</v>
      </c>
      <c r="B98" s="27" t="n">
        <v>128</v>
      </c>
    </row>
    <row r="99" customFormat="false" ht="14.25" hidden="false" customHeight="false" outlineLevel="0" collapsed="false">
      <c r="A99" s="1" t="s">
        <v>1302</v>
      </c>
      <c r="B99" s="27" t="n">
        <v>64</v>
      </c>
    </row>
    <row r="100" customFormat="false" ht="14.25" hidden="false" customHeight="false" outlineLevel="0" collapsed="false">
      <c r="A100" s="1" t="s">
        <v>1303</v>
      </c>
      <c r="B100" s="27" t="n">
        <v>128</v>
      </c>
    </row>
    <row r="101" customFormat="false" ht="14.25" hidden="false" customHeight="false" outlineLevel="0" collapsed="false">
      <c r="A101" s="1" t="s">
        <v>145</v>
      </c>
      <c r="B101" s="27" t="n">
        <v>10</v>
      </c>
    </row>
    <row r="102" customFormat="false" ht="14.25" hidden="false" customHeight="false" outlineLevel="0" collapsed="false">
      <c r="A102" s="1" t="s">
        <v>1304</v>
      </c>
      <c r="B102" s="27" t="n">
        <v>200</v>
      </c>
    </row>
    <row r="103" customFormat="false" ht="14.25" hidden="false" customHeight="false" outlineLevel="0" collapsed="false">
      <c r="A103" s="1" t="s">
        <v>1305</v>
      </c>
      <c r="B103" s="27" t="n">
        <v>200</v>
      </c>
    </row>
    <row r="104" customFormat="false" ht="14.25" hidden="false" customHeight="false" outlineLevel="0" collapsed="false">
      <c r="A104" s="1" t="s">
        <v>1306</v>
      </c>
      <c r="B104" s="27" t="n">
        <v>64</v>
      </c>
    </row>
    <row r="105" customFormat="false" ht="14.25" hidden="false" customHeight="false" outlineLevel="0" collapsed="false">
      <c r="A105" s="1" t="s">
        <v>1307</v>
      </c>
      <c r="B105" s="27" t="n">
        <v>200</v>
      </c>
    </row>
    <row r="106" customFormat="false" ht="14.25" hidden="false" customHeight="false" outlineLevel="0" collapsed="false">
      <c r="A106" s="1" t="s">
        <v>1308</v>
      </c>
      <c r="B106" s="27" t="n">
        <v>64</v>
      </c>
    </row>
    <row r="107" customFormat="false" ht="14.25" hidden="false" customHeight="false" outlineLevel="0" collapsed="false">
      <c r="A107" s="1" t="s">
        <v>1309</v>
      </c>
      <c r="B107" s="27" t="n">
        <v>200</v>
      </c>
    </row>
    <row r="108" customFormat="false" ht="14.25" hidden="false" customHeight="false" outlineLevel="0" collapsed="false">
      <c r="A108" s="1" t="s">
        <v>1310</v>
      </c>
      <c r="B108" s="27" t="n">
        <v>64</v>
      </c>
    </row>
    <row r="109" customFormat="false" ht="14.25" hidden="false" customHeight="false" outlineLevel="0" collapsed="false">
      <c r="A109" s="1" t="s">
        <v>1311</v>
      </c>
      <c r="B109" s="27" t="n">
        <v>16</v>
      </c>
    </row>
    <row r="110" customFormat="false" ht="14.25" hidden="false" customHeight="false" outlineLevel="0" collapsed="false">
      <c r="A110" s="1" t="s">
        <v>1312</v>
      </c>
      <c r="B110" s="27" t="n">
        <v>10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8"/>
  <sheetViews>
    <sheetView showFormulas="false" showGridLines="true" showRowColHeaders="true" showZeros="true" rightToLeft="false" tabSelected="false" showOutlineSymbols="true" defaultGridColor="true" view="normal" topLeftCell="A218" colorId="64" zoomScale="110" zoomScaleNormal="110" zoomScalePageLayoutView="100" workbookViewId="0">
      <selection pane="topLeft" activeCell="D5" activeCellId="0" sqref="D5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6.45"/>
    <col collapsed="false" customWidth="true" hidden="false" outlineLevel="0" max="2" min="2" style="27" width="28.36"/>
  </cols>
  <sheetData>
    <row r="1" customFormat="false" ht="14.25" hidden="false" customHeight="false" outlineLevel="0" collapsed="false">
      <c r="A1" s="1" t="s">
        <v>1313</v>
      </c>
      <c r="B1" s="27" t="s">
        <v>905</v>
      </c>
    </row>
    <row r="2" customFormat="false" ht="14.25" hidden="false" customHeight="false" outlineLevel="0" collapsed="false">
      <c r="A2" s="1" t="s">
        <v>806</v>
      </c>
      <c r="B2" s="27" t="n">
        <v>200</v>
      </c>
    </row>
    <row r="3" customFormat="false" ht="14.25" hidden="false" customHeight="false" outlineLevel="0" collapsed="false">
      <c r="A3" s="1" t="s">
        <v>807</v>
      </c>
      <c r="B3" s="27" t="n">
        <v>200</v>
      </c>
    </row>
    <row r="4" customFormat="false" ht="14.25" hidden="false" customHeight="false" outlineLevel="0" collapsed="false">
      <c r="A4" s="1" t="s">
        <v>690</v>
      </c>
      <c r="B4" s="27" t="s">
        <v>1314</v>
      </c>
    </row>
    <row r="5" customFormat="false" ht="14.25" hidden="false" customHeight="false" outlineLevel="0" collapsed="false">
      <c r="A5" s="1" t="s">
        <v>1315</v>
      </c>
      <c r="B5" s="27" t="s">
        <v>1316</v>
      </c>
    </row>
    <row r="6" customFormat="false" ht="14.25" hidden="false" customHeight="false" outlineLevel="0" collapsed="false">
      <c r="A6" s="1" t="s">
        <v>1317</v>
      </c>
      <c r="B6" s="27" t="s">
        <v>901</v>
      </c>
    </row>
    <row r="7" customFormat="false" ht="14.25" hidden="false" customHeight="false" outlineLevel="0" collapsed="false">
      <c r="A7" s="1" t="s">
        <v>1151</v>
      </c>
      <c r="B7" s="27" t="n">
        <v>32</v>
      </c>
    </row>
    <row r="8" customFormat="false" ht="14.25" hidden="false" customHeight="false" outlineLevel="0" collapsed="false">
      <c r="A8" s="1" t="s">
        <v>28</v>
      </c>
      <c r="B8" s="27" t="n">
        <v>32</v>
      </c>
    </row>
    <row r="9" customFormat="false" ht="14.25" hidden="false" customHeight="false" outlineLevel="0" collapsed="false">
      <c r="A9" s="1" t="s">
        <v>210</v>
      </c>
      <c r="B9" s="27" t="n">
        <v>64</v>
      </c>
    </row>
    <row r="10" customFormat="false" ht="14.25" hidden="false" customHeight="false" outlineLevel="0" collapsed="false">
      <c r="A10" s="1" t="s">
        <v>1318</v>
      </c>
      <c r="B10" s="27" t="n">
        <v>200</v>
      </c>
    </row>
    <row r="11" customFormat="false" ht="14.25" hidden="false" customHeight="false" outlineLevel="0" collapsed="false">
      <c r="A11" s="1" t="s">
        <v>29</v>
      </c>
      <c r="B11" s="27" t="s">
        <v>1319</v>
      </c>
    </row>
    <row r="12" customFormat="false" ht="14.25" hidden="false" customHeight="false" outlineLevel="0" collapsed="false">
      <c r="A12" s="1" t="s">
        <v>1320</v>
      </c>
      <c r="B12" s="27" t="n">
        <v>200</v>
      </c>
    </row>
    <row r="13" customFormat="false" ht="14.25" hidden="false" customHeight="false" outlineLevel="0" collapsed="false">
      <c r="A13" s="1" t="s">
        <v>1060</v>
      </c>
      <c r="B13" s="27" t="n">
        <v>256</v>
      </c>
    </row>
    <row r="14" customFormat="false" ht="14.25" hidden="false" customHeight="false" outlineLevel="0" collapsed="false">
      <c r="A14" s="1" t="s">
        <v>1154</v>
      </c>
      <c r="B14" s="27" t="n">
        <v>64</v>
      </c>
    </row>
    <row r="15" customFormat="false" ht="14.25" hidden="false" customHeight="false" outlineLevel="0" collapsed="false">
      <c r="A15" s="1" t="s">
        <v>1321</v>
      </c>
      <c r="B15" s="27" t="n">
        <v>64</v>
      </c>
    </row>
    <row r="16" customFormat="false" ht="14.25" hidden="false" customHeight="false" outlineLevel="0" collapsed="false">
      <c r="A16" s="1" t="s">
        <v>1322</v>
      </c>
      <c r="B16" s="27" t="n">
        <v>64</v>
      </c>
    </row>
    <row r="17" customFormat="false" ht="14.25" hidden="false" customHeight="false" outlineLevel="0" collapsed="false">
      <c r="A17" s="1" t="s">
        <v>1323</v>
      </c>
      <c r="B17" s="27" t="n">
        <v>16</v>
      </c>
    </row>
    <row r="18" customFormat="false" ht="14.25" hidden="false" customHeight="false" outlineLevel="0" collapsed="false">
      <c r="A18" s="1" t="s">
        <v>1324</v>
      </c>
      <c r="B18" s="27" t="n">
        <v>200</v>
      </c>
    </row>
    <row r="19" customFormat="false" ht="14.25" hidden="false" customHeight="false" outlineLevel="0" collapsed="false">
      <c r="A19" s="1" t="s">
        <v>211</v>
      </c>
      <c r="B19" s="27" t="s">
        <v>1325</v>
      </c>
    </row>
    <row r="20" customFormat="false" ht="14.25" hidden="false" customHeight="false" outlineLevel="0" collapsed="false">
      <c r="A20" s="1" t="s">
        <v>691</v>
      </c>
      <c r="B20" s="27" t="s">
        <v>1326</v>
      </c>
    </row>
    <row r="21" customFormat="false" ht="14.25" hidden="false" customHeight="false" outlineLevel="0" collapsed="false">
      <c r="A21" s="1" t="s">
        <v>212</v>
      </c>
      <c r="B21" s="27" t="s">
        <v>1325</v>
      </c>
    </row>
    <row r="22" customFormat="false" ht="14.25" hidden="false" customHeight="false" outlineLevel="0" collapsed="false">
      <c r="A22" s="1" t="s">
        <v>692</v>
      </c>
      <c r="B22" s="27" t="s">
        <v>1326</v>
      </c>
    </row>
    <row r="23" customFormat="false" ht="14.25" hidden="false" customHeight="false" outlineLevel="0" collapsed="false">
      <c r="A23" s="1" t="s">
        <v>1327</v>
      </c>
      <c r="B23" s="27" t="n">
        <v>64</v>
      </c>
    </row>
    <row r="24" customFormat="false" ht="14.25" hidden="false" customHeight="false" outlineLevel="0" collapsed="false">
      <c r="A24" s="1" t="s">
        <v>1328</v>
      </c>
      <c r="B24" s="27" t="n">
        <v>128</v>
      </c>
    </row>
    <row r="25" customFormat="false" ht="14.25" hidden="false" customHeight="false" outlineLevel="0" collapsed="false">
      <c r="A25" s="1" t="s">
        <v>1072</v>
      </c>
      <c r="B25" s="27" t="s">
        <v>1329</v>
      </c>
    </row>
    <row r="26" customFormat="false" ht="14.25" hidden="false" customHeight="false" outlineLevel="0" collapsed="false">
      <c r="A26" s="1" t="s">
        <v>809</v>
      </c>
      <c r="B26" s="27" t="s">
        <v>1330</v>
      </c>
    </row>
    <row r="27" customFormat="false" ht="14.25" hidden="false" customHeight="false" outlineLevel="0" collapsed="false">
      <c r="A27" s="1" t="s">
        <v>1331</v>
      </c>
      <c r="B27" s="27" t="n">
        <v>200</v>
      </c>
    </row>
    <row r="28" customFormat="false" ht="14.25" hidden="false" customHeight="false" outlineLevel="0" collapsed="false">
      <c r="A28" s="1" t="s">
        <v>1332</v>
      </c>
      <c r="B28" s="27" t="n">
        <v>256</v>
      </c>
    </row>
    <row r="29" customFormat="false" ht="14.25" hidden="false" customHeight="false" outlineLevel="0" collapsed="false">
      <c r="A29" s="1" t="s">
        <v>1333</v>
      </c>
      <c r="B29" s="27" t="s">
        <v>1334</v>
      </c>
    </row>
    <row r="30" customFormat="false" ht="14.25" hidden="false" customHeight="false" outlineLevel="0" collapsed="false">
      <c r="A30" s="1" t="s">
        <v>1335</v>
      </c>
      <c r="B30" s="27" t="n">
        <v>128</v>
      </c>
    </row>
    <row r="31" customFormat="false" ht="14.25" hidden="false" customHeight="false" outlineLevel="0" collapsed="false">
      <c r="A31" s="1" t="s">
        <v>1336</v>
      </c>
      <c r="B31" s="27" t="n">
        <v>200</v>
      </c>
    </row>
    <row r="32" customFormat="false" ht="14.25" hidden="false" customHeight="false" outlineLevel="0" collapsed="false">
      <c r="A32" s="1" t="s">
        <v>1337</v>
      </c>
      <c r="B32" s="27" t="n">
        <v>200</v>
      </c>
    </row>
    <row r="33" customFormat="false" ht="14.25" hidden="false" customHeight="false" outlineLevel="0" collapsed="false">
      <c r="A33" s="1" t="s">
        <v>1338</v>
      </c>
      <c r="B33" s="27" t="n">
        <v>200</v>
      </c>
    </row>
    <row r="34" customFormat="false" ht="14.25" hidden="false" customHeight="false" outlineLevel="0" collapsed="false">
      <c r="A34" s="1" t="s">
        <v>1339</v>
      </c>
      <c r="B34" s="27" t="s">
        <v>1326</v>
      </c>
    </row>
    <row r="35" customFormat="false" ht="14.25" hidden="false" customHeight="false" outlineLevel="0" collapsed="false">
      <c r="A35" s="1" t="s">
        <v>1340</v>
      </c>
      <c r="B35" s="27" t="s">
        <v>1326</v>
      </c>
    </row>
    <row r="36" customFormat="false" ht="14.25" hidden="false" customHeight="false" outlineLevel="0" collapsed="false">
      <c r="A36" s="1" t="s">
        <v>1156</v>
      </c>
      <c r="B36" s="27" t="n">
        <v>32</v>
      </c>
    </row>
    <row r="37" customFormat="false" ht="14.25" hidden="false" customHeight="false" outlineLevel="0" collapsed="false">
      <c r="A37" s="1" t="s">
        <v>693</v>
      </c>
      <c r="B37" s="27" t="s">
        <v>1341</v>
      </c>
    </row>
    <row r="38" customFormat="false" ht="14.25" hidden="false" customHeight="false" outlineLevel="0" collapsed="false">
      <c r="A38" s="1" t="s">
        <v>1075</v>
      </c>
      <c r="B38" s="27" t="s">
        <v>1342</v>
      </c>
    </row>
    <row r="39" customFormat="false" ht="14.25" hidden="false" customHeight="false" outlineLevel="0" collapsed="false">
      <c r="A39" s="1" t="s">
        <v>1343</v>
      </c>
      <c r="B39" s="27" t="s">
        <v>901</v>
      </c>
    </row>
    <row r="40" customFormat="false" ht="14.25" hidden="false" customHeight="false" outlineLevel="0" collapsed="false">
      <c r="A40" s="1" t="s">
        <v>1158</v>
      </c>
      <c r="B40" s="27" t="s">
        <v>1326</v>
      </c>
    </row>
    <row r="41" customFormat="false" ht="14.25" hidden="false" customHeight="false" outlineLevel="0" collapsed="false">
      <c r="A41" s="1" t="s">
        <v>1159</v>
      </c>
      <c r="B41" s="27" t="n">
        <v>200</v>
      </c>
    </row>
    <row r="42" customFormat="false" ht="14.25" hidden="false" customHeight="false" outlineLevel="0" collapsed="false">
      <c r="A42" s="1" t="s">
        <v>1078</v>
      </c>
      <c r="B42" s="27" t="n">
        <v>200</v>
      </c>
    </row>
    <row r="43" customFormat="false" ht="14.25" hidden="false" customHeight="false" outlineLevel="0" collapsed="false">
      <c r="A43" s="1" t="s">
        <v>1344</v>
      </c>
      <c r="B43" s="27" t="n">
        <v>256</v>
      </c>
    </row>
    <row r="44" customFormat="false" ht="14.25" hidden="false" customHeight="false" outlineLevel="0" collapsed="false">
      <c r="A44" s="1" t="s">
        <v>694</v>
      </c>
      <c r="B44" s="27" t="n">
        <v>256</v>
      </c>
    </row>
    <row r="45" customFormat="false" ht="14.25" hidden="false" customHeight="false" outlineLevel="0" collapsed="false">
      <c r="A45" s="1" t="s">
        <v>1345</v>
      </c>
      <c r="B45" s="27" t="n">
        <v>256</v>
      </c>
    </row>
    <row r="46" customFormat="false" ht="14.25" hidden="false" customHeight="false" outlineLevel="0" collapsed="false">
      <c r="A46" s="1" t="s">
        <v>1346</v>
      </c>
      <c r="B46" s="27" t="n">
        <v>256</v>
      </c>
    </row>
    <row r="47" customFormat="false" ht="14.25" hidden="false" customHeight="false" outlineLevel="0" collapsed="false">
      <c r="A47" s="1" t="s">
        <v>1347</v>
      </c>
      <c r="B47" s="27" t="n">
        <v>256</v>
      </c>
    </row>
    <row r="48" customFormat="false" ht="14.25" hidden="false" customHeight="false" outlineLevel="0" collapsed="false">
      <c r="A48" s="1" t="s">
        <v>471</v>
      </c>
      <c r="B48" s="27" t="n">
        <v>4</v>
      </c>
    </row>
    <row r="49" customFormat="false" ht="14.25" hidden="false" customHeight="false" outlineLevel="0" collapsed="false">
      <c r="A49" s="1" t="s">
        <v>1348</v>
      </c>
      <c r="B49" s="27" t="n">
        <v>32</v>
      </c>
    </row>
    <row r="50" customFormat="false" ht="14.25" hidden="false" customHeight="false" outlineLevel="0" collapsed="false">
      <c r="A50" s="1" t="s">
        <v>1349</v>
      </c>
      <c r="B50" s="27" t="n">
        <v>100</v>
      </c>
    </row>
    <row r="51" customFormat="false" ht="14.25" hidden="false" customHeight="false" outlineLevel="0" collapsed="false">
      <c r="A51" s="1" t="s">
        <v>1350</v>
      </c>
      <c r="B51" s="27" t="n">
        <v>32</v>
      </c>
    </row>
    <row r="52" customFormat="false" ht="14.25" hidden="false" customHeight="false" outlineLevel="0" collapsed="false">
      <c r="A52" s="1" t="s">
        <v>1163</v>
      </c>
      <c r="B52" s="27" t="n">
        <v>25</v>
      </c>
    </row>
    <row r="53" customFormat="false" ht="14.25" hidden="false" customHeight="false" outlineLevel="0" collapsed="false">
      <c r="A53" s="1" t="s">
        <v>1351</v>
      </c>
      <c r="B53" s="27" t="n">
        <v>25</v>
      </c>
    </row>
    <row r="54" customFormat="false" ht="14.25" hidden="false" customHeight="false" outlineLevel="0" collapsed="false">
      <c r="A54" s="1" t="s">
        <v>811</v>
      </c>
      <c r="B54" s="27" t="s">
        <v>1326</v>
      </c>
    </row>
    <row r="55" customFormat="false" ht="14.25" hidden="false" customHeight="false" outlineLevel="0" collapsed="false">
      <c r="A55" s="1" t="s">
        <v>666</v>
      </c>
      <c r="B55" s="27" t="s">
        <v>1326</v>
      </c>
    </row>
    <row r="56" customFormat="false" ht="14.25" hidden="false" customHeight="false" outlineLevel="0" collapsed="false">
      <c r="A56" s="1" t="s">
        <v>1352</v>
      </c>
      <c r="B56" s="27" t="n">
        <v>256</v>
      </c>
    </row>
    <row r="57" customFormat="false" ht="14.25" hidden="false" customHeight="false" outlineLevel="0" collapsed="false">
      <c r="A57" s="1" t="s">
        <v>1353</v>
      </c>
      <c r="B57" s="27" t="n">
        <v>200</v>
      </c>
    </row>
    <row r="58" customFormat="false" ht="14.25" hidden="false" customHeight="false" outlineLevel="0" collapsed="false">
      <c r="A58" s="1" t="s">
        <v>312</v>
      </c>
      <c r="B58" s="27" t="n">
        <v>200</v>
      </c>
    </row>
    <row r="59" customFormat="false" ht="14.25" hidden="false" customHeight="false" outlineLevel="0" collapsed="false">
      <c r="A59" s="1" t="s">
        <v>667</v>
      </c>
      <c r="B59" s="27" t="s">
        <v>1326</v>
      </c>
    </row>
    <row r="60" customFormat="false" ht="14.25" hidden="false" customHeight="false" outlineLevel="0" collapsed="false">
      <c r="A60" s="1" t="s">
        <v>1354</v>
      </c>
      <c r="B60" s="27" t="n">
        <v>256</v>
      </c>
    </row>
    <row r="61" customFormat="false" ht="14.25" hidden="false" customHeight="false" outlineLevel="0" collapsed="false">
      <c r="A61" s="1" t="s">
        <v>1355</v>
      </c>
      <c r="B61" s="27" t="n">
        <v>200</v>
      </c>
    </row>
    <row r="62" customFormat="false" ht="14.25" hidden="false" customHeight="false" outlineLevel="0" collapsed="false">
      <c r="A62" s="1" t="s">
        <v>134</v>
      </c>
      <c r="B62" s="27" t="n">
        <v>200</v>
      </c>
    </row>
    <row r="63" customFormat="false" ht="14.25" hidden="false" customHeight="false" outlineLevel="0" collapsed="false">
      <c r="A63" s="1" t="s">
        <v>1356</v>
      </c>
      <c r="B63" s="27" t="n">
        <v>200</v>
      </c>
    </row>
    <row r="64" customFormat="false" ht="14.25" hidden="false" customHeight="false" outlineLevel="0" collapsed="false">
      <c r="A64" s="1" t="s">
        <v>1357</v>
      </c>
      <c r="B64" s="27" t="n">
        <v>200</v>
      </c>
    </row>
    <row r="65" customFormat="false" ht="14.25" hidden="false" customHeight="false" outlineLevel="0" collapsed="false">
      <c r="A65" s="1" t="s">
        <v>213</v>
      </c>
      <c r="B65" s="27" t="s">
        <v>1326</v>
      </c>
    </row>
    <row r="66" customFormat="false" ht="14.25" hidden="false" customHeight="false" outlineLevel="0" collapsed="false">
      <c r="A66" s="1" t="s">
        <v>1260</v>
      </c>
      <c r="B66" s="27" t="n">
        <v>256</v>
      </c>
    </row>
    <row r="67" customFormat="false" ht="14.25" hidden="false" customHeight="false" outlineLevel="0" collapsed="false">
      <c r="A67" s="1" t="s">
        <v>1358</v>
      </c>
      <c r="B67" s="27" t="n">
        <v>256</v>
      </c>
    </row>
    <row r="68" customFormat="false" ht="14.25" hidden="false" customHeight="false" outlineLevel="0" collapsed="false">
      <c r="A68" s="1" t="s">
        <v>214</v>
      </c>
      <c r="B68" s="27" t="s">
        <v>1326</v>
      </c>
    </row>
    <row r="69" customFormat="false" ht="14.25" hidden="false" customHeight="false" outlineLevel="0" collapsed="false">
      <c r="A69" s="1" t="s">
        <v>1359</v>
      </c>
      <c r="B69" s="27" t="s">
        <v>1326</v>
      </c>
    </row>
    <row r="70" customFormat="false" ht="14.25" hidden="false" customHeight="false" outlineLevel="0" collapsed="false">
      <c r="A70" s="1" t="s">
        <v>1360</v>
      </c>
      <c r="B70" s="27" t="n">
        <v>256</v>
      </c>
    </row>
    <row r="71" customFormat="false" ht="14.25" hidden="false" customHeight="false" outlineLevel="0" collapsed="false">
      <c r="A71" s="1" t="s">
        <v>1361</v>
      </c>
      <c r="B71" s="27" t="n">
        <v>200</v>
      </c>
    </row>
    <row r="72" customFormat="false" ht="14.25" hidden="false" customHeight="false" outlineLevel="0" collapsed="false">
      <c r="A72" s="1" t="s">
        <v>1362</v>
      </c>
      <c r="B72" s="27" t="n">
        <v>256</v>
      </c>
    </row>
    <row r="73" customFormat="false" ht="14.25" hidden="false" customHeight="false" outlineLevel="0" collapsed="false">
      <c r="A73" s="1" t="s">
        <v>1083</v>
      </c>
      <c r="B73" s="27" t="n">
        <v>200</v>
      </c>
    </row>
    <row r="74" customFormat="false" ht="14.25" hidden="false" customHeight="false" outlineLevel="0" collapsed="false">
      <c r="A74" s="1" t="s">
        <v>1363</v>
      </c>
      <c r="B74" s="27" t="s">
        <v>1325</v>
      </c>
    </row>
    <row r="75" customFormat="false" ht="14.25" hidden="false" customHeight="false" outlineLevel="0" collapsed="false">
      <c r="A75" s="1" t="s">
        <v>1364</v>
      </c>
      <c r="B75" s="27" t="s">
        <v>1325</v>
      </c>
    </row>
    <row r="76" customFormat="false" ht="14.25" hidden="false" customHeight="false" outlineLevel="0" collapsed="false">
      <c r="A76" s="1" t="s">
        <v>1365</v>
      </c>
      <c r="B76" s="27" t="s">
        <v>1326</v>
      </c>
    </row>
    <row r="77" customFormat="false" ht="14.25" hidden="false" customHeight="false" outlineLevel="0" collapsed="false">
      <c r="A77" s="1" t="s">
        <v>135</v>
      </c>
      <c r="B77" s="27" t="n">
        <v>200</v>
      </c>
    </row>
    <row r="78" customFormat="false" ht="14.25" hidden="false" customHeight="false" outlineLevel="0" collapsed="false">
      <c r="A78" s="1" t="s">
        <v>463</v>
      </c>
      <c r="B78" s="27" t="n">
        <v>200</v>
      </c>
    </row>
    <row r="79" customFormat="false" ht="14.25" hidden="false" customHeight="false" outlineLevel="0" collapsed="false">
      <c r="A79" s="1" t="s">
        <v>215</v>
      </c>
      <c r="B79" s="27" t="s">
        <v>236</v>
      </c>
    </row>
    <row r="80" customFormat="false" ht="14.25" hidden="false" customHeight="false" outlineLevel="0" collapsed="false">
      <c r="A80" s="1" t="s">
        <v>216</v>
      </c>
      <c r="B80" s="27" t="s">
        <v>236</v>
      </c>
    </row>
    <row r="81" customFormat="false" ht="14.25" hidden="false" customHeight="false" outlineLevel="0" collapsed="false">
      <c r="A81" s="1" t="s">
        <v>217</v>
      </c>
      <c r="B81" s="27" t="s">
        <v>236</v>
      </c>
    </row>
    <row r="82" customFormat="false" ht="14.25" hidden="false" customHeight="false" outlineLevel="0" collapsed="false">
      <c r="A82" s="1" t="s">
        <v>1087</v>
      </c>
      <c r="B82" s="27" t="s">
        <v>1366</v>
      </c>
    </row>
    <row r="83" customFormat="false" ht="14.25" hidden="false" customHeight="false" outlineLevel="0" collapsed="false">
      <c r="A83" s="1" t="s">
        <v>1367</v>
      </c>
      <c r="B83" s="27" t="n">
        <v>100</v>
      </c>
    </row>
    <row r="84" customFormat="false" ht="14.25" hidden="false" customHeight="false" outlineLevel="0" collapsed="false">
      <c r="A84" s="1" t="s">
        <v>1368</v>
      </c>
      <c r="B84" s="27" t="n">
        <v>100</v>
      </c>
    </row>
    <row r="85" customFormat="false" ht="14.25" hidden="false" customHeight="false" outlineLevel="0" collapsed="false">
      <c r="A85" s="1" t="s">
        <v>1369</v>
      </c>
      <c r="B85" s="27" t="n">
        <v>100</v>
      </c>
    </row>
    <row r="86" customFormat="false" ht="14.25" hidden="false" customHeight="false" outlineLevel="0" collapsed="false">
      <c r="A86" s="1" t="s">
        <v>1370</v>
      </c>
      <c r="B86" s="27" t="n">
        <v>100</v>
      </c>
    </row>
    <row r="87" customFormat="false" ht="14.25" hidden="false" customHeight="false" outlineLevel="0" collapsed="false">
      <c r="A87" s="1" t="s">
        <v>1371</v>
      </c>
      <c r="B87" s="27" t="n">
        <v>200</v>
      </c>
    </row>
    <row r="88" customFormat="false" ht="14.25" hidden="false" customHeight="false" outlineLevel="0" collapsed="false">
      <c r="A88" s="1" t="s">
        <v>952</v>
      </c>
      <c r="B88" s="27" t="s">
        <v>1325</v>
      </c>
    </row>
    <row r="89" customFormat="false" ht="14.25" hidden="false" customHeight="false" outlineLevel="0" collapsed="false">
      <c r="A89" s="1" t="s">
        <v>695</v>
      </c>
      <c r="B89" s="27" t="s">
        <v>1326</v>
      </c>
    </row>
    <row r="90" customFormat="false" ht="14.25" hidden="false" customHeight="false" outlineLevel="0" collapsed="false">
      <c r="A90" s="1" t="s">
        <v>281</v>
      </c>
      <c r="B90" s="27" t="s">
        <v>1325</v>
      </c>
    </row>
    <row r="91" customFormat="false" ht="14.25" hidden="false" customHeight="false" outlineLevel="0" collapsed="false">
      <c r="A91" s="1" t="s">
        <v>696</v>
      </c>
      <c r="B91" s="27" t="s">
        <v>1326</v>
      </c>
    </row>
    <row r="92" customFormat="false" ht="14.25" hidden="false" customHeight="false" outlineLevel="0" collapsed="false">
      <c r="A92" s="1" t="s">
        <v>1094</v>
      </c>
      <c r="B92" s="27" t="n">
        <v>64</v>
      </c>
    </row>
    <row r="93" customFormat="false" ht="14.25" hidden="false" customHeight="false" outlineLevel="0" collapsed="false">
      <c r="A93" s="1" t="s">
        <v>1372</v>
      </c>
      <c r="B93" s="27" t="s">
        <v>901</v>
      </c>
    </row>
    <row r="94" customFormat="false" ht="14.25" hidden="false" customHeight="false" outlineLevel="0" collapsed="false">
      <c r="A94" s="1" t="s">
        <v>1373</v>
      </c>
      <c r="B94" s="27" t="s">
        <v>1374</v>
      </c>
    </row>
    <row r="95" customFormat="false" ht="14.25" hidden="false" customHeight="false" outlineLevel="0" collapsed="false">
      <c r="A95" s="1" t="s">
        <v>1375</v>
      </c>
      <c r="B95" s="27" t="n">
        <v>256</v>
      </c>
    </row>
    <row r="96" customFormat="false" ht="14.25" hidden="false" customHeight="false" outlineLevel="0" collapsed="false">
      <c r="A96" s="1" t="s">
        <v>1376</v>
      </c>
      <c r="B96" s="27" t="n">
        <v>10</v>
      </c>
    </row>
    <row r="97" customFormat="false" ht="14.25" hidden="false" customHeight="false" outlineLevel="0" collapsed="false">
      <c r="A97" s="1" t="s">
        <v>1377</v>
      </c>
      <c r="B97" s="27" t="n">
        <v>200</v>
      </c>
    </row>
    <row r="98" customFormat="false" ht="14.25" hidden="false" customHeight="false" outlineLevel="0" collapsed="false">
      <c r="A98" s="1" t="s">
        <v>599</v>
      </c>
      <c r="B98" s="27" t="n">
        <v>200</v>
      </c>
    </row>
    <row r="99" customFormat="false" ht="14.25" hidden="false" customHeight="false" outlineLevel="0" collapsed="false">
      <c r="A99" s="1" t="s">
        <v>1378</v>
      </c>
      <c r="B99" s="27" t="n">
        <v>200</v>
      </c>
    </row>
    <row r="100" customFormat="false" ht="14.25" hidden="false" customHeight="false" outlineLevel="0" collapsed="false">
      <c r="A100" s="1" t="s">
        <v>361</v>
      </c>
      <c r="B100" s="27" t="s">
        <v>1379</v>
      </c>
    </row>
    <row r="101" customFormat="false" ht="14.25" hidden="false" customHeight="false" outlineLevel="0" collapsed="false">
      <c r="A101" s="1" t="s">
        <v>218</v>
      </c>
      <c r="B101" s="27" t="n">
        <v>64</v>
      </c>
    </row>
    <row r="102" customFormat="false" ht="14.25" hidden="false" customHeight="false" outlineLevel="0" collapsed="false">
      <c r="A102" s="1" t="s">
        <v>1380</v>
      </c>
      <c r="B102" s="27" t="n">
        <v>200</v>
      </c>
    </row>
    <row r="103" customFormat="false" ht="14.25" hidden="false" customHeight="false" outlineLevel="0" collapsed="false">
      <c r="A103" s="1" t="s">
        <v>1381</v>
      </c>
      <c r="B103" s="27" t="n">
        <v>200</v>
      </c>
    </row>
    <row r="104" customFormat="false" ht="14.25" hidden="false" customHeight="false" outlineLevel="0" collapsed="false">
      <c r="A104" s="1" t="s">
        <v>219</v>
      </c>
      <c r="B104" s="27" t="n">
        <v>200</v>
      </c>
    </row>
    <row r="105" customFormat="false" ht="14.25" hidden="false" customHeight="false" outlineLevel="0" collapsed="false">
      <c r="A105" s="1" t="s">
        <v>1382</v>
      </c>
      <c r="B105" s="27" t="n">
        <v>200</v>
      </c>
    </row>
    <row r="106" customFormat="false" ht="14.25" hidden="false" customHeight="false" outlineLevel="0" collapsed="false">
      <c r="A106" s="1" t="s">
        <v>1383</v>
      </c>
      <c r="B106" s="27" t="n">
        <v>100</v>
      </c>
    </row>
    <row r="107" customFormat="false" ht="14.25" hidden="false" customHeight="false" outlineLevel="0" collapsed="false">
      <c r="A107" s="1" t="s">
        <v>1384</v>
      </c>
      <c r="B107" s="27" t="s">
        <v>1326</v>
      </c>
    </row>
    <row r="108" customFormat="false" ht="14.25" hidden="false" customHeight="false" outlineLevel="0" collapsed="false">
      <c r="A108" s="1" t="s">
        <v>1385</v>
      </c>
      <c r="B108" s="27" t="s">
        <v>1326</v>
      </c>
    </row>
    <row r="109" customFormat="false" ht="14.25" hidden="false" customHeight="false" outlineLevel="0" collapsed="false">
      <c r="A109" s="1" t="s">
        <v>1386</v>
      </c>
      <c r="B109" s="27" t="s">
        <v>1326</v>
      </c>
    </row>
    <row r="110" customFormat="false" ht="14.25" hidden="false" customHeight="false" outlineLevel="0" collapsed="false">
      <c r="A110" s="1" t="s">
        <v>1387</v>
      </c>
      <c r="B110" s="27" t="n">
        <v>200</v>
      </c>
    </row>
    <row r="111" customFormat="false" ht="14.25" hidden="false" customHeight="false" outlineLevel="0" collapsed="false">
      <c r="A111" s="1" t="s">
        <v>1388</v>
      </c>
      <c r="B111" s="27" t="n">
        <v>256</v>
      </c>
    </row>
    <row r="112" customFormat="false" ht="14.25" hidden="false" customHeight="false" outlineLevel="0" collapsed="false">
      <c r="A112" s="1" t="s">
        <v>1189</v>
      </c>
      <c r="B112" s="27" t="s">
        <v>1389</v>
      </c>
    </row>
    <row r="113" customFormat="false" ht="14.25" hidden="false" customHeight="false" outlineLevel="0" collapsed="false">
      <c r="A113" s="1" t="s">
        <v>1390</v>
      </c>
      <c r="B113" s="27" t="n">
        <v>64</v>
      </c>
    </row>
    <row r="114" customFormat="false" ht="14.25" hidden="false" customHeight="false" outlineLevel="0" collapsed="false">
      <c r="A114" s="1" t="s">
        <v>1391</v>
      </c>
      <c r="B114" s="27" t="n">
        <v>200</v>
      </c>
    </row>
    <row r="115" customFormat="false" ht="14.25" hidden="false" customHeight="false" outlineLevel="0" collapsed="false">
      <c r="A115" s="1" t="s">
        <v>1392</v>
      </c>
      <c r="B115" s="27" t="n">
        <v>256</v>
      </c>
    </row>
    <row r="116" customFormat="false" ht="14.25" hidden="false" customHeight="false" outlineLevel="0" collapsed="false">
      <c r="A116" s="1" t="s">
        <v>1393</v>
      </c>
      <c r="B116" s="27" t="n">
        <v>256</v>
      </c>
    </row>
    <row r="117" customFormat="false" ht="14.25" hidden="false" customHeight="false" outlineLevel="0" collapsed="false">
      <c r="A117" s="1" t="s">
        <v>1394</v>
      </c>
      <c r="B117" s="27" t="n">
        <v>200</v>
      </c>
    </row>
    <row r="118" customFormat="false" ht="14.25" hidden="false" customHeight="false" outlineLevel="0" collapsed="false">
      <c r="A118" s="1" t="s">
        <v>1395</v>
      </c>
      <c r="B118" s="27" t="n">
        <v>200</v>
      </c>
    </row>
    <row r="119" customFormat="false" ht="14.25" hidden="false" customHeight="false" outlineLevel="0" collapsed="false">
      <c r="A119" s="1" t="s">
        <v>1396</v>
      </c>
      <c r="B119" s="27" t="n">
        <v>64</v>
      </c>
    </row>
    <row r="120" customFormat="false" ht="14.25" hidden="false" customHeight="false" outlineLevel="0" collapsed="false">
      <c r="A120" s="1" t="s">
        <v>1397</v>
      </c>
      <c r="B120" s="27" t="n">
        <v>64</v>
      </c>
    </row>
    <row r="121" customFormat="false" ht="14.25" hidden="false" customHeight="false" outlineLevel="0" collapsed="false">
      <c r="A121" s="1" t="s">
        <v>1398</v>
      </c>
      <c r="B121" s="27" t="n">
        <v>64</v>
      </c>
    </row>
    <row r="122" customFormat="false" ht="14.25" hidden="false" customHeight="false" outlineLevel="0" collapsed="false">
      <c r="A122" s="1" t="s">
        <v>1109</v>
      </c>
      <c r="B122" s="27" t="s">
        <v>236</v>
      </c>
    </row>
    <row r="123" customFormat="false" ht="14.25" hidden="false" customHeight="false" outlineLevel="0" collapsed="false">
      <c r="A123" s="1" t="s">
        <v>1399</v>
      </c>
      <c r="B123" s="27" t="s">
        <v>1326</v>
      </c>
    </row>
    <row r="124" customFormat="false" ht="14.25" hidden="false" customHeight="false" outlineLevel="0" collapsed="false">
      <c r="A124" s="1" t="s">
        <v>1400</v>
      </c>
      <c r="B124" s="27" t="n">
        <v>200</v>
      </c>
    </row>
    <row r="125" customFormat="false" ht="14.25" hidden="false" customHeight="false" outlineLevel="0" collapsed="false">
      <c r="A125" s="1" t="s">
        <v>1401</v>
      </c>
      <c r="B125" s="27" t="n">
        <v>200</v>
      </c>
    </row>
    <row r="126" customFormat="false" ht="14.25" hidden="false" customHeight="false" outlineLevel="0" collapsed="false">
      <c r="A126" s="1" t="s">
        <v>1402</v>
      </c>
      <c r="B126" s="27" t="s">
        <v>1326</v>
      </c>
    </row>
    <row r="127" customFormat="false" ht="14.25" hidden="false" customHeight="false" outlineLevel="0" collapsed="false">
      <c r="A127" s="1" t="s">
        <v>1403</v>
      </c>
      <c r="B127" s="27" t="n">
        <v>256</v>
      </c>
    </row>
    <row r="128" customFormat="false" ht="14.25" hidden="false" customHeight="false" outlineLevel="0" collapsed="false">
      <c r="A128" s="1" t="s">
        <v>1404</v>
      </c>
      <c r="B128" s="27" t="n">
        <v>256</v>
      </c>
    </row>
    <row r="129" customFormat="false" ht="14.25" hidden="false" customHeight="false" outlineLevel="0" collapsed="false">
      <c r="A129" s="1" t="s">
        <v>1405</v>
      </c>
      <c r="B129" s="27" t="s">
        <v>236</v>
      </c>
    </row>
    <row r="130" customFormat="false" ht="14.25" hidden="false" customHeight="false" outlineLevel="0" collapsed="false">
      <c r="A130" s="1" t="s">
        <v>1406</v>
      </c>
      <c r="B130" s="27" t="n">
        <v>256</v>
      </c>
    </row>
    <row r="131" customFormat="false" ht="14.25" hidden="false" customHeight="false" outlineLevel="0" collapsed="false">
      <c r="A131" s="1" t="s">
        <v>1407</v>
      </c>
      <c r="B131" s="27" t="s">
        <v>1408</v>
      </c>
    </row>
    <row r="132" customFormat="false" ht="14.25" hidden="false" customHeight="false" outlineLevel="0" collapsed="false">
      <c r="A132" s="1" t="s">
        <v>1409</v>
      </c>
      <c r="B132" s="27" t="n">
        <v>256</v>
      </c>
    </row>
    <row r="133" customFormat="false" ht="14.25" hidden="false" customHeight="false" outlineLevel="0" collapsed="false">
      <c r="A133" s="1" t="s">
        <v>1410</v>
      </c>
      <c r="B133" s="27" t="n">
        <v>256</v>
      </c>
    </row>
    <row r="134" customFormat="false" ht="14.25" hidden="false" customHeight="false" outlineLevel="0" collapsed="false">
      <c r="A134" s="1" t="s">
        <v>1411</v>
      </c>
      <c r="B134" s="27" t="s">
        <v>236</v>
      </c>
    </row>
    <row r="135" customFormat="false" ht="14.25" hidden="false" customHeight="false" outlineLevel="0" collapsed="false">
      <c r="A135" s="1" t="s">
        <v>1412</v>
      </c>
      <c r="B135" s="27" t="n">
        <v>200</v>
      </c>
    </row>
    <row r="136" customFormat="false" ht="14.25" hidden="false" customHeight="false" outlineLevel="0" collapsed="false">
      <c r="A136" s="1" t="s">
        <v>137</v>
      </c>
      <c r="B136" s="27" t="n">
        <v>200</v>
      </c>
    </row>
    <row r="137" customFormat="false" ht="14.25" hidden="false" customHeight="false" outlineLevel="0" collapsed="false">
      <c r="A137" s="1" t="s">
        <v>220</v>
      </c>
      <c r="B137" s="27" t="s">
        <v>1325</v>
      </c>
    </row>
    <row r="138" customFormat="false" ht="14.25" hidden="false" customHeight="false" outlineLevel="0" collapsed="false">
      <c r="A138" s="1" t="s">
        <v>1413</v>
      </c>
      <c r="B138" s="27" t="n">
        <v>200</v>
      </c>
    </row>
    <row r="139" customFormat="false" ht="14.25" hidden="false" customHeight="false" outlineLevel="0" collapsed="false">
      <c r="A139" s="1" t="s">
        <v>221</v>
      </c>
      <c r="B139" s="27" t="s">
        <v>1325</v>
      </c>
    </row>
    <row r="140" customFormat="false" ht="14.25" hidden="false" customHeight="false" outlineLevel="0" collapsed="false">
      <c r="A140" s="1" t="s">
        <v>1414</v>
      </c>
      <c r="B140" s="27" t="s">
        <v>1415</v>
      </c>
    </row>
    <row r="141" customFormat="false" ht="14.25" hidden="false" customHeight="false" outlineLevel="0" collapsed="false">
      <c r="A141" s="1" t="s">
        <v>1416</v>
      </c>
      <c r="B141" s="27" t="s">
        <v>1417</v>
      </c>
    </row>
    <row r="142" customFormat="false" ht="14.25" hidden="false" customHeight="false" outlineLevel="0" collapsed="false">
      <c r="A142" s="1" t="s">
        <v>1418</v>
      </c>
      <c r="B142" s="27" t="n">
        <v>16</v>
      </c>
    </row>
    <row r="143" customFormat="false" ht="14.25" hidden="false" customHeight="false" outlineLevel="0" collapsed="false">
      <c r="A143" s="1" t="s">
        <v>1419</v>
      </c>
      <c r="B143" s="27" t="n">
        <v>25</v>
      </c>
    </row>
    <row r="144" customFormat="false" ht="14.25" hidden="false" customHeight="false" outlineLevel="0" collapsed="false">
      <c r="A144" s="1" t="s">
        <v>1420</v>
      </c>
      <c r="B144" s="27" t="s">
        <v>1421</v>
      </c>
    </row>
    <row r="145" customFormat="false" ht="14.25" hidden="false" customHeight="false" outlineLevel="0" collapsed="false">
      <c r="A145" s="1" t="s">
        <v>1422</v>
      </c>
      <c r="B145" s="27" t="n">
        <v>16</v>
      </c>
    </row>
    <row r="146" customFormat="false" ht="14.25" hidden="false" customHeight="false" outlineLevel="0" collapsed="false">
      <c r="A146" s="1" t="s">
        <v>1207</v>
      </c>
      <c r="B146" s="27" t="s">
        <v>1423</v>
      </c>
    </row>
    <row r="147" customFormat="false" ht="14.25" hidden="false" customHeight="false" outlineLevel="0" collapsed="false">
      <c r="A147" s="1" t="s">
        <v>1424</v>
      </c>
      <c r="B147" s="27" t="n">
        <v>128</v>
      </c>
    </row>
    <row r="148" customFormat="false" ht="14.25" hidden="false" customHeight="false" outlineLevel="0" collapsed="false">
      <c r="A148" s="1" t="s">
        <v>54</v>
      </c>
      <c r="B148" s="27" t="s">
        <v>1425</v>
      </c>
    </row>
    <row r="149" customFormat="false" ht="14.25" hidden="false" customHeight="false" outlineLevel="0" collapsed="false">
      <c r="A149" s="1" t="s">
        <v>1426</v>
      </c>
      <c r="B149" s="27" t="n">
        <v>256</v>
      </c>
    </row>
    <row r="150" customFormat="false" ht="14.25" hidden="false" customHeight="false" outlineLevel="0" collapsed="false">
      <c r="A150" s="1" t="s">
        <v>1427</v>
      </c>
      <c r="B150" s="27" t="n">
        <v>32</v>
      </c>
    </row>
    <row r="151" customFormat="false" ht="14.25" hidden="false" customHeight="false" outlineLevel="0" collapsed="false">
      <c r="A151" s="1" t="s">
        <v>1428</v>
      </c>
      <c r="B151" s="27" t="n">
        <v>32</v>
      </c>
    </row>
    <row r="152" customFormat="false" ht="14.25" hidden="false" customHeight="false" outlineLevel="0" collapsed="false">
      <c r="A152" s="1" t="s">
        <v>818</v>
      </c>
      <c r="B152" s="27" t="s">
        <v>1325</v>
      </c>
    </row>
    <row r="153" customFormat="false" ht="14.25" hidden="false" customHeight="false" outlineLevel="0" collapsed="false">
      <c r="A153" s="1" t="s">
        <v>697</v>
      </c>
      <c r="B153" s="27" t="s">
        <v>1326</v>
      </c>
    </row>
    <row r="154" customFormat="false" ht="14.25" hidden="false" customHeight="false" outlineLevel="0" collapsed="false">
      <c r="A154" s="1" t="s">
        <v>283</v>
      </c>
      <c r="B154" s="27" t="s">
        <v>1325</v>
      </c>
    </row>
    <row r="155" customFormat="false" ht="14.25" hidden="false" customHeight="false" outlineLevel="0" collapsed="false">
      <c r="A155" s="1" t="s">
        <v>698</v>
      </c>
      <c r="B155" s="27" t="s">
        <v>1326</v>
      </c>
    </row>
    <row r="156" customFormat="false" ht="14.25" hidden="false" customHeight="false" outlineLevel="0" collapsed="false">
      <c r="A156" s="1" t="s">
        <v>1429</v>
      </c>
      <c r="B156" s="27" t="n">
        <v>16</v>
      </c>
    </row>
    <row r="157" customFormat="false" ht="14.25" hidden="false" customHeight="false" outlineLevel="0" collapsed="false">
      <c r="A157" s="1" t="s">
        <v>55</v>
      </c>
      <c r="B157" s="27" t="n">
        <v>16</v>
      </c>
    </row>
    <row r="158" customFormat="false" ht="14.25" hidden="false" customHeight="false" outlineLevel="0" collapsed="false">
      <c r="A158" s="1" t="s">
        <v>1430</v>
      </c>
      <c r="B158" s="27" t="n">
        <v>16</v>
      </c>
    </row>
    <row r="159" customFormat="false" ht="14.25" hidden="false" customHeight="false" outlineLevel="0" collapsed="false">
      <c r="A159" s="1" t="s">
        <v>1431</v>
      </c>
      <c r="B159" s="27" t="s">
        <v>146</v>
      </c>
    </row>
    <row r="160" customFormat="false" ht="14.25" hidden="false" customHeight="false" outlineLevel="0" collapsed="false">
      <c r="A160" s="1" t="s">
        <v>1125</v>
      </c>
      <c r="B160" s="27" t="n">
        <v>100</v>
      </c>
    </row>
    <row r="161" customFormat="false" ht="14.25" hidden="false" customHeight="false" outlineLevel="0" collapsed="false">
      <c r="A161" s="1" t="s">
        <v>1432</v>
      </c>
      <c r="B161" s="27" t="n">
        <v>10</v>
      </c>
    </row>
    <row r="162" customFormat="false" ht="14.25" hidden="false" customHeight="false" outlineLevel="0" collapsed="false">
      <c r="A162" s="1" t="s">
        <v>1208</v>
      </c>
      <c r="B162" s="27" t="s">
        <v>1316</v>
      </c>
    </row>
    <row r="163" customFormat="false" ht="14.25" hidden="false" customHeight="false" outlineLevel="0" collapsed="false">
      <c r="A163" s="1" t="s">
        <v>1291</v>
      </c>
      <c r="B163" s="27" t="n">
        <v>16</v>
      </c>
    </row>
    <row r="164" customFormat="false" ht="14.25" hidden="false" customHeight="false" outlineLevel="0" collapsed="false">
      <c r="A164" s="1" t="s">
        <v>1433</v>
      </c>
      <c r="B164" s="27" t="n">
        <v>25</v>
      </c>
    </row>
    <row r="165" customFormat="false" ht="14.25" hidden="false" customHeight="false" outlineLevel="0" collapsed="false">
      <c r="A165" s="1" t="s">
        <v>1292</v>
      </c>
      <c r="B165" s="27" t="s">
        <v>1434</v>
      </c>
    </row>
    <row r="166" customFormat="false" ht="14.25" hidden="false" customHeight="false" outlineLevel="0" collapsed="false">
      <c r="A166" s="1" t="s">
        <v>1435</v>
      </c>
      <c r="B166" s="27" t="n">
        <v>25</v>
      </c>
    </row>
    <row r="167" customFormat="false" ht="14.25" hidden="false" customHeight="false" outlineLevel="0" collapsed="false">
      <c r="A167" s="1" t="s">
        <v>57</v>
      </c>
      <c r="B167" s="27" t="s">
        <v>1436</v>
      </c>
    </row>
    <row r="168" customFormat="false" ht="14.25" hidden="false" customHeight="false" outlineLevel="0" collapsed="false">
      <c r="A168" s="1" t="s">
        <v>1133</v>
      </c>
      <c r="B168" s="27" t="s">
        <v>1421</v>
      </c>
    </row>
    <row r="169" customFormat="false" ht="14.25" hidden="false" customHeight="false" outlineLevel="0" collapsed="false">
      <c r="A169" s="1" t="s">
        <v>1437</v>
      </c>
      <c r="B169" s="27" t="n">
        <v>25</v>
      </c>
    </row>
    <row r="170" customFormat="false" ht="14.25" hidden="false" customHeight="false" outlineLevel="0" collapsed="false">
      <c r="A170" s="1" t="s">
        <v>1438</v>
      </c>
      <c r="B170" s="27" t="n">
        <v>64</v>
      </c>
    </row>
    <row r="171" customFormat="false" ht="14.25" hidden="false" customHeight="false" outlineLevel="0" collapsed="false">
      <c r="A171" s="1" t="s">
        <v>1439</v>
      </c>
      <c r="B171" s="27" t="n">
        <v>1</v>
      </c>
    </row>
    <row r="172" customFormat="false" ht="14.25" hidden="false" customHeight="false" outlineLevel="0" collapsed="false">
      <c r="A172" s="1" t="s">
        <v>1440</v>
      </c>
      <c r="B172" s="27" t="n">
        <v>1</v>
      </c>
    </row>
    <row r="173" customFormat="false" ht="14.25" hidden="false" customHeight="false" outlineLevel="0" collapsed="false">
      <c r="A173" s="1" t="s">
        <v>1441</v>
      </c>
      <c r="B173" s="27" t="n">
        <v>32</v>
      </c>
    </row>
    <row r="174" customFormat="false" ht="14.25" hidden="false" customHeight="false" outlineLevel="0" collapsed="false">
      <c r="A174" s="1" t="s">
        <v>228</v>
      </c>
      <c r="B174" s="27" t="s">
        <v>1379</v>
      </c>
    </row>
    <row r="175" customFormat="false" ht="14.25" hidden="false" customHeight="false" outlineLevel="0" collapsed="false">
      <c r="A175" s="1" t="s">
        <v>58</v>
      </c>
      <c r="B175" s="27" t="s">
        <v>1442</v>
      </c>
    </row>
    <row r="176" customFormat="false" ht="14.25" hidden="false" customHeight="false" outlineLevel="0" collapsed="false">
      <c r="A176" s="1" t="s">
        <v>1443</v>
      </c>
      <c r="B176" s="27" t="n">
        <v>200</v>
      </c>
    </row>
    <row r="177" customFormat="false" ht="14.25" hidden="false" customHeight="false" outlineLevel="0" collapsed="false">
      <c r="A177" s="1" t="s">
        <v>229</v>
      </c>
      <c r="B177" s="27" t="n">
        <v>200</v>
      </c>
    </row>
    <row r="178" customFormat="false" ht="14.25" hidden="false" customHeight="false" outlineLevel="0" collapsed="false">
      <c r="A178" s="1" t="s">
        <v>1444</v>
      </c>
      <c r="B178" s="27" t="n">
        <v>200</v>
      </c>
    </row>
    <row r="179" customFormat="false" ht="14.25" hidden="false" customHeight="false" outlineLevel="0" collapsed="false">
      <c r="A179" s="1" t="s">
        <v>1445</v>
      </c>
      <c r="B179" s="27" t="n">
        <v>200</v>
      </c>
    </row>
    <row r="180" customFormat="false" ht="14.25" hidden="false" customHeight="false" outlineLevel="0" collapsed="false">
      <c r="A180" s="1" t="s">
        <v>1446</v>
      </c>
      <c r="B180" s="27" t="s">
        <v>1326</v>
      </c>
    </row>
    <row r="181" customFormat="false" ht="14.25" hidden="false" customHeight="false" outlineLevel="0" collapsed="false">
      <c r="A181" s="1" t="s">
        <v>1447</v>
      </c>
      <c r="B181" s="27" t="n">
        <v>200</v>
      </c>
    </row>
    <row r="182" customFormat="false" ht="14.25" hidden="false" customHeight="false" outlineLevel="0" collapsed="false">
      <c r="A182" s="1" t="s">
        <v>1448</v>
      </c>
      <c r="B182" s="27" t="s">
        <v>1326</v>
      </c>
    </row>
    <row r="183" customFormat="false" ht="14.25" hidden="false" customHeight="false" outlineLevel="0" collapsed="false">
      <c r="A183" s="1" t="s">
        <v>1449</v>
      </c>
      <c r="B183" s="27" t="n">
        <v>256</v>
      </c>
    </row>
    <row r="184" customFormat="false" ht="14.25" hidden="false" customHeight="false" outlineLevel="0" collapsed="false">
      <c r="A184" s="1" t="s">
        <v>1450</v>
      </c>
      <c r="B184" s="27" t="n">
        <v>200</v>
      </c>
    </row>
    <row r="185" customFormat="false" ht="14.25" hidden="false" customHeight="false" outlineLevel="0" collapsed="false">
      <c r="A185" s="1" t="s">
        <v>1451</v>
      </c>
      <c r="B185" s="27" t="n">
        <v>256</v>
      </c>
    </row>
    <row r="186" customFormat="false" ht="14.25" hidden="false" customHeight="false" outlineLevel="0" collapsed="false">
      <c r="A186" s="1" t="s">
        <v>1138</v>
      </c>
      <c r="B186" s="27" t="s">
        <v>236</v>
      </c>
    </row>
    <row r="187" customFormat="false" ht="14.25" hidden="false" customHeight="false" outlineLevel="0" collapsed="false">
      <c r="A187" s="1" t="s">
        <v>1452</v>
      </c>
      <c r="B187" s="27" t="n">
        <v>16</v>
      </c>
    </row>
    <row r="188" customFormat="false" ht="14.25" hidden="false" customHeight="false" outlineLevel="0" collapsed="false">
      <c r="A188" s="1" t="s">
        <v>1453</v>
      </c>
      <c r="B188" s="27" t="n">
        <v>1</v>
      </c>
    </row>
    <row r="189" customFormat="false" ht="14.25" hidden="false" customHeight="false" outlineLevel="0" collapsed="false">
      <c r="A189" s="1" t="s">
        <v>1454</v>
      </c>
      <c r="B189" s="27" t="n">
        <v>1</v>
      </c>
    </row>
    <row r="190" customFormat="false" ht="14.25" hidden="false" customHeight="false" outlineLevel="0" collapsed="false">
      <c r="A190" s="1" t="s">
        <v>1455</v>
      </c>
      <c r="B190" s="27" t="n">
        <v>1</v>
      </c>
    </row>
    <row r="191" customFormat="false" ht="14.25" hidden="false" customHeight="false" outlineLevel="0" collapsed="false">
      <c r="A191" s="1" t="s">
        <v>1456</v>
      </c>
      <c r="B191" s="27" t="s">
        <v>1326</v>
      </c>
    </row>
    <row r="192" customFormat="false" ht="14.25" hidden="false" customHeight="false" outlineLevel="0" collapsed="false">
      <c r="A192" s="1" t="s">
        <v>1457</v>
      </c>
      <c r="B192" s="27" t="n">
        <v>256</v>
      </c>
    </row>
    <row r="193" customFormat="false" ht="14.25" hidden="false" customHeight="false" outlineLevel="0" collapsed="false">
      <c r="A193" s="1" t="s">
        <v>1458</v>
      </c>
      <c r="B193" s="27" t="n">
        <v>256</v>
      </c>
    </row>
    <row r="194" customFormat="false" ht="14.25" hidden="false" customHeight="false" outlineLevel="0" collapsed="false">
      <c r="A194" s="1" t="s">
        <v>1459</v>
      </c>
      <c r="B194" s="27" t="s">
        <v>1326</v>
      </c>
    </row>
    <row r="195" customFormat="false" ht="14.25" hidden="false" customHeight="false" outlineLevel="0" collapsed="false">
      <c r="A195" s="1" t="s">
        <v>1460</v>
      </c>
      <c r="B195" s="27" t="n">
        <v>200</v>
      </c>
    </row>
    <row r="196" customFormat="false" ht="14.25" hidden="false" customHeight="false" outlineLevel="0" collapsed="false">
      <c r="A196" s="1" t="s">
        <v>1461</v>
      </c>
      <c r="B196" s="27" t="n">
        <v>200</v>
      </c>
    </row>
    <row r="197" customFormat="false" ht="14.25" hidden="false" customHeight="false" outlineLevel="0" collapsed="false">
      <c r="A197" s="1" t="s">
        <v>1462</v>
      </c>
      <c r="B197" s="27" t="s">
        <v>1326</v>
      </c>
    </row>
    <row r="198" customFormat="false" ht="14.25" hidden="false" customHeight="false" outlineLevel="0" collapsed="false">
      <c r="A198" s="1" t="s">
        <v>1463</v>
      </c>
      <c r="B198" s="27" t="n">
        <v>256</v>
      </c>
    </row>
    <row r="199" customFormat="false" ht="14.25" hidden="false" customHeight="false" outlineLevel="0" collapsed="false">
      <c r="A199" s="1" t="s">
        <v>1464</v>
      </c>
      <c r="B199" s="27" t="n">
        <v>256</v>
      </c>
    </row>
    <row r="200" customFormat="false" ht="14.25" hidden="false" customHeight="false" outlineLevel="0" collapsed="false">
      <c r="A200" s="1" t="s">
        <v>1465</v>
      </c>
      <c r="B200" s="27" t="s">
        <v>236</v>
      </c>
    </row>
    <row r="201" customFormat="false" ht="14.25" hidden="false" customHeight="false" outlineLevel="0" collapsed="false">
      <c r="A201" s="1" t="s">
        <v>1466</v>
      </c>
      <c r="B201" s="27" t="n">
        <v>256</v>
      </c>
    </row>
    <row r="202" customFormat="false" ht="14.25" hidden="false" customHeight="false" outlineLevel="0" collapsed="false">
      <c r="A202" s="1" t="s">
        <v>1467</v>
      </c>
      <c r="B202" s="27" t="s">
        <v>1326</v>
      </c>
    </row>
    <row r="203" customFormat="false" ht="14.25" hidden="false" customHeight="false" outlineLevel="0" collapsed="false">
      <c r="A203" s="1" t="s">
        <v>1468</v>
      </c>
      <c r="B203" s="27" t="n">
        <v>256</v>
      </c>
    </row>
    <row r="204" customFormat="false" ht="14.25" hidden="false" customHeight="false" outlineLevel="0" collapsed="false">
      <c r="A204" s="1" t="s">
        <v>1469</v>
      </c>
      <c r="B204" s="27" t="n">
        <v>256</v>
      </c>
    </row>
    <row r="205" customFormat="false" ht="14.25" hidden="false" customHeight="false" outlineLevel="0" collapsed="false">
      <c r="A205" s="1" t="s">
        <v>1470</v>
      </c>
      <c r="B205" s="27" t="s">
        <v>236</v>
      </c>
    </row>
    <row r="206" customFormat="false" ht="14.25" hidden="false" customHeight="false" outlineLevel="0" collapsed="false">
      <c r="A206" s="1" t="s">
        <v>1471</v>
      </c>
      <c r="B206" s="27" t="n">
        <v>200</v>
      </c>
    </row>
    <row r="207" customFormat="false" ht="14.25" hidden="false" customHeight="false" outlineLevel="0" collapsed="false">
      <c r="A207" s="1" t="s">
        <v>1213</v>
      </c>
      <c r="B207" s="27" t="s">
        <v>1316</v>
      </c>
    </row>
    <row r="208" customFormat="false" ht="14.25" hidden="false" customHeight="false" outlineLevel="0" collapsed="false">
      <c r="A208" s="1" t="s">
        <v>142</v>
      </c>
      <c r="B208" s="27" t="n">
        <v>200</v>
      </c>
    </row>
    <row r="209" customFormat="false" ht="14.25" hidden="false" customHeight="false" outlineLevel="0" collapsed="false">
      <c r="A209" s="1" t="s">
        <v>1472</v>
      </c>
      <c r="B209" s="27" t="n">
        <v>64</v>
      </c>
    </row>
    <row r="210" customFormat="false" ht="14.25" hidden="false" customHeight="false" outlineLevel="0" collapsed="false">
      <c r="A210" s="1" t="s">
        <v>1215</v>
      </c>
      <c r="B210" s="27" t="n">
        <v>10</v>
      </c>
    </row>
    <row r="211" customFormat="false" ht="14.25" hidden="false" customHeight="false" outlineLevel="0" collapsed="false">
      <c r="A211" s="1" t="s">
        <v>1473</v>
      </c>
      <c r="B211" s="27" t="s">
        <v>1186</v>
      </c>
    </row>
    <row r="212" customFormat="false" ht="14.25" hidden="false" customHeight="false" outlineLevel="0" collapsed="false">
      <c r="A212" s="1" t="s">
        <v>1474</v>
      </c>
      <c r="B212" s="27" t="n">
        <v>25</v>
      </c>
    </row>
    <row r="213" customFormat="false" ht="14.25" hidden="false" customHeight="false" outlineLevel="0" collapsed="false">
      <c r="A213" s="1" t="s">
        <v>820</v>
      </c>
      <c r="B213" s="27" t="s">
        <v>1475</v>
      </c>
    </row>
    <row r="214" customFormat="false" ht="14.25" hidden="false" customHeight="false" outlineLevel="0" collapsed="false">
      <c r="A214" s="1" t="s">
        <v>230</v>
      </c>
      <c r="B214" s="27" t="n">
        <v>16</v>
      </c>
    </row>
    <row r="215" customFormat="false" ht="14.25" hidden="false" customHeight="false" outlineLevel="0" collapsed="false">
      <c r="A215" s="1" t="s">
        <v>231</v>
      </c>
      <c r="B215" s="27" t="s">
        <v>1476</v>
      </c>
    </row>
    <row r="216" customFormat="false" ht="14.25" hidden="false" customHeight="false" outlineLevel="0" collapsed="false">
      <c r="A216" s="1" t="s">
        <v>60</v>
      </c>
      <c r="B216" s="27" t="s">
        <v>1477</v>
      </c>
    </row>
    <row r="217" customFormat="false" ht="14.25" hidden="false" customHeight="false" outlineLevel="0" collapsed="false">
      <c r="A217" s="1" t="s">
        <v>1478</v>
      </c>
      <c r="B217" s="27" t="n">
        <v>256</v>
      </c>
    </row>
    <row r="218" customFormat="false" ht="14.25" hidden="false" customHeight="false" outlineLevel="0" collapsed="false">
      <c r="A218" s="1" t="s">
        <v>1479</v>
      </c>
      <c r="B218" s="27" t="n">
        <v>256</v>
      </c>
    </row>
    <row r="219" customFormat="false" ht="14.25" hidden="false" customHeight="false" outlineLevel="0" collapsed="false">
      <c r="A219" s="1" t="s">
        <v>1480</v>
      </c>
      <c r="B219" s="27" t="n">
        <v>200</v>
      </c>
    </row>
    <row r="220" customFormat="false" ht="14.25" hidden="false" customHeight="false" outlineLevel="0" collapsed="false">
      <c r="A220" s="1" t="s">
        <v>1481</v>
      </c>
      <c r="B220" s="27" t="n">
        <v>100</v>
      </c>
    </row>
    <row r="221" customFormat="false" ht="14.25" hidden="false" customHeight="false" outlineLevel="0" collapsed="false">
      <c r="A221" s="1" t="s">
        <v>1482</v>
      </c>
      <c r="B221" s="27" t="n">
        <v>200</v>
      </c>
    </row>
    <row r="222" customFormat="false" ht="14.25" hidden="false" customHeight="false" outlineLevel="0" collapsed="false">
      <c r="A222" s="1" t="s">
        <v>286</v>
      </c>
      <c r="B222" s="27" t="n">
        <v>25</v>
      </c>
    </row>
    <row r="223" customFormat="false" ht="14.25" hidden="false" customHeight="false" outlineLevel="0" collapsed="false">
      <c r="A223" s="1" t="s">
        <v>61</v>
      </c>
      <c r="B223" s="27" t="s">
        <v>1483</v>
      </c>
    </row>
    <row r="224" customFormat="false" ht="14.25" hidden="false" customHeight="false" outlineLevel="0" collapsed="false">
      <c r="A224" s="1" t="s">
        <v>232</v>
      </c>
      <c r="B224" s="27" t="s">
        <v>1484</v>
      </c>
    </row>
    <row r="225" customFormat="false" ht="14.25" hidden="false" customHeight="false" outlineLevel="0" collapsed="false">
      <c r="A225" s="1" t="s">
        <v>1485</v>
      </c>
      <c r="B225" s="27" t="s">
        <v>1486</v>
      </c>
    </row>
    <row r="226" customFormat="false" ht="14.25" hidden="false" customHeight="false" outlineLevel="0" collapsed="false">
      <c r="A226" s="1" t="s">
        <v>1146</v>
      </c>
      <c r="B226" s="27" t="s">
        <v>146</v>
      </c>
    </row>
    <row r="227" customFormat="false" ht="14.25" hidden="false" customHeight="false" outlineLevel="0" collapsed="false">
      <c r="A227" s="1" t="s">
        <v>1487</v>
      </c>
      <c r="B227" s="27" t="n">
        <v>100</v>
      </c>
    </row>
    <row r="228" customFormat="false" ht="14.25" hidden="false" customHeight="false" outlineLevel="0" collapsed="false">
      <c r="A228" s="1" t="s">
        <v>1488</v>
      </c>
      <c r="B228" s="27" t="n">
        <v>100</v>
      </c>
    </row>
    <row r="229" customFormat="false" ht="14.25" hidden="false" customHeight="false" outlineLevel="0" collapsed="false">
      <c r="A229" s="1" t="s">
        <v>1489</v>
      </c>
      <c r="B229" s="27" t="s">
        <v>146</v>
      </c>
    </row>
    <row r="230" customFormat="false" ht="14.25" hidden="false" customHeight="false" outlineLevel="0" collapsed="false">
      <c r="A230" s="1" t="s">
        <v>1220</v>
      </c>
      <c r="B230" s="27" t="s">
        <v>234</v>
      </c>
    </row>
    <row r="231" customFormat="false" ht="14.25" hidden="false" customHeight="false" outlineLevel="0" collapsed="false">
      <c r="A231" s="1" t="s">
        <v>1148</v>
      </c>
      <c r="B231" s="27" t="n">
        <v>64</v>
      </c>
    </row>
    <row r="232" customFormat="false" ht="14.25" hidden="false" customHeight="false" outlineLevel="0" collapsed="false">
      <c r="A232" s="1" t="s">
        <v>1490</v>
      </c>
      <c r="B232" s="27" t="n">
        <v>10</v>
      </c>
    </row>
    <row r="233" customFormat="false" ht="14.25" hidden="false" customHeight="false" outlineLevel="0" collapsed="false">
      <c r="A233" s="1" t="s">
        <v>1491</v>
      </c>
      <c r="B233" s="27" t="n">
        <v>200</v>
      </c>
    </row>
    <row r="234" customFormat="false" ht="14.25" hidden="false" customHeight="false" outlineLevel="0" collapsed="false">
      <c r="A234" s="1" t="s">
        <v>1492</v>
      </c>
      <c r="B234" s="27" t="n">
        <v>10</v>
      </c>
    </row>
    <row r="235" customFormat="false" ht="14.25" hidden="false" customHeight="false" outlineLevel="0" collapsed="false">
      <c r="A235" s="1" t="s">
        <v>1240</v>
      </c>
      <c r="B235" s="27" t="s">
        <v>1316</v>
      </c>
    </row>
    <row r="236" customFormat="false" ht="14.25" hidden="false" customHeight="false" outlineLevel="0" collapsed="false">
      <c r="A236" s="1" t="s">
        <v>1493</v>
      </c>
      <c r="B236" s="27" t="n">
        <v>1</v>
      </c>
    </row>
    <row r="237" customFormat="false" ht="14.25" hidden="false" customHeight="false" outlineLevel="0" collapsed="false">
      <c r="A237" s="1" t="s">
        <v>1494</v>
      </c>
      <c r="B237" s="27" t="n">
        <v>1</v>
      </c>
    </row>
    <row r="238" customFormat="false" ht="14.25" hidden="false" customHeight="false" outlineLevel="0" collapsed="false">
      <c r="A238" s="1" t="s">
        <v>1495</v>
      </c>
      <c r="B238" s="27" t="s">
        <v>1316</v>
      </c>
    </row>
  </sheetData>
  <conditionalFormatting sqref="E12:F12 AI2:XFD25 E121:XFD156 E108:F108 E114:F114 AA97:XFD120 U157:XFD180 E181:XFD216 O217:XFD240 M241:XFD264 E337:XFD1048576 G314:XFD336 K265:XFD289 I290:XFD313 E26:XFD96 E1:XFD1">
    <cfRule type="duplicateValues" priority="2" aboveAverage="0" equalAverage="0" bottom="0" percent="0" rank="0" text="" dxfId="7"/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7" activeCellId="0" sqref="H7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2" min="2" style="1" width="17.73"/>
  </cols>
  <sheetData>
    <row r="1" customFormat="false" ht="14.25" hidden="false" customHeight="false" outlineLevel="0" collapsed="false">
      <c r="A1" s="1" t="s">
        <v>1496</v>
      </c>
    </row>
    <row r="2" customFormat="false" ht="14.25" hidden="false" customHeight="false" outlineLevel="0" collapsed="false">
      <c r="A2" s="1" t="s">
        <v>1497</v>
      </c>
      <c r="C2" s="3"/>
      <c r="D2" s="1" t="s">
        <v>1498</v>
      </c>
      <c r="F2" s="3"/>
      <c r="G2" s="1" t="s">
        <v>1499</v>
      </c>
    </row>
    <row r="3" customFormat="false" ht="14.25" hidden="false" customHeight="false" outlineLevel="0" collapsed="false">
      <c r="A3" s="80" t="s">
        <v>1500</v>
      </c>
      <c r="B3" s="80" t="s">
        <v>1501</v>
      </c>
      <c r="C3" s="81"/>
      <c r="D3" s="80" t="s">
        <v>1500</v>
      </c>
      <c r="E3" s="80" t="s">
        <v>1501</v>
      </c>
      <c r="F3" s="81"/>
      <c r="G3" s="80" t="s">
        <v>1502</v>
      </c>
      <c r="H3" s="80" t="s">
        <v>1501</v>
      </c>
    </row>
    <row r="4" customFormat="false" ht="14.25" hidden="false" customHeight="false" outlineLevel="0" collapsed="false">
      <c r="A4" s="1" t="s">
        <v>131</v>
      </c>
      <c r="B4" s="79" t="n">
        <v>32100</v>
      </c>
      <c r="C4" s="3"/>
      <c r="D4" s="1" t="s">
        <v>211</v>
      </c>
      <c r="E4" s="1" t="n">
        <v>256</v>
      </c>
      <c r="F4" s="3"/>
      <c r="G4" s="1" t="s">
        <v>131</v>
      </c>
      <c r="H4" s="27" t="s">
        <v>823</v>
      </c>
    </row>
    <row r="5" customFormat="false" ht="14.25" hidden="false" customHeight="false" outlineLevel="0" collapsed="false">
      <c r="A5" s="1" t="s">
        <v>211</v>
      </c>
      <c r="B5" s="27" t="s">
        <v>1503</v>
      </c>
      <c r="C5" s="3"/>
      <c r="D5" s="49" t="s">
        <v>212</v>
      </c>
      <c r="E5" s="1" t="n">
        <v>256</v>
      </c>
      <c r="F5" s="3"/>
      <c r="G5" s="1" t="s">
        <v>211</v>
      </c>
      <c r="H5" s="27" t="s">
        <v>397</v>
      </c>
    </row>
    <row r="6" customFormat="false" ht="14.25" hidden="false" customHeight="false" outlineLevel="0" collapsed="false">
      <c r="A6" s="1" t="s">
        <v>212</v>
      </c>
      <c r="B6" s="27" t="s">
        <v>1504</v>
      </c>
      <c r="C6" s="3"/>
      <c r="D6" s="1" t="s">
        <v>870</v>
      </c>
      <c r="E6" s="1" t="n">
        <v>256</v>
      </c>
      <c r="F6" s="3"/>
      <c r="G6" s="1" t="s">
        <v>212</v>
      </c>
      <c r="H6" s="27" t="s">
        <v>397</v>
      </c>
    </row>
    <row r="7" customFormat="false" ht="14.25" hidden="false" customHeight="false" outlineLevel="0" collapsed="false">
      <c r="A7" s="1" t="s">
        <v>868</v>
      </c>
      <c r="B7" s="27" t="s">
        <v>241</v>
      </c>
      <c r="C7" s="3"/>
      <c r="D7" s="1" t="s">
        <v>1505</v>
      </c>
      <c r="E7" s="1" t="n">
        <v>100</v>
      </c>
      <c r="F7" s="3"/>
      <c r="G7" s="1" t="s">
        <v>1506</v>
      </c>
      <c r="H7" s="27" t="s">
        <v>237</v>
      </c>
    </row>
    <row r="8" customFormat="false" ht="14.25" hidden="false" customHeight="false" outlineLevel="0" collapsed="false">
      <c r="A8" s="1" t="s">
        <v>870</v>
      </c>
      <c r="B8" s="27" t="s">
        <v>1507</v>
      </c>
      <c r="C8" s="3"/>
      <c r="D8" s="1" t="s">
        <v>1508</v>
      </c>
      <c r="E8" s="1" t="n">
        <v>100</v>
      </c>
      <c r="F8" s="3"/>
      <c r="G8" s="1" t="s">
        <v>1505</v>
      </c>
      <c r="H8" s="27" t="n">
        <v>100</v>
      </c>
    </row>
    <row r="9" customFormat="false" ht="14.25" hidden="false" customHeight="false" outlineLevel="0" collapsed="false">
      <c r="A9" s="1" t="s">
        <v>1505</v>
      </c>
      <c r="B9" s="27" t="n">
        <v>100</v>
      </c>
      <c r="C9" s="3"/>
      <c r="D9" s="1" t="s">
        <v>1509</v>
      </c>
      <c r="E9" s="1" t="n">
        <v>100</v>
      </c>
      <c r="F9" s="3"/>
      <c r="G9" s="1" t="s">
        <v>1508</v>
      </c>
      <c r="H9" s="27" t="n">
        <v>100</v>
      </c>
    </row>
    <row r="10" customFormat="false" ht="14.25" hidden="false" customHeight="false" outlineLevel="0" collapsed="false">
      <c r="A10" s="1" t="s">
        <v>1508</v>
      </c>
      <c r="B10" s="27" t="n">
        <v>100</v>
      </c>
      <c r="C10" s="3"/>
      <c r="D10" s="1" t="s">
        <v>1510</v>
      </c>
      <c r="E10" s="1" t="n">
        <v>100</v>
      </c>
      <c r="F10" s="3"/>
      <c r="G10" s="1" t="s">
        <v>1509</v>
      </c>
      <c r="H10" s="27" t="n">
        <v>100</v>
      </c>
    </row>
    <row r="11" customFormat="false" ht="14.25" hidden="false" customHeight="false" outlineLevel="0" collapsed="false">
      <c r="A11" s="1" t="s">
        <v>1509</v>
      </c>
      <c r="B11" s="27" t="n">
        <v>100</v>
      </c>
      <c r="C11" s="3"/>
      <c r="D11" s="1" t="s">
        <v>1511</v>
      </c>
      <c r="E11" s="1" t="n">
        <v>100</v>
      </c>
      <c r="F11" s="3"/>
      <c r="G11" s="1" t="s">
        <v>1510</v>
      </c>
      <c r="H11" s="27" t="n">
        <v>100</v>
      </c>
    </row>
    <row r="12" customFormat="false" ht="14.25" hidden="false" customHeight="false" outlineLevel="0" collapsed="false">
      <c r="A12" s="1" t="s">
        <v>1510</v>
      </c>
      <c r="B12" s="27" t="n">
        <v>100</v>
      </c>
      <c r="C12" s="3"/>
      <c r="D12" s="1" t="s">
        <v>666</v>
      </c>
      <c r="E12" s="1" t="n">
        <v>256</v>
      </c>
      <c r="F12" s="3"/>
      <c r="G12" s="1" t="s">
        <v>1511</v>
      </c>
      <c r="H12" s="27" t="n">
        <v>100</v>
      </c>
    </row>
    <row r="13" customFormat="false" ht="14.25" hidden="false" customHeight="false" outlineLevel="0" collapsed="false">
      <c r="A13" s="1" t="s">
        <v>1511</v>
      </c>
      <c r="B13" s="27" t="n">
        <v>100</v>
      </c>
      <c r="C13" s="3"/>
      <c r="D13" s="1" t="s">
        <v>667</v>
      </c>
      <c r="E13" s="1" t="n">
        <v>256</v>
      </c>
      <c r="F13" s="3"/>
      <c r="G13" s="1" t="s">
        <v>666</v>
      </c>
      <c r="H13" s="27" t="s">
        <v>397</v>
      </c>
    </row>
    <row r="14" customFormat="false" ht="14.25" hidden="false" customHeight="false" outlineLevel="0" collapsed="false">
      <c r="A14" s="1" t="s">
        <v>666</v>
      </c>
      <c r="B14" s="27" t="s">
        <v>1504</v>
      </c>
      <c r="C14" s="3"/>
      <c r="D14" s="1" t="s">
        <v>134</v>
      </c>
      <c r="E14" s="1" t="n">
        <v>256</v>
      </c>
      <c r="F14" s="3"/>
      <c r="G14" s="1" t="s">
        <v>667</v>
      </c>
      <c r="H14" s="27" t="s">
        <v>397</v>
      </c>
    </row>
    <row r="15" customFormat="false" ht="14.25" hidden="false" customHeight="false" outlineLevel="0" collapsed="false">
      <c r="A15" s="1" t="s">
        <v>667</v>
      </c>
      <c r="B15" s="27" t="s">
        <v>1504</v>
      </c>
      <c r="C15" s="3"/>
      <c r="D15" s="1" t="s">
        <v>952</v>
      </c>
      <c r="E15" s="1" t="n">
        <v>256</v>
      </c>
      <c r="F15" s="3"/>
      <c r="G15" s="1" t="s">
        <v>134</v>
      </c>
      <c r="H15" s="27" t="s">
        <v>241</v>
      </c>
    </row>
    <row r="16" customFormat="false" ht="14.25" hidden="false" customHeight="false" outlineLevel="0" collapsed="false">
      <c r="A16" s="1" t="s">
        <v>134</v>
      </c>
      <c r="B16" s="27" t="n">
        <v>512</v>
      </c>
      <c r="C16" s="3"/>
      <c r="D16" s="1" t="s">
        <v>281</v>
      </c>
      <c r="E16" s="1" t="n">
        <v>256</v>
      </c>
      <c r="F16" s="3"/>
      <c r="G16" s="1" t="s">
        <v>1512</v>
      </c>
      <c r="H16" s="27" t="s">
        <v>1513</v>
      </c>
    </row>
    <row r="17" customFormat="false" ht="14.25" hidden="false" customHeight="false" outlineLevel="0" collapsed="false">
      <c r="A17" s="1" t="s">
        <v>213</v>
      </c>
      <c r="B17" s="27" t="n">
        <v>200</v>
      </c>
      <c r="C17" s="3"/>
      <c r="D17" s="1" t="s">
        <v>818</v>
      </c>
      <c r="E17" s="1" t="n">
        <v>256</v>
      </c>
      <c r="F17" s="3"/>
      <c r="G17" s="1" t="s">
        <v>952</v>
      </c>
      <c r="H17" s="27" t="n">
        <v>128</v>
      </c>
    </row>
    <row r="18" customFormat="false" ht="14.25" hidden="false" customHeight="false" outlineLevel="0" collapsed="false">
      <c r="A18" s="1" t="s">
        <v>1514</v>
      </c>
      <c r="B18" s="27" t="n">
        <v>128</v>
      </c>
      <c r="C18" s="3"/>
      <c r="D18" s="1" t="s">
        <v>283</v>
      </c>
      <c r="E18" s="1" t="n">
        <v>256</v>
      </c>
      <c r="F18" s="3"/>
      <c r="G18" s="1" t="s">
        <v>281</v>
      </c>
      <c r="H18" s="27" t="n">
        <v>128</v>
      </c>
    </row>
    <row r="19" customFormat="false" ht="14.25" hidden="false" customHeight="false" outlineLevel="0" collapsed="false">
      <c r="A19" s="1" t="s">
        <v>214</v>
      </c>
      <c r="B19" s="27" t="n">
        <v>200</v>
      </c>
      <c r="C19" s="3"/>
      <c r="F19" s="3"/>
      <c r="G19" s="1" t="s">
        <v>878</v>
      </c>
      <c r="H19" s="27" t="s">
        <v>1515</v>
      </c>
    </row>
    <row r="20" customFormat="false" ht="14.25" hidden="false" customHeight="false" outlineLevel="0" collapsed="false">
      <c r="A20" s="1" t="s">
        <v>1359</v>
      </c>
      <c r="B20" s="27" t="n">
        <v>200</v>
      </c>
      <c r="C20" s="3"/>
      <c r="F20" s="3"/>
      <c r="G20" s="1" t="s">
        <v>1516</v>
      </c>
      <c r="H20" s="27" t="s">
        <v>241</v>
      </c>
    </row>
    <row r="21" customFormat="false" ht="14.25" hidden="false" customHeight="false" outlineLevel="0" collapsed="false">
      <c r="A21" s="1" t="s">
        <v>1512</v>
      </c>
      <c r="B21" s="27" t="n">
        <v>10</v>
      </c>
      <c r="C21" s="3"/>
      <c r="F21" s="3"/>
      <c r="G21" s="1" t="s">
        <v>1517</v>
      </c>
      <c r="H21" s="27" t="s">
        <v>1518</v>
      </c>
    </row>
    <row r="22" customFormat="false" ht="14.25" hidden="false" customHeight="false" outlineLevel="0" collapsed="false">
      <c r="A22" s="1" t="s">
        <v>952</v>
      </c>
      <c r="B22" s="27" t="s">
        <v>1504</v>
      </c>
      <c r="C22" s="3"/>
      <c r="F22" s="3"/>
      <c r="G22" s="1" t="s">
        <v>882</v>
      </c>
      <c r="H22" s="27" t="s">
        <v>236</v>
      </c>
    </row>
    <row r="23" customFormat="false" ht="14.25" hidden="false" customHeight="false" outlineLevel="0" collapsed="false">
      <c r="A23" s="1" t="s">
        <v>281</v>
      </c>
      <c r="B23" s="27" t="s">
        <v>1519</v>
      </c>
      <c r="C23" s="3"/>
      <c r="F23" s="3"/>
      <c r="G23" s="1" t="s">
        <v>1520</v>
      </c>
      <c r="H23" s="27" t="n">
        <v>256</v>
      </c>
    </row>
    <row r="24" customFormat="false" ht="14.25" hidden="false" customHeight="false" outlineLevel="0" collapsed="false">
      <c r="A24" s="49" t="s">
        <v>878</v>
      </c>
      <c r="B24" s="27" t="s">
        <v>1521</v>
      </c>
      <c r="C24" s="3"/>
      <c r="F24" s="3"/>
      <c r="G24" s="1" t="s">
        <v>883</v>
      </c>
      <c r="H24" s="27" t="n">
        <v>256</v>
      </c>
    </row>
    <row r="25" customFormat="false" ht="14.25" hidden="false" customHeight="false" outlineLevel="0" collapsed="false">
      <c r="A25" s="1" t="s">
        <v>1522</v>
      </c>
      <c r="B25" s="27" t="s">
        <v>1523</v>
      </c>
      <c r="C25" s="3"/>
      <c r="F25" s="3"/>
      <c r="G25" s="1" t="s">
        <v>884</v>
      </c>
      <c r="H25" s="27" t="s">
        <v>1524</v>
      </c>
    </row>
    <row r="26" customFormat="false" ht="14.25" hidden="false" customHeight="false" outlineLevel="0" collapsed="false">
      <c r="A26" s="1" t="s">
        <v>883</v>
      </c>
      <c r="B26" s="27" t="n">
        <v>256</v>
      </c>
      <c r="C26" s="3"/>
      <c r="F26" s="3"/>
      <c r="G26" s="1" t="s">
        <v>818</v>
      </c>
      <c r="H26" s="27" t="s">
        <v>397</v>
      </c>
    </row>
    <row r="27" customFormat="false" ht="14.25" hidden="false" customHeight="false" outlineLevel="0" collapsed="false">
      <c r="A27" s="1" t="s">
        <v>884</v>
      </c>
      <c r="B27" s="27" t="s">
        <v>1525</v>
      </c>
      <c r="C27" s="3"/>
      <c r="F27" s="3"/>
      <c r="G27" s="1" t="s">
        <v>283</v>
      </c>
      <c r="H27" s="27" t="s">
        <v>397</v>
      </c>
    </row>
    <row r="28" customFormat="false" ht="14.25" hidden="false" customHeight="false" outlineLevel="0" collapsed="false">
      <c r="A28" s="1" t="s">
        <v>818</v>
      </c>
      <c r="B28" s="27" t="s">
        <v>1504</v>
      </c>
      <c r="C28" s="3"/>
      <c r="F28" s="3"/>
      <c r="G28" s="1" t="s">
        <v>890</v>
      </c>
      <c r="H28" s="27" t="n">
        <v>64</v>
      </c>
    </row>
    <row r="29" customFormat="false" ht="14.25" hidden="false" customHeight="false" outlineLevel="0" collapsed="false">
      <c r="A29" s="1" t="s">
        <v>283</v>
      </c>
      <c r="B29" s="27" t="s">
        <v>1504</v>
      </c>
      <c r="C29" s="3"/>
      <c r="F29" s="3"/>
      <c r="G29" s="1" t="s">
        <v>891</v>
      </c>
      <c r="H29" s="27" t="s">
        <v>824</v>
      </c>
    </row>
    <row r="30" customFormat="false" ht="14.25" hidden="false" customHeight="false" outlineLevel="0" collapsed="false">
      <c r="A30" s="1" t="s">
        <v>892</v>
      </c>
      <c r="B30" s="27" t="s">
        <v>396</v>
      </c>
      <c r="C30" s="3"/>
      <c r="F30" s="3"/>
      <c r="G30" s="1" t="s">
        <v>892</v>
      </c>
      <c r="H30" s="27" t="n">
        <v>4</v>
      </c>
    </row>
    <row r="31" customFormat="false" ht="14.25" hidden="false" customHeight="false" outlineLevel="0" collapsed="false">
      <c r="A31" s="1" t="s">
        <v>141</v>
      </c>
      <c r="B31" s="27" t="n">
        <v>1</v>
      </c>
      <c r="C31" s="3"/>
      <c r="F31" s="3"/>
      <c r="G31" s="1" t="s">
        <v>1526</v>
      </c>
      <c r="H31" s="27" t="n">
        <v>32</v>
      </c>
    </row>
    <row r="32" customFormat="false" ht="14.25" hidden="false" customHeight="false" outlineLevel="0" collapsed="false">
      <c r="A32" s="1" t="s">
        <v>1527</v>
      </c>
      <c r="B32" s="27" t="s">
        <v>1523</v>
      </c>
      <c r="C32" s="3"/>
      <c r="F32" s="3"/>
      <c r="G32" s="1" t="s">
        <v>141</v>
      </c>
      <c r="H32" s="27" t="n">
        <v>4</v>
      </c>
    </row>
    <row r="33" customFormat="false" ht="14.25" hidden="false" customHeight="false" outlineLevel="0" collapsed="false">
      <c r="A33" s="1" t="s">
        <v>897</v>
      </c>
      <c r="B33" s="27" t="n">
        <v>256</v>
      </c>
      <c r="C33" s="3"/>
      <c r="F33" s="3"/>
      <c r="G33" s="1" t="s">
        <v>1528</v>
      </c>
      <c r="H33" s="27" t="n">
        <v>512</v>
      </c>
    </row>
    <row r="34" customFormat="false" ht="14.25" hidden="false" customHeight="false" outlineLevel="0" collapsed="false">
      <c r="A34" s="1" t="s">
        <v>143</v>
      </c>
      <c r="B34" s="27" t="s">
        <v>1529</v>
      </c>
      <c r="C34" s="3"/>
      <c r="F34" s="3"/>
      <c r="G34" s="1" t="s">
        <v>1530</v>
      </c>
      <c r="H34" s="27" t="n">
        <v>256</v>
      </c>
    </row>
    <row r="35" customFormat="false" ht="14.25" hidden="false" customHeight="false" outlineLevel="0" collapsed="false">
      <c r="A35" s="1" t="s">
        <v>898</v>
      </c>
      <c r="B35" s="27" t="s">
        <v>396</v>
      </c>
      <c r="C35" s="3"/>
      <c r="F35" s="3"/>
      <c r="G35" s="1" t="s">
        <v>1531</v>
      </c>
      <c r="H35" s="27" t="n">
        <v>256</v>
      </c>
    </row>
    <row r="36" customFormat="false" ht="14.25" hidden="false" customHeight="false" outlineLevel="0" collapsed="false">
      <c r="A36" s="1" t="s">
        <v>899</v>
      </c>
      <c r="B36" s="27" t="n">
        <v>32</v>
      </c>
      <c r="C36" s="3"/>
      <c r="F36" s="3"/>
      <c r="G36" s="1" t="s">
        <v>143</v>
      </c>
      <c r="H36" s="27" t="s">
        <v>236</v>
      </c>
    </row>
    <row r="37" customFormat="false" ht="14.25" hidden="false" customHeight="false" outlineLevel="0" collapsed="false">
      <c r="A37" s="1" t="s">
        <v>1532</v>
      </c>
      <c r="B37" s="27" t="n">
        <v>32</v>
      </c>
      <c r="C37" s="3"/>
      <c r="F37" s="3"/>
      <c r="G37" s="1" t="s">
        <v>898</v>
      </c>
      <c r="H37" s="27" t="n">
        <v>4</v>
      </c>
    </row>
    <row r="38" customFormat="false" ht="14.25" hidden="false" customHeight="false" outlineLevel="0" collapsed="false">
      <c r="A38" s="1" t="s">
        <v>145</v>
      </c>
      <c r="B38" s="27" t="s">
        <v>1521</v>
      </c>
      <c r="C38" s="3"/>
      <c r="F38" s="3"/>
      <c r="G38" s="1" t="s">
        <v>1532</v>
      </c>
      <c r="H38" s="27" t="s">
        <v>1533</v>
      </c>
    </row>
    <row r="39" customFormat="false" ht="14.25" hidden="false" customHeight="false" outlineLevel="0" collapsed="false">
      <c r="C39" s="3"/>
      <c r="F39" s="3"/>
      <c r="G39" s="1" t="s">
        <v>145</v>
      </c>
      <c r="H39" s="27" t="s">
        <v>1533</v>
      </c>
    </row>
    <row r="40" customFormat="false" ht="14.25" hidden="false" customHeight="false" outlineLevel="0" collapsed="false">
      <c r="C40" s="3"/>
      <c r="F40" s="3"/>
      <c r="G40" s="1" t="s">
        <v>1534</v>
      </c>
      <c r="H40" s="27" t="s">
        <v>824</v>
      </c>
    </row>
    <row r="41" customFormat="false" ht="14.25" hidden="false" customHeight="false" outlineLevel="0" collapsed="false">
      <c r="C41" s="3"/>
      <c r="F41" s="3"/>
      <c r="G41" s="49" t="s">
        <v>884</v>
      </c>
      <c r="H41" s="27" t="n">
        <v>16</v>
      </c>
    </row>
    <row r="42" customFormat="false" ht="14.25" hidden="false" customHeight="false" outlineLevel="0" collapsed="false">
      <c r="C42" s="3"/>
      <c r="F42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86" activeCellId="0" sqref="B86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27" width="17.09"/>
  </cols>
  <sheetData>
    <row r="1" customFormat="false" ht="14.25" hidden="false" customHeight="false" outlineLevel="0" collapsed="false">
      <c r="A1" s="1" t="s">
        <v>1535</v>
      </c>
      <c r="B1" s="27" t="s">
        <v>905</v>
      </c>
    </row>
    <row r="2" customFormat="false" ht="14.25" hidden="false" customHeight="false" outlineLevel="0" collapsed="false">
      <c r="A2" s="1" t="s">
        <v>806</v>
      </c>
      <c r="B2" s="27" t="n">
        <v>256</v>
      </c>
    </row>
    <row r="3" customFormat="false" ht="14.25" hidden="false" customHeight="false" outlineLevel="0" collapsed="false">
      <c r="A3" s="1" t="s">
        <v>807</v>
      </c>
      <c r="B3" s="27" t="n">
        <v>256</v>
      </c>
    </row>
    <row r="4" customFormat="false" ht="14.25" hidden="false" customHeight="false" outlineLevel="0" collapsed="false">
      <c r="A4" s="1" t="s">
        <v>1315</v>
      </c>
      <c r="B4" s="27" t="n">
        <v>32</v>
      </c>
    </row>
    <row r="5" customFormat="false" ht="14.25" hidden="false" customHeight="false" outlineLevel="0" collapsed="false">
      <c r="A5" s="1" t="s">
        <v>1536</v>
      </c>
      <c r="B5" s="27" t="n">
        <v>64</v>
      </c>
    </row>
    <row r="6" customFormat="false" ht="14.25" hidden="false" customHeight="false" outlineLevel="0" collapsed="false">
      <c r="A6" s="1" t="s">
        <v>28</v>
      </c>
      <c r="B6" s="27" t="s">
        <v>1537</v>
      </c>
    </row>
    <row r="7" customFormat="false" ht="14.25" hidden="false" customHeight="false" outlineLevel="0" collapsed="false">
      <c r="A7" s="1" t="s">
        <v>1151</v>
      </c>
      <c r="B7" s="27" t="n">
        <v>32</v>
      </c>
    </row>
    <row r="8" customFormat="false" ht="14.25" hidden="false" customHeight="false" outlineLevel="0" collapsed="false">
      <c r="A8" s="1" t="s">
        <v>1538</v>
      </c>
      <c r="B8" s="27" t="n">
        <v>4</v>
      </c>
    </row>
    <row r="9" customFormat="false" ht="14.25" hidden="false" customHeight="false" outlineLevel="0" collapsed="false">
      <c r="A9" s="1" t="s">
        <v>29</v>
      </c>
      <c r="B9" s="27" t="s">
        <v>1539</v>
      </c>
    </row>
    <row r="10" customFormat="false" ht="14.25" hidden="false" customHeight="false" outlineLevel="0" collapsed="false">
      <c r="A10" s="1" t="s">
        <v>210</v>
      </c>
      <c r="B10" s="27" t="n">
        <v>32</v>
      </c>
    </row>
    <row r="11" customFormat="false" ht="14.25" hidden="false" customHeight="false" outlineLevel="0" collapsed="false">
      <c r="A11" s="1" t="s">
        <v>1540</v>
      </c>
      <c r="B11" s="27" t="n">
        <v>512</v>
      </c>
    </row>
    <row r="12" customFormat="false" ht="14.25" hidden="false" customHeight="false" outlineLevel="0" collapsed="false">
      <c r="A12" s="1" t="s">
        <v>1541</v>
      </c>
      <c r="B12" s="27" t="n">
        <v>512</v>
      </c>
    </row>
    <row r="13" customFormat="false" ht="14.25" hidden="false" customHeight="false" outlineLevel="0" collapsed="false">
      <c r="A13" s="1" t="s">
        <v>1153</v>
      </c>
      <c r="B13" s="27" t="n">
        <v>4</v>
      </c>
    </row>
    <row r="14" customFormat="false" ht="14.25" hidden="false" customHeight="false" outlineLevel="0" collapsed="false">
      <c r="A14" s="1" t="s">
        <v>1542</v>
      </c>
      <c r="B14" s="27" t="n">
        <v>4</v>
      </c>
    </row>
    <row r="15" customFormat="false" ht="14.25" hidden="false" customHeight="false" outlineLevel="0" collapsed="false">
      <c r="A15" s="1" t="s">
        <v>1543</v>
      </c>
      <c r="B15" s="27" t="s">
        <v>1544</v>
      </c>
    </row>
    <row r="16" customFormat="false" ht="14.25" hidden="false" customHeight="false" outlineLevel="0" collapsed="false">
      <c r="A16" s="1" t="s">
        <v>211</v>
      </c>
      <c r="B16" s="27" t="s">
        <v>241</v>
      </c>
    </row>
    <row r="17" customFormat="false" ht="14.25" hidden="false" customHeight="false" outlineLevel="0" collapsed="false">
      <c r="A17" s="1" t="s">
        <v>691</v>
      </c>
      <c r="B17" s="27" t="s">
        <v>1507</v>
      </c>
    </row>
    <row r="18" customFormat="false" ht="14.25" hidden="false" customHeight="false" outlineLevel="0" collapsed="false">
      <c r="A18" s="1" t="s">
        <v>1249</v>
      </c>
      <c r="B18" s="27" t="n">
        <v>500</v>
      </c>
    </row>
    <row r="19" customFormat="false" ht="14.25" hidden="false" customHeight="false" outlineLevel="0" collapsed="false">
      <c r="A19" s="1" t="s">
        <v>1545</v>
      </c>
      <c r="B19" s="27" t="n">
        <v>256</v>
      </c>
    </row>
    <row r="20" customFormat="false" ht="14.25" hidden="false" customHeight="false" outlineLevel="0" collapsed="false">
      <c r="A20" s="1" t="s">
        <v>212</v>
      </c>
      <c r="B20" s="27" t="s">
        <v>241</v>
      </c>
    </row>
    <row r="21" customFormat="false" ht="14.25" hidden="false" customHeight="false" outlineLevel="0" collapsed="false">
      <c r="A21" s="1" t="s">
        <v>692</v>
      </c>
      <c r="B21" s="27" t="s">
        <v>1507</v>
      </c>
    </row>
    <row r="22" customFormat="false" ht="14.25" hidden="false" customHeight="false" outlineLevel="0" collapsed="false">
      <c r="A22" s="1" t="s">
        <v>1251</v>
      </c>
      <c r="B22" s="27" t="n">
        <v>500</v>
      </c>
    </row>
    <row r="23" customFormat="false" ht="14.25" hidden="false" customHeight="false" outlineLevel="0" collapsed="false">
      <c r="A23" s="1" t="s">
        <v>1156</v>
      </c>
      <c r="B23" s="27" t="s">
        <v>1544</v>
      </c>
    </row>
    <row r="24" customFormat="false" ht="14.25" hidden="false" customHeight="false" outlineLevel="0" collapsed="false">
      <c r="A24" s="1" t="s">
        <v>1075</v>
      </c>
      <c r="B24" s="27" t="s">
        <v>1537</v>
      </c>
    </row>
    <row r="25" customFormat="false" ht="14.25" hidden="false" customHeight="false" outlineLevel="0" collapsed="false">
      <c r="A25" s="1" t="s">
        <v>693</v>
      </c>
      <c r="B25" s="27" t="n">
        <v>32</v>
      </c>
    </row>
    <row r="26" customFormat="false" ht="14.25" hidden="false" customHeight="false" outlineLevel="0" collapsed="false">
      <c r="A26" s="1" t="s">
        <v>1546</v>
      </c>
      <c r="B26" s="27" t="n">
        <v>64</v>
      </c>
    </row>
    <row r="27" customFormat="false" ht="14.25" hidden="false" customHeight="false" outlineLevel="0" collapsed="false">
      <c r="A27" s="1" t="s">
        <v>1159</v>
      </c>
      <c r="B27" s="27" t="s">
        <v>1547</v>
      </c>
    </row>
    <row r="28" customFormat="false" ht="14.25" hidden="false" customHeight="false" outlineLevel="0" collapsed="false">
      <c r="A28" s="1" t="s">
        <v>1345</v>
      </c>
      <c r="B28" s="27" t="n">
        <v>512</v>
      </c>
    </row>
    <row r="29" customFormat="false" ht="14.25" hidden="false" customHeight="false" outlineLevel="0" collapsed="false">
      <c r="A29" s="1" t="s">
        <v>1548</v>
      </c>
      <c r="B29" s="27" t="n">
        <v>128</v>
      </c>
    </row>
    <row r="30" customFormat="false" ht="14.25" hidden="false" customHeight="false" outlineLevel="0" collapsed="false">
      <c r="A30" s="1" t="s">
        <v>1549</v>
      </c>
      <c r="B30" s="27" t="n">
        <v>256</v>
      </c>
    </row>
    <row r="31" customFormat="false" ht="14.25" hidden="false" customHeight="false" outlineLevel="0" collapsed="false">
      <c r="A31" s="1" t="s">
        <v>1550</v>
      </c>
      <c r="B31" s="27" t="s">
        <v>1486</v>
      </c>
    </row>
    <row r="32" customFormat="false" ht="14.25" hidden="false" customHeight="false" outlineLevel="0" collapsed="false">
      <c r="A32" s="1" t="s">
        <v>1551</v>
      </c>
      <c r="B32" s="27" t="s">
        <v>1552</v>
      </c>
    </row>
    <row r="33" customFormat="false" ht="14.25" hidden="false" customHeight="false" outlineLevel="0" collapsed="false">
      <c r="A33" s="1" t="s">
        <v>1553</v>
      </c>
      <c r="B33" s="27" t="s">
        <v>1554</v>
      </c>
    </row>
    <row r="34" customFormat="false" ht="14.25" hidden="false" customHeight="false" outlineLevel="0" collapsed="false">
      <c r="A34" s="1" t="s">
        <v>1555</v>
      </c>
      <c r="B34" s="27" t="n">
        <v>256</v>
      </c>
    </row>
    <row r="35" customFormat="false" ht="14.25" hidden="false" customHeight="false" outlineLevel="0" collapsed="false">
      <c r="A35" s="1" t="s">
        <v>1556</v>
      </c>
      <c r="B35" s="27" t="n">
        <v>512</v>
      </c>
    </row>
    <row r="36" customFormat="false" ht="14.25" hidden="false" customHeight="false" outlineLevel="0" collapsed="false">
      <c r="A36" s="1" t="s">
        <v>666</v>
      </c>
      <c r="B36" s="27" t="s">
        <v>1557</v>
      </c>
    </row>
    <row r="37" customFormat="false" ht="14.25" hidden="false" customHeight="false" outlineLevel="0" collapsed="false">
      <c r="A37" s="1" t="s">
        <v>667</v>
      </c>
      <c r="B37" s="27" t="s">
        <v>1557</v>
      </c>
    </row>
    <row r="38" customFormat="false" ht="14.25" hidden="false" customHeight="false" outlineLevel="0" collapsed="false">
      <c r="A38" s="1" t="s">
        <v>134</v>
      </c>
      <c r="B38" s="27" t="n">
        <v>512</v>
      </c>
    </row>
    <row r="39" customFormat="false" ht="14.25" hidden="false" customHeight="false" outlineLevel="0" collapsed="false">
      <c r="A39" s="1" t="s">
        <v>213</v>
      </c>
      <c r="B39" s="27" t="s">
        <v>241</v>
      </c>
    </row>
    <row r="40" customFormat="false" ht="14.25" hidden="false" customHeight="false" outlineLevel="0" collapsed="false">
      <c r="A40" s="1" t="s">
        <v>214</v>
      </c>
      <c r="B40" s="27" t="s">
        <v>241</v>
      </c>
    </row>
    <row r="41" customFormat="false" ht="14.25" hidden="false" customHeight="false" outlineLevel="0" collapsed="false">
      <c r="A41" s="1" t="s">
        <v>1558</v>
      </c>
      <c r="B41" s="27" t="n">
        <v>512</v>
      </c>
    </row>
    <row r="42" customFormat="false" ht="14.25" hidden="false" customHeight="false" outlineLevel="0" collapsed="false">
      <c r="A42" s="1" t="s">
        <v>1559</v>
      </c>
      <c r="B42" s="27" t="n">
        <v>512</v>
      </c>
    </row>
    <row r="43" customFormat="false" ht="14.25" hidden="false" customHeight="false" outlineLevel="0" collapsed="false">
      <c r="A43" s="1" t="s">
        <v>1560</v>
      </c>
      <c r="B43" s="27" t="n">
        <v>256</v>
      </c>
    </row>
    <row r="44" customFormat="false" ht="14.25" hidden="false" customHeight="false" outlineLevel="0" collapsed="false">
      <c r="A44" s="1" t="s">
        <v>1363</v>
      </c>
      <c r="B44" s="27" t="s">
        <v>241</v>
      </c>
    </row>
    <row r="45" customFormat="false" ht="14.25" hidden="false" customHeight="false" outlineLevel="0" collapsed="false">
      <c r="A45" s="1" t="s">
        <v>1364</v>
      </c>
      <c r="B45" s="27" t="s">
        <v>241</v>
      </c>
    </row>
    <row r="46" customFormat="false" ht="14.25" hidden="false" customHeight="false" outlineLevel="0" collapsed="false">
      <c r="A46" s="1" t="s">
        <v>135</v>
      </c>
      <c r="B46" s="27" t="n">
        <v>256</v>
      </c>
    </row>
    <row r="47" customFormat="false" ht="14.25" hidden="false" customHeight="false" outlineLevel="0" collapsed="false">
      <c r="A47" s="1" t="s">
        <v>215</v>
      </c>
      <c r="B47" s="27" t="s">
        <v>241</v>
      </c>
    </row>
    <row r="48" customFormat="false" ht="14.25" hidden="false" customHeight="false" outlineLevel="0" collapsed="false">
      <c r="A48" s="1" t="s">
        <v>216</v>
      </c>
      <c r="B48" s="27" t="s">
        <v>241</v>
      </c>
    </row>
    <row r="49" customFormat="false" ht="14.25" hidden="false" customHeight="false" outlineLevel="0" collapsed="false">
      <c r="A49" s="1" t="s">
        <v>217</v>
      </c>
      <c r="B49" s="27" t="s">
        <v>241</v>
      </c>
    </row>
    <row r="50" customFormat="false" ht="14.25" hidden="false" customHeight="false" outlineLevel="0" collapsed="false">
      <c r="A50" s="1" t="s">
        <v>942</v>
      </c>
      <c r="B50" s="27" t="n">
        <v>256</v>
      </c>
    </row>
    <row r="51" customFormat="false" ht="14.25" hidden="false" customHeight="false" outlineLevel="0" collapsed="false">
      <c r="A51" s="1" t="s">
        <v>943</v>
      </c>
      <c r="B51" s="27" t="n">
        <v>256</v>
      </c>
    </row>
    <row r="52" customFormat="false" ht="14.25" hidden="false" customHeight="false" outlineLevel="0" collapsed="false">
      <c r="A52" s="1" t="s">
        <v>1087</v>
      </c>
      <c r="B52" s="27" t="n">
        <v>16</v>
      </c>
    </row>
    <row r="53" customFormat="false" ht="14.25" hidden="false" customHeight="false" outlineLevel="0" collapsed="false">
      <c r="A53" s="1" t="s">
        <v>1561</v>
      </c>
      <c r="B53" s="27" t="n">
        <v>16</v>
      </c>
    </row>
    <row r="54" customFormat="false" ht="14.25" hidden="false" customHeight="false" outlineLevel="0" collapsed="false">
      <c r="A54" s="1" t="s">
        <v>1562</v>
      </c>
      <c r="B54" s="27" t="s">
        <v>1563</v>
      </c>
    </row>
    <row r="55" customFormat="false" ht="14.25" hidden="false" customHeight="false" outlineLevel="0" collapsed="false">
      <c r="A55" s="1" t="s">
        <v>1564</v>
      </c>
      <c r="B55" s="27" t="n">
        <v>32</v>
      </c>
    </row>
    <row r="56" customFormat="false" ht="14.25" hidden="false" customHeight="false" outlineLevel="0" collapsed="false">
      <c r="A56" s="1" t="s">
        <v>1565</v>
      </c>
      <c r="B56" s="27" t="n">
        <v>16</v>
      </c>
    </row>
    <row r="57" customFormat="false" ht="14.25" hidden="false" customHeight="false" outlineLevel="0" collapsed="false">
      <c r="A57" s="1" t="s">
        <v>1566</v>
      </c>
      <c r="B57" s="27" t="s">
        <v>1563</v>
      </c>
    </row>
    <row r="58" customFormat="false" ht="14.25" hidden="false" customHeight="false" outlineLevel="0" collapsed="false">
      <c r="A58" s="1" t="s">
        <v>1567</v>
      </c>
      <c r="B58" s="27" t="n">
        <v>512</v>
      </c>
    </row>
    <row r="59" customFormat="false" ht="14.25" hidden="false" customHeight="false" outlineLevel="0" collapsed="false">
      <c r="A59" s="1" t="s">
        <v>952</v>
      </c>
      <c r="B59" s="27" t="s">
        <v>241</v>
      </c>
    </row>
    <row r="60" customFormat="false" ht="14.25" hidden="false" customHeight="false" outlineLevel="0" collapsed="false">
      <c r="A60" s="1" t="s">
        <v>1269</v>
      </c>
      <c r="B60" s="27" t="n">
        <v>500</v>
      </c>
    </row>
    <row r="61" customFormat="false" ht="14.25" hidden="false" customHeight="false" outlineLevel="0" collapsed="false">
      <c r="A61" s="1" t="s">
        <v>695</v>
      </c>
      <c r="B61" s="27" t="s">
        <v>1507</v>
      </c>
    </row>
    <row r="62" customFormat="false" ht="14.25" hidden="false" customHeight="false" outlineLevel="0" collapsed="false">
      <c r="A62" s="1" t="s">
        <v>1568</v>
      </c>
      <c r="B62" s="27" t="n">
        <v>256</v>
      </c>
    </row>
    <row r="63" customFormat="false" ht="14.25" hidden="false" customHeight="false" outlineLevel="0" collapsed="false">
      <c r="A63" s="1" t="s">
        <v>281</v>
      </c>
      <c r="B63" s="27" t="s">
        <v>241</v>
      </c>
    </row>
    <row r="64" customFormat="false" ht="14.25" hidden="false" customHeight="false" outlineLevel="0" collapsed="false">
      <c r="A64" s="1" t="s">
        <v>1271</v>
      </c>
      <c r="B64" s="27" t="n">
        <v>500</v>
      </c>
    </row>
    <row r="65" customFormat="false" ht="14.25" hidden="false" customHeight="false" outlineLevel="0" collapsed="false">
      <c r="A65" s="1" t="s">
        <v>696</v>
      </c>
      <c r="B65" s="27" t="s">
        <v>1507</v>
      </c>
    </row>
    <row r="66" customFormat="false" ht="14.25" hidden="false" customHeight="false" outlineLevel="0" collapsed="false">
      <c r="A66" s="1" t="s">
        <v>1569</v>
      </c>
      <c r="B66" s="27" t="n">
        <v>256</v>
      </c>
    </row>
    <row r="67" customFormat="false" ht="14.25" hidden="false" customHeight="false" outlineLevel="0" collapsed="false">
      <c r="A67" s="1" t="s">
        <v>959</v>
      </c>
      <c r="B67" s="27" t="s">
        <v>241</v>
      </c>
    </row>
    <row r="68" customFormat="false" ht="14.25" hidden="false" customHeight="false" outlineLevel="0" collapsed="false">
      <c r="A68" s="1" t="s">
        <v>1273</v>
      </c>
      <c r="B68" s="27" t="n">
        <v>500</v>
      </c>
    </row>
    <row r="69" customFormat="false" ht="14.25" hidden="false" customHeight="false" outlineLevel="0" collapsed="false">
      <c r="A69" s="1" t="s">
        <v>961</v>
      </c>
      <c r="B69" s="27" t="s">
        <v>241</v>
      </c>
    </row>
    <row r="70" customFormat="false" ht="14.25" hidden="false" customHeight="false" outlineLevel="0" collapsed="false">
      <c r="A70" s="1" t="s">
        <v>1274</v>
      </c>
      <c r="B70" s="27" t="n">
        <v>500</v>
      </c>
    </row>
    <row r="71" customFormat="false" ht="14.25" hidden="false" customHeight="false" outlineLevel="0" collapsed="false">
      <c r="A71" s="1" t="s">
        <v>1570</v>
      </c>
      <c r="B71" s="27" t="n">
        <v>512</v>
      </c>
    </row>
    <row r="72" customFormat="false" ht="14.25" hidden="false" customHeight="false" outlineLevel="0" collapsed="false">
      <c r="A72" s="1" t="s">
        <v>1571</v>
      </c>
      <c r="B72" s="27" t="n">
        <v>512</v>
      </c>
    </row>
    <row r="73" customFormat="false" ht="14.25" hidden="false" customHeight="false" outlineLevel="0" collapsed="false">
      <c r="A73" s="1" t="s">
        <v>1277</v>
      </c>
      <c r="B73" s="27" t="n">
        <v>512</v>
      </c>
    </row>
    <row r="74" customFormat="false" ht="14.25" hidden="false" customHeight="false" outlineLevel="0" collapsed="false">
      <c r="A74" s="1" t="s">
        <v>978</v>
      </c>
      <c r="B74" s="27" t="s">
        <v>241</v>
      </c>
    </row>
    <row r="75" customFormat="false" ht="14.25" hidden="false" customHeight="false" outlineLevel="0" collapsed="false">
      <c r="A75" s="1" t="s">
        <v>1278</v>
      </c>
      <c r="B75" s="27" t="n">
        <v>500</v>
      </c>
    </row>
    <row r="76" customFormat="false" ht="14.25" hidden="false" customHeight="false" outlineLevel="0" collapsed="false">
      <c r="A76" s="1" t="s">
        <v>1572</v>
      </c>
      <c r="B76" s="27" t="n">
        <v>500</v>
      </c>
    </row>
    <row r="77" customFormat="false" ht="14.25" hidden="false" customHeight="false" outlineLevel="0" collapsed="false">
      <c r="A77" s="1" t="s">
        <v>979</v>
      </c>
      <c r="B77" s="27" t="s">
        <v>241</v>
      </c>
    </row>
    <row r="78" customFormat="false" ht="14.25" hidden="false" customHeight="false" outlineLevel="0" collapsed="false">
      <c r="A78" s="1" t="s">
        <v>1573</v>
      </c>
      <c r="B78" s="27" t="n">
        <v>512</v>
      </c>
    </row>
    <row r="79" customFormat="false" ht="14.25" hidden="false" customHeight="false" outlineLevel="0" collapsed="false">
      <c r="A79" s="1" t="s">
        <v>1281</v>
      </c>
      <c r="B79" s="27" t="n">
        <v>500</v>
      </c>
    </row>
    <row r="80" customFormat="false" ht="14.25" hidden="false" customHeight="false" outlineLevel="0" collapsed="false">
      <c r="A80" s="1" t="s">
        <v>1574</v>
      </c>
      <c r="B80" s="27" t="n">
        <v>500</v>
      </c>
    </row>
    <row r="81" customFormat="false" ht="14.25" hidden="false" customHeight="false" outlineLevel="0" collapsed="false">
      <c r="A81" s="1" t="s">
        <v>1575</v>
      </c>
      <c r="B81" s="27" t="n">
        <v>256</v>
      </c>
    </row>
    <row r="82" customFormat="false" ht="14.25" hidden="false" customHeight="false" outlineLevel="0" collapsed="false">
      <c r="A82" s="1" t="s">
        <v>1576</v>
      </c>
      <c r="B82" s="27" t="n">
        <v>256</v>
      </c>
    </row>
    <row r="83" customFormat="false" ht="14.25" hidden="false" customHeight="false" outlineLevel="0" collapsed="false">
      <c r="A83" s="1" t="s">
        <v>1577</v>
      </c>
      <c r="B83" s="27" t="n">
        <v>256</v>
      </c>
    </row>
    <row r="84" customFormat="false" ht="14.25" hidden="false" customHeight="false" outlineLevel="0" collapsed="false">
      <c r="A84" s="1" t="s">
        <v>1578</v>
      </c>
      <c r="B84" s="27" t="s">
        <v>1507</v>
      </c>
    </row>
    <row r="85" customFormat="false" ht="14.25" hidden="false" customHeight="false" outlineLevel="0" collapsed="false">
      <c r="A85" s="1" t="s">
        <v>1579</v>
      </c>
      <c r="B85" s="27" t="s">
        <v>1507</v>
      </c>
    </row>
    <row r="86" customFormat="false" ht="14.25" hidden="false" customHeight="false" outlineLevel="0" collapsed="false">
      <c r="A86" s="1" t="s">
        <v>1580</v>
      </c>
      <c r="B86" s="27" t="s">
        <v>1581</v>
      </c>
    </row>
    <row r="87" customFormat="false" ht="14.25" hidden="false" customHeight="false" outlineLevel="0" collapsed="false">
      <c r="A87" s="1" t="s">
        <v>1582</v>
      </c>
      <c r="B87" s="27" t="n">
        <v>256</v>
      </c>
    </row>
    <row r="88" customFormat="false" ht="14.25" hidden="false" customHeight="false" outlineLevel="0" collapsed="false">
      <c r="A88" s="1" t="s">
        <v>1583</v>
      </c>
      <c r="B88" s="27" t="n">
        <v>256</v>
      </c>
    </row>
    <row r="89" customFormat="false" ht="14.25" hidden="false" customHeight="false" outlineLevel="0" collapsed="false">
      <c r="A89" s="1" t="s">
        <v>1109</v>
      </c>
      <c r="B89" s="27" t="n">
        <v>256</v>
      </c>
    </row>
    <row r="90" customFormat="false" ht="14.25" hidden="false" customHeight="false" outlineLevel="0" collapsed="false">
      <c r="A90" s="1" t="s">
        <v>1584</v>
      </c>
      <c r="B90" s="27" t="s">
        <v>241</v>
      </c>
    </row>
    <row r="91" customFormat="false" ht="14.25" hidden="false" customHeight="false" outlineLevel="0" collapsed="false">
      <c r="A91" s="1" t="s">
        <v>1405</v>
      </c>
      <c r="B91" s="27" t="s">
        <v>241</v>
      </c>
    </row>
    <row r="92" customFormat="false" ht="14.25" hidden="false" customHeight="false" outlineLevel="0" collapsed="false">
      <c r="A92" s="1" t="s">
        <v>1411</v>
      </c>
      <c r="B92" s="27" t="s">
        <v>241</v>
      </c>
    </row>
    <row r="93" customFormat="false" ht="14.25" hidden="false" customHeight="false" outlineLevel="0" collapsed="false">
      <c r="A93" s="1" t="s">
        <v>1585</v>
      </c>
      <c r="B93" s="27" t="s">
        <v>241</v>
      </c>
    </row>
    <row r="94" customFormat="false" ht="14.25" hidden="false" customHeight="false" outlineLevel="0" collapsed="false">
      <c r="A94" s="1" t="s">
        <v>1586</v>
      </c>
      <c r="B94" s="27" t="s">
        <v>1507</v>
      </c>
    </row>
    <row r="95" customFormat="false" ht="14.25" hidden="false" customHeight="false" outlineLevel="0" collapsed="false">
      <c r="A95" s="1" t="s">
        <v>655</v>
      </c>
      <c r="B95" s="27" t="n">
        <v>512</v>
      </c>
    </row>
    <row r="96" customFormat="false" ht="14.25" hidden="false" customHeight="false" outlineLevel="0" collapsed="false">
      <c r="A96" s="1" t="s">
        <v>1587</v>
      </c>
      <c r="B96" s="27" t="s">
        <v>1507</v>
      </c>
    </row>
    <row r="97" customFormat="false" ht="14.25" hidden="false" customHeight="false" outlineLevel="0" collapsed="false">
      <c r="A97" s="1" t="s">
        <v>1588</v>
      </c>
      <c r="B97" s="27" t="n">
        <v>256</v>
      </c>
    </row>
    <row r="98" customFormat="false" ht="14.25" hidden="false" customHeight="false" outlineLevel="0" collapsed="false">
      <c r="A98" s="1" t="s">
        <v>1589</v>
      </c>
      <c r="B98" s="27" t="n">
        <v>256</v>
      </c>
    </row>
    <row r="99" customFormat="false" ht="14.25" hidden="false" customHeight="false" outlineLevel="0" collapsed="false">
      <c r="A99" s="1" t="s">
        <v>52</v>
      </c>
      <c r="B99" s="27" t="n">
        <v>4</v>
      </c>
    </row>
    <row r="100" customFormat="false" ht="14.25" hidden="false" customHeight="false" outlineLevel="0" collapsed="false">
      <c r="A100" s="1" t="s">
        <v>220</v>
      </c>
      <c r="B100" s="27" t="s">
        <v>241</v>
      </c>
    </row>
    <row r="101" customFormat="false" ht="14.25" hidden="false" customHeight="false" outlineLevel="0" collapsed="false">
      <c r="A101" s="1" t="s">
        <v>221</v>
      </c>
      <c r="B101" s="27" t="s">
        <v>241</v>
      </c>
    </row>
    <row r="102" customFormat="false" ht="14.25" hidden="false" customHeight="false" outlineLevel="0" collapsed="false">
      <c r="A102" s="1" t="s">
        <v>387</v>
      </c>
      <c r="B102" s="27" t="n">
        <v>4</v>
      </c>
    </row>
    <row r="103" customFormat="false" ht="14.25" hidden="false" customHeight="false" outlineLevel="0" collapsed="false">
      <c r="A103" s="1" t="s">
        <v>1590</v>
      </c>
      <c r="B103" s="27" t="n">
        <v>512</v>
      </c>
    </row>
    <row r="104" customFormat="false" ht="14.25" hidden="false" customHeight="false" outlineLevel="0" collapsed="false">
      <c r="A104" s="1" t="s">
        <v>1591</v>
      </c>
      <c r="B104" s="27" t="n">
        <v>512</v>
      </c>
    </row>
    <row r="105" customFormat="false" ht="14.25" hidden="false" customHeight="false" outlineLevel="0" collapsed="false">
      <c r="A105" s="1" t="s">
        <v>1592</v>
      </c>
      <c r="B105" s="27" t="n">
        <v>256</v>
      </c>
    </row>
    <row r="106" customFormat="false" ht="14.25" hidden="false" customHeight="false" outlineLevel="0" collapsed="false">
      <c r="A106" s="1" t="s">
        <v>1593</v>
      </c>
      <c r="B106" s="27" t="n">
        <v>256</v>
      </c>
    </row>
    <row r="107" customFormat="false" ht="14.25" hidden="false" customHeight="false" outlineLevel="0" collapsed="false">
      <c r="A107" s="1" t="s">
        <v>1594</v>
      </c>
      <c r="B107" s="27" t="s">
        <v>1486</v>
      </c>
    </row>
    <row r="108" customFormat="false" ht="14.25" hidden="false" customHeight="false" outlineLevel="0" collapsed="false">
      <c r="A108" s="1" t="s">
        <v>1595</v>
      </c>
      <c r="B108" s="27" t="n">
        <v>32</v>
      </c>
    </row>
    <row r="109" customFormat="false" ht="14.25" hidden="false" customHeight="false" outlineLevel="0" collapsed="false">
      <c r="A109" s="1" t="s">
        <v>1596</v>
      </c>
      <c r="B109" s="27" t="n">
        <v>32</v>
      </c>
    </row>
    <row r="110" customFormat="false" ht="14.25" hidden="false" customHeight="false" outlineLevel="0" collapsed="false">
      <c r="A110" s="1" t="s">
        <v>1207</v>
      </c>
      <c r="B110" s="27" t="n">
        <v>32</v>
      </c>
    </row>
    <row r="111" customFormat="false" ht="14.25" hidden="false" customHeight="false" outlineLevel="0" collapsed="false">
      <c r="A111" s="1" t="s">
        <v>1597</v>
      </c>
      <c r="B111" s="27" t="s">
        <v>234</v>
      </c>
    </row>
    <row r="112" customFormat="false" ht="14.25" hidden="false" customHeight="false" outlineLevel="0" collapsed="false">
      <c r="A112" s="1" t="s">
        <v>1598</v>
      </c>
      <c r="B112" s="27" t="n">
        <v>32</v>
      </c>
    </row>
    <row r="113" customFormat="false" ht="14.25" hidden="false" customHeight="false" outlineLevel="0" collapsed="false">
      <c r="A113" s="1" t="s">
        <v>1599</v>
      </c>
      <c r="B113" s="27" t="s">
        <v>1507</v>
      </c>
    </row>
    <row r="114" customFormat="false" ht="14.25" hidden="false" customHeight="false" outlineLevel="0" collapsed="false">
      <c r="A114" s="1" t="s">
        <v>1600</v>
      </c>
      <c r="B114" s="27" t="n">
        <v>64</v>
      </c>
    </row>
    <row r="115" customFormat="false" ht="14.25" hidden="false" customHeight="false" outlineLevel="0" collapsed="false">
      <c r="A115" s="1" t="s">
        <v>1601</v>
      </c>
      <c r="B115" s="27" t="n">
        <v>32</v>
      </c>
    </row>
    <row r="116" customFormat="false" ht="14.25" hidden="false" customHeight="false" outlineLevel="0" collapsed="false">
      <c r="A116" s="1" t="s">
        <v>1602</v>
      </c>
      <c r="B116" s="27" t="n">
        <v>256</v>
      </c>
    </row>
    <row r="117" customFormat="false" ht="14.25" hidden="false" customHeight="false" outlineLevel="0" collapsed="false">
      <c r="A117" s="1" t="s">
        <v>1603</v>
      </c>
      <c r="B117" s="27" t="n">
        <v>32</v>
      </c>
    </row>
    <row r="118" customFormat="false" ht="14.25" hidden="false" customHeight="false" outlineLevel="0" collapsed="false">
      <c r="A118" s="1" t="s">
        <v>1604</v>
      </c>
      <c r="B118" s="27" t="n">
        <v>128</v>
      </c>
    </row>
    <row r="119" customFormat="false" ht="14.25" hidden="false" customHeight="false" outlineLevel="0" collapsed="false">
      <c r="A119" s="1" t="s">
        <v>818</v>
      </c>
      <c r="B119" s="27" t="s">
        <v>241</v>
      </c>
    </row>
    <row r="120" customFormat="false" ht="14.25" hidden="false" customHeight="false" outlineLevel="0" collapsed="false">
      <c r="A120" s="1" t="s">
        <v>697</v>
      </c>
      <c r="B120" s="27" t="s">
        <v>1507</v>
      </c>
    </row>
    <row r="121" customFormat="false" ht="14.25" hidden="false" customHeight="false" outlineLevel="0" collapsed="false">
      <c r="A121" s="1" t="s">
        <v>283</v>
      </c>
      <c r="B121" s="27" t="s">
        <v>241</v>
      </c>
    </row>
    <row r="122" customFormat="false" ht="14.25" hidden="false" customHeight="false" outlineLevel="0" collapsed="false">
      <c r="A122" s="1" t="s">
        <v>698</v>
      </c>
      <c r="B122" s="27" t="s">
        <v>1507</v>
      </c>
    </row>
    <row r="123" customFormat="false" ht="14.25" hidden="false" customHeight="false" outlineLevel="0" collapsed="false">
      <c r="A123" s="1" t="s">
        <v>1605</v>
      </c>
      <c r="B123" s="27" t="n">
        <v>64</v>
      </c>
    </row>
    <row r="124" customFormat="false" ht="14.25" hidden="false" customHeight="false" outlineLevel="0" collapsed="false">
      <c r="A124" s="1" t="s">
        <v>1606</v>
      </c>
      <c r="B124" s="27" t="n">
        <v>128</v>
      </c>
    </row>
    <row r="125" customFormat="false" ht="14.25" hidden="false" customHeight="false" outlineLevel="0" collapsed="false">
      <c r="A125" s="1" t="s">
        <v>1607</v>
      </c>
      <c r="B125" s="27" t="n">
        <v>256</v>
      </c>
    </row>
    <row r="126" customFormat="false" ht="14.25" hidden="false" customHeight="false" outlineLevel="0" collapsed="false">
      <c r="A126" s="1" t="s">
        <v>1608</v>
      </c>
      <c r="B126" s="27" t="s">
        <v>1507</v>
      </c>
    </row>
    <row r="127" customFormat="false" ht="14.25" hidden="false" customHeight="false" outlineLevel="0" collapsed="false">
      <c r="A127" s="1" t="s">
        <v>1007</v>
      </c>
      <c r="B127" s="27" t="n">
        <v>256</v>
      </c>
    </row>
    <row r="128" customFormat="false" ht="14.25" hidden="false" customHeight="false" outlineLevel="0" collapsed="false">
      <c r="A128" s="1" t="s">
        <v>1289</v>
      </c>
      <c r="B128" s="27" t="n">
        <v>500</v>
      </c>
    </row>
    <row r="129" customFormat="false" ht="14.25" hidden="false" customHeight="false" outlineLevel="0" collapsed="false">
      <c r="A129" s="1" t="s">
        <v>1009</v>
      </c>
      <c r="B129" s="27" t="n">
        <v>256</v>
      </c>
    </row>
    <row r="130" customFormat="false" ht="14.25" hidden="false" customHeight="false" outlineLevel="0" collapsed="false">
      <c r="A130" s="1" t="s">
        <v>1290</v>
      </c>
      <c r="B130" s="27" t="n">
        <v>500</v>
      </c>
    </row>
    <row r="131" customFormat="false" ht="14.25" hidden="false" customHeight="false" outlineLevel="0" collapsed="false">
      <c r="A131" s="1" t="s">
        <v>1609</v>
      </c>
      <c r="B131" s="27" t="n">
        <v>64</v>
      </c>
    </row>
    <row r="132" customFormat="false" ht="14.25" hidden="false" customHeight="false" outlineLevel="0" collapsed="false">
      <c r="A132" s="1" t="s">
        <v>1610</v>
      </c>
      <c r="B132" s="27" t="n">
        <v>64</v>
      </c>
    </row>
    <row r="133" customFormat="false" ht="14.25" hidden="false" customHeight="false" outlineLevel="0" collapsed="false">
      <c r="A133" s="1" t="s">
        <v>1611</v>
      </c>
      <c r="B133" s="27" t="n">
        <v>64</v>
      </c>
    </row>
    <row r="134" customFormat="false" ht="14.25" hidden="false" customHeight="false" outlineLevel="0" collapsed="false">
      <c r="A134" s="1" t="s">
        <v>1612</v>
      </c>
      <c r="B134" s="27" t="n">
        <v>64</v>
      </c>
    </row>
    <row r="135" customFormat="false" ht="14.25" hidden="false" customHeight="false" outlineLevel="0" collapsed="false">
      <c r="A135" s="1" t="s">
        <v>1613</v>
      </c>
      <c r="B135" s="27" t="n">
        <v>64</v>
      </c>
    </row>
    <row r="136" customFormat="false" ht="14.25" hidden="false" customHeight="false" outlineLevel="0" collapsed="false">
      <c r="A136" s="1" t="s">
        <v>1614</v>
      </c>
      <c r="B136" s="27" t="n">
        <v>64</v>
      </c>
    </row>
    <row r="137" customFormat="false" ht="14.25" hidden="false" customHeight="false" outlineLevel="0" collapsed="false">
      <c r="A137" s="1" t="s">
        <v>1615</v>
      </c>
      <c r="B137" s="27" t="n">
        <v>64</v>
      </c>
    </row>
    <row r="138" customFormat="false" ht="14.25" hidden="false" customHeight="false" outlineLevel="0" collapsed="false">
      <c r="A138" s="1" t="s">
        <v>1616</v>
      </c>
      <c r="B138" s="27" t="n">
        <v>64</v>
      </c>
    </row>
    <row r="139" customFormat="false" ht="14.25" hidden="false" customHeight="false" outlineLevel="0" collapsed="false">
      <c r="A139" s="1" t="s">
        <v>1617</v>
      </c>
      <c r="B139" s="27" t="s">
        <v>1507</v>
      </c>
    </row>
    <row r="140" customFormat="false" ht="14.25" hidden="false" customHeight="false" outlineLevel="0" collapsed="false">
      <c r="A140" s="1" t="s">
        <v>1292</v>
      </c>
      <c r="B140" s="27" t="s">
        <v>1618</v>
      </c>
    </row>
    <row r="141" customFormat="false" ht="14.25" hidden="false" customHeight="false" outlineLevel="0" collapsed="false">
      <c r="A141" s="1" t="s">
        <v>1619</v>
      </c>
      <c r="B141" s="27" t="n">
        <v>128</v>
      </c>
    </row>
    <row r="142" customFormat="false" ht="14.25" hidden="false" customHeight="false" outlineLevel="0" collapsed="false">
      <c r="A142" s="1" t="s">
        <v>1620</v>
      </c>
      <c r="B142" s="27" t="n">
        <v>128</v>
      </c>
    </row>
    <row r="143" customFormat="false" ht="14.25" hidden="false" customHeight="false" outlineLevel="0" collapsed="false">
      <c r="A143" s="1" t="s">
        <v>1621</v>
      </c>
      <c r="B143" s="27" t="n">
        <v>512</v>
      </c>
    </row>
    <row r="144" customFormat="false" ht="14.25" hidden="false" customHeight="false" outlineLevel="0" collapsed="false">
      <c r="A144" s="1" t="s">
        <v>1622</v>
      </c>
      <c r="B144" s="27" t="n">
        <v>128</v>
      </c>
    </row>
    <row r="145" customFormat="false" ht="14.25" hidden="false" customHeight="false" outlineLevel="0" collapsed="false">
      <c r="A145" s="1" t="s">
        <v>284</v>
      </c>
      <c r="B145" s="27" t="n">
        <v>512</v>
      </c>
    </row>
    <row r="146" customFormat="false" ht="14.25" hidden="false" customHeight="false" outlineLevel="0" collapsed="false">
      <c r="A146" s="1" t="s">
        <v>1623</v>
      </c>
      <c r="B146" s="27" t="n">
        <v>128</v>
      </c>
    </row>
    <row r="147" customFormat="false" ht="14.25" hidden="false" customHeight="false" outlineLevel="0" collapsed="false">
      <c r="A147" s="1" t="s">
        <v>1624</v>
      </c>
      <c r="B147" s="27" t="n">
        <v>4</v>
      </c>
    </row>
    <row r="148" customFormat="false" ht="14.25" hidden="false" customHeight="false" outlineLevel="0" collapsed="false">
      <c r="A148" s="1" t="s">
        <v>1625</v>
      </c>
      <c r="B148" s="27" t="n">
        <v>128</v>
      </c>
    </row>
    <row r="149" customFormat="false" ht="14.25" hidden="false" customHeight="false" outlineLevel="0" collapsed="false">
      <c r="A149" s="1" t="s">
        <v>1133</v>
      </c>
      <c r="B149" s="27" t="s">
        <v>1626</v>
      </c>
    </row>
    <row r="150" customFormat="false" ht="14.25" hidden="false" customHeight="false" outlineLevel="0" collapsed="false">
      <c r="A150" s="1" t="s">
        <v>1627</v>
      </c>
      <c r="B150" s="27" t="n">
        <v>256</v>
      </c>
    </row>
    <row r="151" customFormat="false" ht="14.25" hidden="false" customHeight="false" outlineLevel="0" collapsed="false">
      <c r="A151" s="1" t="s">
        <v>1628</v>
      </c>
      <c r="B151" s="27" t="n">
        <v>256</v>
      </c>
    </row>
    <row r="152" customFormat="false" ht="14.25" hidden="false" customHeight="false" outlineLevel="0" collapsed="false">
      <c r="A152" s="1" t="s">
        <v>1629</v>
      </c>
      <c r="B152" s="27" t="n">
        <v>256</v>
      </c>
    </row>
    <row r="153" customFormat="false" ht="14.25" hidden="false" customHeight="false" outlineLevel="0" collapsed="false">
      <c r="A153" s="1" t="s">
        <v>1630</v>
      </c>
      <c r="B153" s="27" t="s">
        <v>1507</v>
      </c>
    </row>
    <row r="154" customFormat="false" ht="14.25" hidden="false" customHeight="false" outlineLevel="0" collapsed="false">
      <c r="A154" s="1" t="s">
        <v>228</v>
      </c>
      <c r="B154" s="27" t="s">
        <v>1631</v>
      </c>
    </row>
    <row r="155" customFormat="false" ht="14.25" hidden="false" customHeight="false" outlineLevel="0" collapsed="false">
      <c r="A155" s="1" t="s">
        <v>58</v>
      </c>
      <c r="B155" s="27" t="s">
        <v>1632</v>
      </c>
    </row>
    <row r="156" customFormat="false" ht="14.25" hidden="false" customHeight="false" outlineLevel="0" collapsed="false">
      <c r="A156" s="1" t="s">
        <v>1633</v>
      </c>
      <c r="B156" s="27" t="n">
        <v>16</v>
      </c>
    </row>
    <row r="157" customFormat="false" ht="14.25" hidden="false" customHeight="false" outlineLevel="0" collapsed="false">
      <c r="A157" s="1" t="s">
        <v>1634</v>
      </c>
      <c r="B157" s="27" t="n">
        <v>256</v>
      </c>
    </row>
    <row r="158" customFormat="false" ht="14.25" hidden="false" customHeight="false" outlineLevel="0" collapsed="false">
      <c r="A158" s="1" t="s">
        <v>1635</v>
      </c>
      <c r="B158" s="27" t="n">
        <v>256</v>
      </c>
    </row>
    <row r="159" customFormat="false" ht="14.25" hidden="false" customHeight="false" outlineLevel="0" collapsed="false">
      <c r="A159" s="1" t="s">
        <v>1636</v>
      </c>
      <c r="B159" s="27" t="n">
        <v>256</v>
      </c>
    </row>
    <row r="160" customFormat="false" ht="14.25" hidden="false" customHeight="false" outlineLevel="0" collapsed="false">
      <c r="A160" s="1" t="s">
        <v>1138</v>
      </c>
      <c r="B160" s="27" t="n">
        <v>256</v>
      </c>
    </row>
    <row r="161" customFormat="false" ht="14.25" hidden="false" customHeight="false" outlineLevel="0" collapsed="false">
      <c r="A161" s="1" t="s">
        <v>1637</v>
      </c>
      <c r="B161" s="27" t="s">
        <v>241</v>
      </c>
    </row>
    <row r="162" customFormat="false" ht="14.25" hidden="false" customHeight="false" outlineLevel="0" collapsed="false">
      <c r="A162" s="1" t="s">
        <v>1465</v>
      </c>
      <c r="B162" s="27" t="s">
        <v>241</v>
      </c>
    </row>
    <row r="163" customFormat="false" ht="14.25" hidden="false" customHeight="false" outlineLevel="0" collapsed="false">
      <c r="A163" s="1" t="s">
        <v>1638</v>
      </c>
      <c r="B163" s="27" t="s">
        <v>241</v>
      </c>
    </row>
    <row r="164" customFormat="false" ht="14.25" hidden="false" customHeight="false" outlineLevel="0" collapsed="false">
      <c r="A164" s="1" t="s">
        <v>1470</v>
      </c>
      <c r="B164" s="27" t="s">
        <v>241</v>
      </c>
    </row>
    <row r="165" customFormat="false" ht="14.25" hidden="false" customHeight="false" outlineLevel="0" collapsed="false">
      <c r="A165" s="1" t="s">
        <v>656</v>
      </c>
      <c r="B165" s="27" t="n">
        <v>512</v>
      </c>
    </row>
    <row r="166" customFormat="false" ht="14.25" hidden="false" customHeight="false" outlineLevel="0" collapsed="false">
      <c r="A166" s="1" t="s">
        <v>1639</v>
      </c>
      <c r="B166" s="27" t="s">
        <v>1507</v>
      </c>
    </row>
    <row r="167" customFormat="false" ht="14.25" hidden="false" customHeight="false" outlineLevel="0" collapsed="false">
      <c r="A167" s="1" t="s">
        <v>1640</v>
      </c>
      <c r="B167" s="27" t="n">
        <v>32</v>
      </c>
    </row>
    <row r="168" customFormat="false" ht="14.25" hidden="false" customHeight="false" outlineLevel="0" collapsed="false">
      <c r="A168" s="1" t="s">
        <v>1139</v>
      </c>
      <c r="B168" s="27" t="n">
        <v>512</v>
      </c>
    </row>
    <row r="169" customFormat="false" ht="14.25" hidden="false" customHeight="false" outlineLevel="0" collapsed="false">
      <c r="A169" s="1" t="s">
        <v>1641</v>
      </c>
      <c r="B169" s="27" t="n">
        <v>256</v>
      </c>
    </row>
    <row r="170" customFormat="false" ht="14.25" hidden="false" customHeight="false" outlineLevel="0" collapsed="false">
      <c r="A170" s="1" t="s">
        <v>1642</v>
      </c>
      <c r="B170" s="27" t="n">
        <v>256</v>
      </c>
    </row>
    <row r="171" customFormat="false" ht="14.25" hidden="false" customHeight="false" outlineLevel="0" collapsed="false">
      <c r="A171" s="1" t="s">
        <v>1643</v>
      </c>
      <c r="B171" s="27" t="n">
        <v>256</v>
      </c>
    </row>
    <row r="172" customFormat="false" ht="14.25" hidden="false" customHeight="false" outlineLevel="0" collapsed="false">
      <c r="A172" s="1" t="s">
        <v>1644</v>
      </c>
      <c r="B172" s="27" t="n">
        <v>256</v>
      </c>
    </row>
    <row r="173" customFormat="false" ht="14.25" hidden="false" customHeight="false" outlineLevel="0" collapsed="false">
      <c r="A173" s="1" t="s">
        <v>1645</v>
      </c>
      <c r="B173" s="27" t="n">
        <v>256</v>
      </c>
    </row>
    <row r="174" customFormat="false" ht="14.25" hidden="false" customHeight="false" outlineLevel="0" collapsed="false">
      <c r="A174" s="1" t="s">
        <v>820</v>
      </c>
      <c r="B174" s="27" t="s">
        <v>1544</v>
      </c>
    </row>
    <row r="175" customFormat="false" ht="14.25" hidden="false" customHeight="false" outlineLevel="0" collapsed="false">
      <c r="A175" s="1" t="s">
        <v>230</v>
      </c>
      <c r="B175" s="27" t="s">
        <v>1646</v>
      </c>
    </row>
    <row r="176" customFormat="false" ht="14.25" hidden="false" customHeight="false" outlineLevel="0" collapsed="false">
      <c r="A176" s="1" t="s">
        <v>1647</v>
      </c>
      <c r="B176" s="27" t="n">
        <v>512</v>
      </c>
    </row>
    <row r="177" customFormat="false" ht="14.25" hidden="false" customHeight="false" outlineLevel="0" collapsed="false">
      <c r="A177" s="1" t="s">
        <v>1648</v>
      </c>
      <c r="B177" s="27" t="n">
        <v>512</v>
      </c>
    </row>
    <row r="178" customFormat="false" ht="14.25" hidden="false" customHeight="false" outlineLevel="0" collapsed="false">
      <c r="A178" s="1" t="s">
        <v>60</v>
      </c>
      <c r="B178" s="27" t="s">
        <v>1557</v>
      </c>
    </row>
    <row r="179" customFormat="false" ht="14.25" hidden="false" customHeight="false" outlineLevel="0" collapsed="false">
      <c r="A179" s="1" t="s">
        <v>231</v>
      </c>
      <c r="B179" s="27" t="n">
        <v>256</v>
      </c>
    </row>
    <row r="180" customFormat="false" ht="14.25" hidden="false" customHeight="false" outlineLevel="0" collapsed="false">
      <c r="A180" s="1" t="s">
        <v>286</v>
      </c>
      <c r="B180" s="27" t="n">
        <v>4</v>
      </c>
    </row>
    <row r="181" customFormat="false" ht="14.25" hidden="false" customHeight="false" outlineLevel="0" collapsed="false">
      <c r="A181" s="1" t="s">
        <v>61</v>
      </c>
      <c r="B181" s="27" t="n">
        <v>4</v>
      </c>
    </row>
    <row r="182" customFormat="false" ht="14.25" hidden="false" customHeight="false" outlineLevel="0" collapsed="false">
      <c r="A182" s="1" t="s">
        <v>1649</v>
      </c>
      <c r="B182" s="27" t="n">
        <v>4</v>
      </c>
    </row>
    <row r="183" customFormat="false" ht="14.25" hidden="false" customHeight="false" outlineLevel="0" collapsed="false">
      <c r="A183" s="1" t="s">
        <v>1650</v>
      </c>
      <c r="B183" s="27" t="s">
        <v>1507</v>
      </c>
    </row>
    <row r="184" customFormat="false" ht="14.25" hidden="false" customHeight="false" outlineLevel="0" collapsed="false">
      <c r="A184" s="1" t="s">
        <v>1651</v>
      </c>
      <c r="B184" s="27" t="s">
        <v>1507</v>
      </c>
    </row>
    <row r="185" customFormat="false" ht="14.25" hidden="false" customHeight="false" outlineLevel="0" collapsed="false">
      <c r="A185" s="1" t="s">
        <v>232</v>
      </c>
      <c r="B185" s="27" t="s">
        <v>1507</v>
      </c>
    </row>
    <row r="186" customFormat="false" ht="14.25" hidden="false" customHeight="false" outlineLevel="0" collapsed="false">
      <c r="A186" s="1" t="s">
        <v>1652</v>
      </c>
      <c r="B186" s="27" t="n">
        <v>32</v>
      </c>
    </row>
    <row r="187" customFormat="false" ht="14.25" hidden="false" customHeight="false" outlineLevel="0" collapsed="false">
      <c r="A187" s="1" t="s">
        <v>1034</v>
      </c>
      <c r="B187" s="27" t="s">
        <v>241</v>
      </c>
    </row>
    <row r="188" customFormat="false" ht="14.25" hidden="false" customHeight="false" outlineLevel="0" collapsed="false">
      <c r="A188" s="1" t="s">
        <v>1299</v>
      </c>
      <c r="B188" s="27" t="n">
        <v>500</v>
      </c>
    </row>
    <row r="189" customFormat="false" ht="14.25" hidden="false" customHeight="false" outlineLevel="0" collapsed="false">
      <c r="A189" s="1" t="s">
        <v>1036</v>
      </c>
      <c r="B189" s="27" t="s">
        <v>241</v>
      </c>
    </row>
    <row r="190" customFormat="false" ht="14.25" hidden="false" customHeight="false" outlineLevel="0" collapsed="false">
      <c r="A190" s="1" t="s">
        <v>1300</v>
      </c>
      <c r="B190" s="27" t="n">
        <v>500</v>
      </c>
    </row>
    <row r="191" customFormat="false" ht="14.25" hidden="false" customHeight="false" outlineLevel="0" collapsed="false">
      <c r="A191" s="1" t="s">
        <v>1038</v>
      </c>
      <c r="B191" s="27" t="n">
        <v>256</v>
      </c>
    </row>
    <row r="192" customFormat="false" ht="14.25" hidden="false" customHeight="false" outlineLevel="0" collapsed="false">
      <c r="A192" s="1" t="s">
        <v>1653</v>
      </c>
      <c r="B192" s="27" t="n">
        <v>500</v>
      </c>
    </row>
    <row r="193" customFormat="false" ht="14.25" hidden="false" customHeight="false" outlineLevel="0" collapsed="false">
      <c r="A193" s="1" t="s">
        <v>1040</v>
      </c>
      <c r="B193" s="27" t="n">
        <v>256</v>
      </c>
    </row>
    <row r="194" customFormat="false" ht="14.25" hidden="false" customHeight="false" outlineLevel="0" collapsed="false">
      <c r="A194" s="1" t="s">
        <v>1654</v>
      </c>
      <c r="B194" s="27" t="n">
        <v>500</v>
      </c>
    </row>
    <row r="195" customFormat="false" ht="14.25" hidden="false" customHeight="false" outlineLevel="0" collapsed="false">
      <c r="A195" s="1" t="s">
        <v>1146</v>
      </c>
      <c r="B195" s="27" t="n">
        <v>4</v>
      </c>
    </row>
    <row r="196" customFormat="false" ht="14.25" hidden="false" customHeight="false" outlineLevel="0" collapsed="false">
      <c r="A196" s="1" t="s">
        <v>1655</v>
      </c>
      <c r="B196" s="27" t="n">
        <v>25</v>
      </c>
    </row>
    <row r="197" customFormat="false" ht="14.25" hidden="false" customHeight="false" outlineLevel="0" collapsed="false">
      <c r="A197" s="1" t="s">
        <v>1656</v>
      </c>
      <c r="B197" s="27" t="n">
        <v>4</v>
      </c>
    </row>
    <row r="198" customFormat="false" ht="14.25" hidden="false" customHeight="false" outlineLevel="0" collapsed="false">
      <c r="A198" s="1" t="s">
        <v>1657</v>
      </c>
      <c r="B198" s="27" t="n">
        <v>128</v>
      </c>
    </row>
    <row r="199" customFormat="false" ht="14.25" hidden="false" customHeight="false" outlineLevel="0" collapsed="false">
      <c r="A199" s="1" t="s">
        <v>1658</v>
      </c>
      <c r="B199" s="27" t="n">
        <v>4</v>
      </c>
    </row>
    <row r="200" customFormat="false" ht="14.25" hidden="false" customHeight="false" outlineLevel="0" collapsed="false">
      <c r="A200" s="1" t="s">
        <v>1659</v>
      </c>
      <c r="B200" s="27" t="s">
        <v>1544</v>
      </c>
    </row>
    <row r="201" customFormat="false" ht="14.25" hidden="false" customHeight="false" outlineLevel="0" collapsed="false">
      <c r="A201" s="1" t="s">
        <v>1660</v>
      </c>
      <c r="B201" s="27" t="n">
        <v>64</v>
      </c>
    </row>
    <row r="202" customFormat="false" ht="14.25" hidden="false" customHeight="false" outlineLevel="0" collapsed="false">
      <c r="A202" s="1" t="s">
        <v>1661</v>
      </c>
      <c r="B202" s="27" t="n">
        <v>64</v>
      </c>
    </row>
    <row r="203" customFormat="false" ht="14.25" hidden="false" customHeight="false" outlineLevel="0" collapsed="false">
      <c r="A203" s="1" t="s">
        <v>1662</v>
      </c>
      <c r="B203" s="27" t="n">
        <v>64</v>
      </c>
    </row>
    <row r="204" customFormat="false" ht="14.25" hidden="false" customHeight="false" outlineLevel="0" collapsed="false">
      <c r="A204" s="1" t="s">
        <v>1663</v>
      </c>
      <c r="B204" s="27" t="n">
        <v>4</v>
      </c>
    </row>
    <row r="205" customFormat="false" ht="14.25" hidden="false" customHeight="false" outlineLevel="0" collapsed="false">
      <c r="A205" s="1" t="s">
        <v>1664</v>
      </c>
      <c r="B205" s="27" t="n">
        <v>4</v>
      </c>
    </row>
    <row r="206" customFormat="false" ht="14.25" hidden="false" customHeight="false" outlineLevel="0" collapsed="false">
      <c r="A206" s="1" t="s">
        <v>1665</v>
      </c>
      <c r="B206" s="27" t="n">
        <v>128</v>
      </c>
    </row>
    <row r="207" customFormat="false" ht="14.25" hidden="false" customHeight="false" outlineLevel="0" collapsed="false">
      <c r="A207" s="1" t="s">
        <v>1666</v>
      </c>
      <c r="B207" s="27" t="n">
        <v>4</v>
      </c>
    </row>
    <row r="208" customFormat="false" ht="14.25" hidden="false" customHeight="false" outlineLevel="0" collapsed="false">
      <c r="A208" s="1" t="s">
        <v>1667</v>
      </c>
      <c r="B208" s="27" t="n">
        <v>128</v>
      </c>
    </row>
    <row r="209" customFormat="false" ht="14.25" hidden="false" customHeight="false" outlineLevel="0" collapsed="false">
      <c r="A209" s="1" t="s">
        <v>1668</v>
      </c>
      <c r="B209" s="27" t="n">
        <v>4</v>
      </c>
    </row>
    <row r="210" customFormat="false" ht="14.25" hidden="false" customHeight="false" outlineLevel="0" collapsed="false">
      <c r="A210" s="1" t="s">
        <v>1669</v>
      </c>
      <c r="B210" s="27" t="n">
        <v>500</v>
      </c>
    </row>
    <row r="211" customFormat="false" ht="14.25" hidden="false" customHeight="false" outlineLevel="0" collapsed="false">
      <c r="A211" s="1" t="s">
        <v>1670</v>
      </c>
      <c r="B211" s="27" t="n">
        <v>500</v>
      </c>
    </row>
    <row r="212" customFormat="false" ht="14.25" hidden="false" customHeight="false" outlineLevel="0" collapsed="false">
      <c r="A212" s="1" t="s">
        <v>1671</v>
      </c>
      <c r="B212" s="27" t="n">
        <v>500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" activeCellId="0" sqref="D3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68.45"/>
  </cols>
  <sheetData>
    <row r="1" customFormat="false" ht="14.25" hidden="false" customHeight="false" outlineLevel="0" collapsed="false">
      <c r="A1" s="82"/>
      <c r="B1" s="82" t="s">
        <v>1672</v>
      </c>
    </row>
    <row r="2" customFormat="false" ht="14.25" hidden="false" customHeight="false" outlineLevel="0" collapsed="false">
      <c r="A2" s="82"/>
      <c r="B2" s="82" t="s">
        <v>1673</v>
      </c>
      <c r="C2" s="83" t="s">
        <v>1674</v>
      </c>
    </row>
    <row r="3" customFormat="false" ht="14.25" hidden="false" customHeight="false" outlineLevel="0" collapsed="false">
      <c r="A3" s="84" t="s">
        <v>2</v>
      </c>
      <c r="B3" s="82"/>
      <c r="C3" s="83"/>
      <c r="D3" s="1" t="s">
        <v>1669</v>
      </c>
    </row>
    <row r="4" customFormat="false" ht="14.25" hidden="false" customHeight="false" outlineLevel="0" collapsed="false">
      <c r="A4" s="85" t="s">
        <v>105</v>
      </c>
      <c r="B4" s="82"/>
      <c r="C4" s="83"/>
    </row>
    <row r="5" customFormat="false" ht="14.25" hidden="false" customHeight="false" outlineLevel="0" collapsed="false">
      <c r="A5" s="85" t="s">
        <v>120</v>
      </c>
      <c r="B5" s="82"/>
      <c r="C5" s="83"/>
      <c r="D5" s="1" t="s">
        <v>1669</v>
      </c>
    </row>
    <row r="6" customFormat="false" ht="14.25" hidden="false" customHeight="false" outlineLevel="0" collapsed="false">
      <c r="A6" s="85" t="s">
        <v>158</v>
      </c>
      <c r="B6" s="82"/>
      <c r="C6" s="83"/>
    </row>
    <row r="7" customFormat="false" ht="14.25" hidden="false" customHeight="false" outlineLevel="0" collapsed="false">
      <c r="A7" s="85" t="s">
        <v>202</v>
      </c>
      <c r="B7" s="82"/>
      <c r="C7" s="83"/>
    </row>
    <row r="8" customFormat="false" ht="14.25" hidden="false" customHeight="false" outlineLevel="0" collapsed="false">
      <c r="A8" s="85" t="s">
        <v>291</v>
      </c>
      <c r="B8" s="82"/>
      <c r="C8" s="83"/>
    </row>
    <row r="9" customFormat="false" ht="14.25" hidden="false" customHeight="false" outlineLevel="0" collapsed="false">
      <c r="A9" s="85" t="s">
        <v>318</v>
      </c>
      <c r="B9" s="82"/>
      <c r="C9" s="83"/>
    </row>
    <row r="10" customFormat="false" ht="14.25" hidden="false" customHeight="false" outlineLevel="0" collapsed="false">
      <c r="A10" s="85" t="s">
        <v>341</v>
      </c>
      <c r="B10" s="82"/>
      <c r="C10" s="83"/>
    </row>
    <row r="11" customFormat="false" ht="14.25" hidden="false" customHeight="false" outlineLevel="0" collapsed="false">
      <c r="A11" s="85" t="s">
        <v>351</v>
      </c>
      <c r="B11" s="82"/>
      <c r="C11" s="83"/>
    </row>
    <row r="12" customFormat="false" ht="14.25" hidden="false" customHeight="false" outlineLevel="0" collapsed="false">
      <c r="A12" s="85" t="s">
        <v>365</v>
      </c>
      <c r="B12" s="82"/>
      <c r="C12" s="83"/>
    </row>
    <row r="13" customFormat="false" ht="14.25" hidden="false" customHeight="false" outlineLevel="0" collapsed="false">
      <c r="A13" s="85" t="s">
        <v>456</v>
      </c>
      <c r="B13" s="82"/>
      <c r="C13" s="83"/>
    </row>
    <row r="14" customFormat="false" ht="14.25" hidden="false" customHeight="false" outlineLevel="0" collapsed="false">
      <c r="A14" s="85" t="s">
        <v>467</v>
      </c>
      <c r="B14" s="82"/>
      <c r="C14" s="83"/>
      <c r="D14" s="1" t="s">
        <v>1669</v>
      </c>
    </row>
    <row r="15" customFormat="false" ht="14.25" hidden="false" customHeight="false" outlineLevel="0" collapsed="false">
      <c r="A15" s="85" t="s">
        <v>481</v>
      </c>
      <c r="B15" s="82"/>
      <c r="C15" s="83"/>
    </row>
    <row r="16" customFormat="false" ht="14.25" hidden="false" customHeight="false" outlineLevel="0" collapsed="false">
      <c r="A16" s="85" t="s">
        <v>646</v>
      </c>
      <c r="B16" s="82"/>
      <c r="C16" s="83"/>
    </row>
    <row r="17" customFormat="false" ht="14.25" hidden="false" customHeight="false" outlineLevel="0" collapsed="false">
      <c r="A17" s="85" t="s">
        <v>797</v>
      </c>
      <c r="B17" s="82"/>
      <c r="C17" s="83"/>
    </row>
    <row r="18" customFormat="false" ht="14.25" hidden="false" customHeight="false" outlineLevel="0" collapsed="false">
      <c r="A18" s="86" t="s">
        <v>521</v>
      </c>
      <c r="B18" s="82"/>
      <c r="C18" s="83"/>
    </row>
    <row r="19" customFormat="false" ht="14.25" hidden="false" customHeight="false" outlineLevel="0" collapsed="false">
      <c r="A19" s="85" t="s">
        <v>1675</v>
      </c>
      <c r="B19" s="82"/>
      <c r="C19" s="83"/>
    </row>
    <row r="20" customFormat="false" ht="14.25" hidden="false" customHeight="false" outlineLevel="0" collapsed="false">
      <c r="A20" s="86" t="s">
        <v>570</v>
      </c>
      <c r="B20" s="82"/>
      <c r="C20" s="83"/>
    </row>
    <row r="21" customFormat="false" ht="14.25" hidden="false" customHeight="false" outlineLevel="0" collapsed="false">
      <c r="A21" s="85" t="s">
        <v>1676</v>
      </c>
      <c r="B21" s="82"/>
      <c r="C21" s="83"/>
    </row>
    <row r="22" customFormat="false" ht="14.25" hidden="false" customHeight="false" outlineLevel="0" collapsed="false">
      <c r="A22" s="85" t="s">
        <v>1677</v>
      </c>
      <c r="B22" s="82"/>
      <c r="C22" s="83"/>
    </row>
    <row r="23" customFormat="false" ht="14.25" hidden="false" customHeight="false" outlineLevel="0" collapsed="false">
      <c r="A23" s="85" t="s">
        <v>1678</v>
      </c>
      <c r="B23" s="82"/>
      <c r="C23" s="83"/>
    </row>
    <row r="24" customFormat="false" ht="14.25" hidden="false" customHeight="false" outlineLevel="0" collapsed="false">
      <c r="A24" s="82" t="s">
        <v>1679</v>
      </c>
      <c r="B24" s="82"/>
      <c r="C24" s="83"/>
    </row>
    <row r="25" customFormat="false" ht="14.25" hidden="false" customHeight="false" outlineLevel="0" collapsed="false">
      <c r="A25" s="85" t="s">
        <v>1680</v>
      </c>
      <c r="B25" s="82"/>
      <c r="C25" s="83"/>
    </row>
    <row r="26" customFormat="false" ht="14.25" hidden="false" customHeight="false" outlineLevel="0" collapsed="false">
      <c r="A26" s="85" t="s">
        <v>1681</v>
      </c>
      <c r="B26" s="82"/>
      <c r="C26" s="83"/>
    </row>
    <row r="27" customFormat="false" ht="14.25" hidden="false" customHeight="false" outlineLevel="0" collapsed="false">
      <c r="A27" s="85" t="s">
        <v>1682</v>
      </c>
      <c r="B27" s="82"/>
      <c r="C27" s="83"/>
    </row>
    <row r="28" customFormat="false" ht="14.25" hidden="false" customHeight="false" outlineLevel="0" collapsed="false">
      <c r="A28" s="85" t="s">
        <v>1683</v>
      </c>
      <c r="B28" s="82"/>
      <c r="C28" s="83"/>
    </row>
    <row r="29" customFormat="false" ht="14.25" hidden="false" customHeight="false" outlineLevel="0" collapsed="false">
      <c r="A29" s="85" t="s">
        <v>1684</v>
      </c>
      <c r="B29" s="82"/>
      <c r="C29" s="83"/>
    </row>
    <row r="30" customFormat="false" ht="14.25" hidden="false" customHeight="false" outlineLevel="0" collapsed="false">
      <c r="A30" s="85" t="s">
        <v>1685</v>
      </c>
      <c r="B30" s="82"/>
      <c r="C30" s="8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L197" activeCellId="0" sqref="L197"/>
    </sheetView>
  </sheetViews>
  <sheetFormatPr defaultColWidth="10.5976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1686</v>
      </c>
      <c r="E1" s="1" t="s">
        <v>1687</v>
      </c>
      <c r="I1" s="1" t="s">
        <v>1688</v>
      </c>
    </row>
    <row r="2" customFormat="false" ht="14.25" hidden="false" customHeight="false" outlineLevel="0" collapsed="false">
      <c r="A2" s="1" t="s">
        <v>1689</v>
      </c>
      <c r="B2" s="1" t="s">
        <v>1690</v>
      </c>
      <c r="C2" s="1" t="s">
        <v>1691</v>
      </c>
      <c r="E2" s="1" t="s">
        <v>1689</v>
      </c>
      <c r="F2" s="1" t="s">
        <v>1690</v>
      </c>
      <c r="G2" s="1" t="s">
        <v>1691</v>
      </c>
      <c r="I2" s="1" t="s">
        <v>1689</v>
      </c>
      <c r="J2" s="1" t="s">
        <v>1690</v>
      </c>
      <c r="K2" s="1" t="s">
        <v>1691</v>
      </c>
    </row>
    <row r="3" customFormat="false" ht="14.25" hidden="false" customHeight="false" outlineLevel="0" collapsed="false">
      <c r="A3" s="1" t="n">
        <v>172</v>
      </c>
      <c r="B3" s="1" t="n">
        <v>83</v>
      </c>
      <c r="C3" s="1" t="n">
        <f aca="false">B3/((A3/100)^2)</f>
        <v>28.0557057869118</v>
      </c>
      <c r="E3" s="1" t="n">
        <v>172</v>
      </c>
      <c r="F3" s="1" t="n">
        <v>100</v>
      </c>
      <c r="G3" s="1" t="n">
        <f aca="false">F3/((E3/100)^2)</f>
        <v>33.802055164954</v>
      </c>
      <c r="I3" s="1" t="n">
        <v>175</v>
      </c>
      <c r="J3" s="1" t="n">
        <v>90</v>
      </c>
      <c r="K3" s="1" t="n">
        <f aca="false">J3/((I3/100)^2)</f>
        <v>29.3877551020408</v>
      </c>
    </row>
    <row r="4" customFormat="false" ht="14.25" hidden="false" customHeight="false" outlineLevel="0" collapsed="false">
      <c r="A4" s="1" t="n">
        <v>174</v>
      </c>
      <c r="B4" s="1" t="n">
        <v>98</v>
      </c>
      <c r="C4" s="1" t="n">
        <f aca="false">B4/((A4/100)^2)</f>
        <v>32.368873034747</v>
      </c>
      <c r="E4" s="1" t="n">
        <v>180</v>
      </c>
      <c r="F4" s="1" t="n">
        <v>90</v>
      </c>
      <c r="G4" s="1" t="n">
        <f aca="false">F4/((E4/100)^2)</f>
        <v>27.7777777777778</v>
      </c>
      <c r="I4" s="1" t="n">
        <v>176</v>
      </c>
      <c r="J4" s="1" t="n">
        <v>85</v>
      </c>
      <c r="K4" s="1" t="n">
        <f aca="false">J4/((I4/100)^2)</f>
        <v>27.4405991735537</v>
      </c>
    </row>
    <row r="5" customFormat="false" ht="14.25" hidden="false" customHeight="false" outlineLevel="0" collapsed="false">
      <c r="A5" s="1" t="n">
        <v>172</v>
      </c>
      <c r="B5" s="1" t="n">
        <v>63</v>
      </c>
      <c r="C5" s="1" t="n">
        <f aca="false">B5/((A5/100)^2)</f>
        <v>21.295294753921</v>
      </c>
      <c r="E5" s="1" t="n">
        <v>165</v>
      </c>
      <c r="F5" s="1" t="n">
        <v>105</v>
      </c>
      <c r="G5" s="1" t="n">
        <f aca="false">F5/((E5/100)^2)</f>
        <v>38.5674931129477</v>
      </c>
      <c r="I5" s="1" t="n">
        <v>170</v>
      </c>
      <c r="J5" s="1" t="n">
        <v>72</v>
      </c>
      <c r="K5" s="1" t="n">
        <f aca="false">J5/((I5/100)^2)</f>
        <v>24.9134948096886</v>
      </c>
    </row>
    <row r="6" customFormat="false" ht="14.25" hidden="false" customHeight="false" outlineLevel="0" collapsed="false">
      <c r="A6" s="1" t="n">
        <v>178</v>
      </c>
      <c r="B6" s="1" t="n">
        <v>76</v>
      </c>
      <c r="C6" s="1" t="n">
        <f aca="false">B6/((A6/100)^2)</f>
        <v>23.9868703446535</v>
      </c>
      <c r="E6" s="1" t="n">
        <v>171</v>
      </c>
      <c r="F6" s="1" t="n">
        <v>74</v>
      </c>
      <c r="G6" s="1" t="n">
        <f aca="false">F6/((E6/100)^2)</f>
        <v>25.3069320474676</v>
      </c>
      <c r="I6" s="1" t="n">
        <v>177</v>
      </c>
      <c r="J6" s="1" t="n">
        <v>84</v>
      </c>
      <c r="K6" s="1" t="n">
        <f aca="false">J6/((I6/100)^2)</f>
        <v>26.8122187110983</v>
      </c>
    </row>
    <row r="7" customFormat="false" ht="14.25" hidden="false" customHeight="false" outlineLevel="0" collapsed="false">
      <c r="A7" s="1" t="n">
        <v>145</v>
      </c>
      <c r="B7" s="1" t="n">
        <v>60</v>
      </c>
      <c r="C7" s="1" t="n">
        <f aca="false">B7/((A7/100)^2)</f>
        <v>28.5374554102259</v>
      </c>
      <c r="E7" s="1" t="n">
        <v>177</v>
      </c>
      <c r="F7" s="1" t="n">
        <v>82</v>
      </c>
      <c r="G7" s="1" t="n">
        <f aca="false">F7/((E7/100)^2)</f>
        <v>26.1738325513103</v>
      </c>
      <c r="J7" s="1" t="s">
        <v>1692</v>
      </c>
      <c r="K7" s="1" t="n">
        <f aca="false">AVERAGE(K3:K6)</f>
        <v>27.1385169490954</v>
      </c>
    </row>
    <row r="8" customFormat="false" ht="14.25" hidden="false" customHeight="false" outlineLevel="0" collapsed="false">
      <c r="A8" s="1" t="n">
        <v>170</v>
      </c>
      <c r="B8" s="1" t="n">
        <v>80</v>
      </c>
      <c r="C8" s="1" t="n">
        <f aca="false">B8/((A8/100)^2)</f>
        <v>27.681660899654</v>
      </c>
      <c r="E8" s="1" t="n">
        <v>176</v>
      </c>
      <c r="F8" s="1" t="n">
        <v>104</v>
      </c>
      <c r="G8" s="1" t="n">
        <f aca="false">F8/((E8/100)^2)</f>
        <v>33.5743801652893</v>
      </c>
      <c r="J8" s="1" t="s">
        <v>1693</v>
      </c>
      <c r="K8" s="1" t="n">
        <f aca="false">_xlfn.STDEV.S(K3:K6)</f>
        <v>1.84458848165559</v>
      </c>
    </row>
    <row r="9" customFormat="false" ht="14.25" hidden="false" customHeight="false" outlineLevel="0" collapsed="false">
      <c r="A9" s="1" t="n">
        <v>170</v>
      </c>
      <c r="B9" s="1" t="n">
        <v>76</v>
      </c>
      <c r="C9" s="1" t="n">
        <f aca="false">B9/((A9/100)^2)</f>
        <v>26.2975778546713</v>
      </c>
      <c r="E9" s="1" t="n">
        <v>164</v>
      </c>
      <c r="F9" s="1" t="n">
        <v>80</v>
      </c>
      <c r="G9" s="1" t="n">
        <f aca="false">F9/((E9/100)^2)</f>
        <v>29.7441998810232</v>
      </c>
    </row>
    <row r="10" customFormat="false" ht="14.25" hidden="false" customHeight="false" outlineLevel="0" collapsed="false">
      <c r="A10" s="1" t="n">
        <v>166</v>
      </c>
      <c r="B10" s="1" t="n">
        <v>96</v>
      </c>
      <c r="C10" s="1" t="n">
        <f aca="false">B10/((A10/100)^2)</f>
        <v>34.8381477718101</v>
      </c>
      <c r="E10" s="1" t="n">
        <v>195</v>
      </c>
      <c r="F10" s="1" t="n">
        <v>78</v>
      </c>
      <c r="G10" s="1" t="n">
        <f aca="false">F10/((E10/100)^2)</f>
        <v>20.5128205128205</v>
      </c>
    </row>
    <row r="11" customFormat="false" ht="14.25" hidden="false" customHeight="false" outlineLevel="0" collapsed="false">
      <c r="A11" s="1" t="n">
        <v>161</v>
      </c>
      <c r="B11" s="1" t="n">
        <v>89</v>
      </c>
      <c r="C11" s="1" t="n">
        <f aca="false">B11/((A11/100)^2)</f>
        <v>34.3350950966398</v>
      </c>
      <c r="F11" s="1" t="s">
        <v>1692</v>
      </c>
      <c r="G11" s="1" t="n">
        <f aca="false">AVERAGE(G3:G10)</f>
        <v>29.4324364016988</v>
      </c>
    </row>
    <row r="12" customFormat="false" ht="14.25" hidden="false" customHeight="false" outlineLevel="0" collapsed="false">
      <c r="A12" s="1" t="n">
        <v>184</v>
      </c>
      <c r="B12" s="1" t="n">
        <v>80</v>
      </c>
      <c r="C12" s="1" t="n">
        <f aca="false">B12/((A12/100)^2)</f>
        <v>23.6294896030246</v>
      </c>
      <c r="F12" s="1" t="s">
        <v>1693</v>
      </c>
      <c r="G12" s="1" t="n">
        <f aca="false">_xlfn.STDEV.S(G3:G10)</f>
        <v>5.72876765430533</v>
      </c>
    </row>
    <row r="13" customFormat="false" ht="14.25" hidden="false" customHeight="false" outlineLevel="0" collapsed="false">
      <c r="A13" s="1" t="n">
        <v>170</v>
      </c>
      <c r="B13" s="1" t="n">
        <v>90</v>
      </c>
      <c r="C13" s="1" t="n">
        <f aca="false">B13/((A13/100)^2)</f>
        <v>31.1418685121107</v>
      </c>
    </row>
    <row r="14" customFormat="false" ht="14.25" hidden="false" customHeight="false" outlineLevel="0" collapsed="false">
      <c r="A14" s="1" t="n">
        <v>162</v>
      </c>
      <c r="B14" s="1" t="n">
        <v>68</v>
      </c>
      <c r="C14" s="1" t="n">
        <f aca="false">B14/((A14/100)^2)</f>
        <v>25.9106843468983</v>
      </c>
    </row>
    <row r="15" customFormat="false" ht="14.25" hidden="false" customHeight="false" outlineLevel="0" collapsed="false">
      <c r="A15" s="1" t="n">
        <v>169</v>
      </c>
      <c r="B15" s="1" t="n">
        <v>65</v>
      </c>
      <c r="C15" s="1" t="n">
        <f aca="false">B15/((A15/100)^2)</f>
        <v>22.7583067819754</v>
      </c>
    </row>
    <row r="16" customFormat="false" ht="14.25" hidden="false" customHeight="false" outlineLevel="0" collapsed="false">
      <c r="A16" s="1" t="n">
        <v>178</v>
      </c>
      <c r="B16" s="1" t="n">
        <v>76</v>
      </c>
      <c r="C16" s="1" t="n">
        <f aca="false">B16/((A16/100)^2)</f>
        <v>23.9868703446535</v>
      </c>
    </row>
    <row r="17" customFormat="false" ht="14.25" hidden="false" customHeight="false" outlineLevel="0" collapsed="false">
      <c r="A17" s="1" t="n">
        <v>173</v>
      </c>
      <c r="B17" s="1" t="n">
        <v>110</v>
      </c>
      <c r="C17" s="1" t="n">
        <f aca="false">B17/((A17/100)^2)</f>
        <v>36.7536503057235</v>
      </c>
    </row>
    <row r="18" customFormat="false" ht="14.25" hidden="false" customHeight="false" outlineLevel="0" collapsed="false">
      <c r="A18" s="1" t="n">
        <v>160</v>
      </c>
      <c r="B18" s="1" t="n">
        <v>95</v>
      </c>
      <c r="C18" s="1" t="n">
        <f aca="false">B18/((A18/100)^2)</f>
        <v>37.109375</v>
      </c>
    </row>
    <row r="19" customFormat="false" ht="14.25" hidden="false" customHeight="false" outlineLevel="0" collapsed="false">
      <c r="A19" s="1" t="n">
        <v>165</v>
      </c>
      <c r="B19" s="1" t="n">
        <v>83</v>
      </c>
      <c r="C19" s="1" t="n">
        <f aca="false">B19/((A19/100)^2)</f>
        <v>30.4866850321396</v>
      </c>
    </row>
    <row r="20" customFormat="false" ht="14.25" hidden="false" customHeight="false" outlineLevel="0" collapsed="false">
      <c r="A20" s="1" t="n">
        <v>167</v>
      </c>
      <c r="B20" s="1" t="n">
        <v>75</v>
      </c>
      <c r="C20" s="1" t="n">
        <f aca="false">B20/((A20/100)^2)</f>
        <v>26.8923231381548</v>
      </c>
    </row>
    <row r="21" customFormat="false" ht="14.25" hidden="false" customHeight="false" outlineLevel="0" collapsed="false">
      <c r="A21" s="1" t="n">
        <v>170</v>
      </c>
      <c r="B21" s="1" t="n">
        <v>80</v>
      </c>
      <c r="C21" s="1" t="n">
        <f aca="false">B21/((A21/100)^2)</f>
        <v>27.681660899654</v>
      </c>
    </row>
    <row r="22" customFormat="false" ht="14.25" hidden="false" customHeight="false" outlineLevel="0" collapsed="false">
      <c r="A22" s="1" t="n">
        <v>163</v>
      </c>
      <c r="B22" s="1" t="n">
        <v>100</v>
      </c>
      <c r="C22" s="1" t="n">
        <f aca="false">B22/((A22/100)^2)</f>
        <v>37.6378486205729</v>
      </c>
    </row>
    <row r="23" customFormat="false" ht="14.25" hidden="false" customHeight="false" outlineLevel="0" collapsed="false">
      <c r="A23" s="1" t="n">
        <v>147</v>
      </c>
      <c r="B23" s="1" t="n">
        <v>65</v>
      </c>
      <c r="C23" s="1" t="n">
        <f aca="false">B23/((A23/100)^2)</f>
        <v>30.0800592345782</v>
      </c>
    </row>
    <row r="24" customFormat="false" ht="14.25" hidden="false" customHeight="false" outlineLevel="0" collapsed="false">
      <c r="A24" s="1" t="n">
        <v>160</v>
      </c>
      <c r="B24" s="1" t="n">
        <v>112</v>
      </c>
      <c r="C24" s="1" t="n">
        <f aca="false">B24/((A24/100)^2)</f>
        <v>43.75</v>
      </c>
    </row>
    <row r="25" customFormat="false" ht="14.25" hidden="false" customHeight="false" outlineLevel="0" collapsed="false">
      <c r="A25" s="1" t="n">
        <v>171</v>
      </c>
      <c r="B25" s="1" t="n">
        <v>63</v>
      </c>
      <c r="C25" s="1" t="n">
        <f aca="false">B25/((A25/100)^2)</f>
        <v>21.5450907971684</v>
      </c>
    </row>
    <row r="26" customFormat="false" ht="14.25" hidden="false" customHeight="false" outlineLevel="0" collapsed="false">
      <c r="A26" s="1" t="n">
        <v>165</v>
      </c>
      <c r="B26" s="1" t="n">
        <v>105</v>
      </c>
      <c r="C26" s="1" t="n">
        <f aca="false">B26/((A26/100)^2)</f>
        <v>38.5674931129477</v>
      </c>
    </row>
    <row r="27" customFormat="false" ht="14.25" hidden="false" customHeight="false" outlineLevel="0" collapsed="false">
      <c r="A27" s="1" t="n">
        <v>172</v>
      </c>
      <c r="B27" s="1" t="n">
        <v>80</v>
      </c>
      <c r="C27" s="1" t="n">
        <f aca="false">B27/((A27/100)^2)</f>
        <v>27.0416441319632</v>
      </c>
    </row>
    <row r="28" customFormat="false" ht="14.25" hidden="false" customHeight="false" outlineLevel="0" collapsed="false">
      <c r="A28" s="1" t="n">
        <v>157</v>
      </c>
      <c r="B28" s="1" t="n">
        <v>94</v>
      </c>
      <c r="C28" s="1" t="n">
        <f aca="false">B28/((A28/100)^2)</f>
        <v>38.1354213152663</v>
      </c>
    </row>
    <row r="29" customFormat="false" ht="14.25" hidden="false" customHeight="false" outlineLevel="0" collapsed="false">
      <c r="A29" s="1" t="n">
        <v>164</v>
      </c>
      <c r="B29" s="1" t="n">
        <v>60</v>
      </c>
      <c r="C29" s="1" t="n">
        <f aca="false">B29/((A29/100)^2)</f>
        <v>22.3081499107674</v>
      </c>
    </row>
    <row r="30" customFormat="false" ht="14.25" hidden="false" customHeight="false" outlineLevel="0" collapsed="false">
      <c r="A30" s="1" t="n">
        <v>171</v>
      </c>
      <c r="B30" s="1" t="n">
        <v>74</v>
      </c>
      <c r="C30" s="1" t="n">
        <f aca="false">B30/((A30/100)^2)</f>
        <v>25.3069320474676</v>
      </c>
    </row>
    <row r="31" customFormat="false" ht="14.25" hidden="false" customHeight="false" outlineLevel="0" collapsed="false">
      <c r="A31" s="1" t="n">
        <v>175</v>
      </c>
      <c r="B31" s="1" t="n">
        <v>85</v>
      </c>
      <c r="C31" s="1" t="n">
        <f aca="false">B31/((A31/100)^2)</f>
        <v>27.7551020408163</v>
      </c>
    </row>
    <row r="32" customFormat="false" ht="14.25" hidden="false" customHeight="false" outlineLevel="0" collapsed="false">
      <c r="A32" s="1" t="n">
        <v>166</v>
      </c>
      <c r="B32" s="1" t="n">
        <v>113</v>
      </c>
      <c r="C32" s="1" t="n">
        <f aca="false">B32/((A32/100)^2)</f>
        <v>41.0074031064015</v>
      </c>
    </row>
    <row r="33" customFormat="false" ht="14.25" hidden="false" customHeight="false" outlineLevel="0" collapsed="false">
      <c r="A33" s="1" t="n">
        <v>154</v>
      </c>
      <c r="B33" s="1" t="n">
        <v>90</v>
      </c>
      <c r="C33" s="1" t="n">
        <f aca="false">B33/((A33/100)^2)</f>
        <v>37.9490639230899</v>
      </c>
    </row>
    <row r="34" customFormat="false" ht="14.25" hidden="false" customHeight="false" outlineLevel="0" collapsed="false">
      <c r="A34" s="1" t="n">
        <v>150</v>
      </c>
      <c r="B34" s="1" t="n">
        <v>70</v>
      </c>
      <c r="C34" s="1" t="n">
        <f aca="false">B34/((A34/100)^2)</f>
        <v>31.1111111111111</v>
      </c>
    </row>
    <row r="35" customFormat="false" ht="14.25" hidden="false" customHeight="false" outlineLevel="0" collapsed="false">
      <c r="A35" s="1" t="n">
        <v>170</v>
      </c>
      <c r="B35" s="1" t="n">
        <v>77</v>
      </c>
      <c r="C35" s="1" t="n">
        <f aca="false">B35/((A35/100)^2)</f>
        <v>26.643598615917</v>
      </c>
    </row>
    <row r="36" customFormat="false" ht="14.25" hidden="false" customHeight="false" outlineLevel="0" collapsed="false">
      <c r="A36" s="1" t="n">
        <v>158</v>
      </c>
      <c r="B36" s="1" t="n">
        <v>53</v>
      </c>
      <c r="C36" s="1" t="n">
        <f aca="false">B36/((A36/100)^2)</f>
        <v>21.2305720237141</v>
      </c>
    </row>
    <row r="37" customFormat="false" ht="14.25" hidden="false" customHeight="false" outlineLevel="0" collapsed="false">
      <c r="A37" s="1" t="n">
        <v>160</v>
      </c>
      <c r="B37" s="1" t="n">
        <v>86</v>
      </c>
      <c r="C37" s="1" t="n">
        <f aca="false">B37/((A37/100)^2)</f>
        <v>33.59375</v>
      </c>
    </row>
    <row r="38" customFormat="false" ht="14.25" hidden="false" customHeight="false" outlineLevel="0" collapsed="false">
      <c r="A38" s="1" t="n">
        <v>160</v>
      </c>
      <c r="B38" s="1" t="n">
        <v>62</v>
      </c>
      <c r="C38" s="1" t="n">
        <f aca="false">B38/((A38/100)^2)</f>
        <v>24.21875</v>
      </c>
    </row>
    <row r="39" customFormat="false" ht="14.25" hidden="false" customHeight="false" outlineLevel="0" collapsed="false">
      <c r="A39" s="1" t="n">
        <v>167</v>
      </c>
      <c r="B39" s="1" t="n">
        <v>92</v>
      </c>
      <c r="C39" s="1" t="n">
        <f aca="false">B39/((A39/100)^2)</f>
        <v>32.9879163828033</v>
      </c>
    </row>
    <row r="40" customFormat="false" ht="14.25" hidden="false" customHeight="false" outlineLevel="0" collapsed="false">
      <c r="A40" s="1" t="n">
        <v>176</v>
      </c>
      <c r="B40" s="1" t="n">
        <v>90</v>
      </c>
      <c r="C40" s="1" t="n">
        <f aca="false">B40/((A40/100)^2)</f>
        <v>29.0547520661157</v>
      </c>
    </row>
    <row r="41" customFormat="false" ht="14.25" hidden="false" customHeight="false" outlineLevel="0" collapsed="false">
      <c r="A41" s="1" t="n">
        <v>168</v>
      </c>
      <c r="B41" s="1" t="n">
        <v>85</v>
      </c>
      <c r="C41" s="1" t="n">
        <f aca="false">B41/((A41/100)^2)</f>
        <v>30.1162131519274</v>
      </c>
    </row>
    <row r="42" customFormat="false" ht="14.25" hidden="false" customHeight="false" outlineLevel="0" collapsed="false">
      <c r="A42" s="1" t="n">
        <v>155</v>
      </c>
      <c r="B42" s="1" t="n">
        <v>74</v>
      </c>
      <c r="C42" s="1" t="n">
        <f aca="false">B42/((A42/100)^2)</f>
        <v>30.8012486992716</v>
      </c>
    </row>
    <row r="43" customFormat="false" ht="14.25" hidden="false" customHeight="false" outlineLevel="0" collapsed="false">
      <c r="A43" s="1" t="n">
        <v>170</v>
      </c>
      <c r="B43" s="1" t="n">
        <v>95</v>
      </c>
      <c r="C43" s="1" t="n">
        <f aca="false">B43/((A43/100)^2)</f>
        <v>32.8719723183391</v>
      </c>
    </row>
    <row r="44" customFormat="false" ht="14.25" hidden="false" customHeight="false" outlineLevel="0" collapsed="false">
      <c r="A44" s="1" t="n">
        <v>177</v>
      </c>
      <c r="B44" s="1" t="n">
        <v>78</v>
      </c>
      <c r="C44" s="1" t="n">
        <f aca="false">B44/((A44/100)^2)</f>
        <v>24.8970602317342</v>
      </c>
    </row>
    <row r="45" customFormat="false" ht="14.25" hidden="false" customHeight="false" outlineLevel="0" collapsed="false">
      <c r="A45" s="1" t="n">
        <v>177</v>
      </c>
      <c r="B45" s="1" t="n">
        <v>81</v>
      </c>
      <c r="C45" s="1" t="n">
        <f aca="false">B45/((A45/100)^2)</f>
        <v>25.8546394714163</v>
      </c>
    </row>
    <row r="46" customFormat="false" ht="14.25" hidden="false" customHeight="false" outlineLevel="0" collapsed="false">
      <c r="A46" s="1" t="n">
        <v>167</v>
      </c>
      <c r="B46" s="1" t="n">
        <v>84</v>
      </c>
      <c r="C46" s="1" t="n">
        <f aca="false">B46/((A46/100)^2)</f>
        <v>30.1194019147334</v>
      </c>
    </row>
    <row r="47" customFormat="false" ht="14.25" hidden="false" customHeight="false" outlineLevel="0" collapsed="false">
      <c r="A47" s="1" t="n">
        <v>187</v>
      </c>
      <c r="B47" s="1" t="n">
        <v>85</v>
      </c>
      <c r="C47" s="1" t="n">
        <f aca="false">B47/((A47/100)^2)</f>
        <v>24.3072435585805</v>
      </c>
    </row>
    <row r="48" customFormat="false" ht="14.25" hidden="false" customHeight="false" outlineLevel="0" collapsed="false">
      <c r="A48" s="1" t="n">
        <v>176</v>
      </c>
      <c r="B48" s="1" t="n">
        <v>104</v>
      </c>
      <c r="C48" s="1" t="n">
        <f aca="false">B48/((A48/100)^2)</f>
        <v>33.5743801652893</v>
      </c>
    </row>
    <row r="49" customFormat="false" ht="14.25" hidden="false" customHeight="false" outlineLevel="0" collapsed="false">
      <c r="A49" s="1" t="n">
        <v>164</v>
      </c>
      <c r="B49" s="1" t="n">
        <v>80</v>
      </c>
      <c r="C49" s="1" t="n">
        <f aca="false">B49/((A49/100)^2)</f>
        <v>29.7441998810232</v>
      </c>
    </row>
    <row r="50" customFormat="false" ht="14.25" hidden="false" customHeight="false" outlineLevel="0" collapsed="false">
      <c r="A50" s="1" t="n">
        <v>160</v>
      </c>
      <c r="B50" s="1" t="n">
        <v>80</v>
      </c>
      <c r="C50" s="1" t="n">
        <f aca="false">B50/((A50/100)^2)</f>
        <v>31.25</v>
      </c>
    </row>
    <row r="51" customFormat="false" ht="14.25" hidden="false" customHeight="false" outlineLevel="0" collapsed="false">
      <c r="A51" s="1" t="n">
        <v>163</v>
      </c>
      <c r="B51" s="1" t="n">
        <v>96</v>
      </c>
      <c r="C51" s="1" t="n">
        <f aca="false">B51/((A51/100)^2)</f>
        <v>36.1323346757499</v>
      </c>
    </row>
    <row r="52" customFormat="false" ht="14.25" hidden="false" customHeight="false" outlineLevel="0" collapsed="false">
      <c r="A52" s="1" t="n">
        <v>166</v>
      </c>
      <c r="B52" s="1" t="n">
        <v>75</v>
      </c>
      <c r="C52" s="1" t="n">
        <f aca="false">B52/((A52/100)^2)</f>
        <v>27.2173029467267</v>
      </c>
    </row>
    <row r="53" customFormat="false" ht="14.25" hidden="false" customHeight="false" outlineLevel="0" collapsed="false">
      <c r="A53" s="1" t="n">
        <v>156</v>
      </c>
      <c r="B53" s="1" t="n">
        <v>90</v>
      </c>
      <c r="C53" s="1" t="n">
        <f aca="false">B53/((A53/100)^2)</f>
        <v>36.9822485207101</v>
      </c>
    </row>
    <row r="54" customFormat="false" ht="14.25" hidden="false" customHeight="false" outlineLevel="0" collapsed="false">
      <c r="A54" s="1" t="n">
        <v>165</v>
      </c>
      <c r="B54" s="1" t="n">
        <v>82</v>
      </c>
      <c r="C54" s="1" t="n">
        <f aca="false">B54/((A54/100)^2)</f>
        <v>30.119375573921</v>
      </c>
    </row>
    <row r="55" customFormat="false" ht="14.25" hidden="false" customHeight="false" outlineLevel="0" collapsed="false">
      <c r="A55" s="1" t="n">
        <v>150</v>
      </c>
      <c r="B55" s="1" t="n">
        <v>93</v>
      </c>
      <c r="C55" s="1" t="n">
        <f aca="false">B55/((A55/100)^2)</f>
        <v>41.3333333333333</v>
      </c>
    </row>
    <row r="56" customFormat="false" ht="14.25" hidden="false" customHeight="false" outlineLevel="0" collapsed="false">
      <c r="A56" s="1" t="n">
        <v>168</v>
      </c>
      <c r="B56" s="1" t="n">
        <v>75</v>
      </c>
      <c r="C56" s="1" t="n">
        <f aca="false">B56/((A56/100)^2)</f>
        <v>26.5731292517007</v>
      </c>
    </row>
    <row r="57" customFormat="false" ht="14.25" hidden="false" customHeight="false" outlineLevel="0" collapsed="false">
      <c r="A57" s="1" t="n">
        <v>195</v>
      </c>
      <c r="B57" s="1" t="n">
        <v>78</v>
      </c>
      <c r="C57" s="1" t="n">
        <f aca="false">B57/((A57/100)^2)</f>
        <v>20.5128205128205</v>
      </c>
    </row>
    <row r="58" customFormat="false" ht="14.25" hidden="false" customHeight="false" outlineLevel="0" collapsed="false">
      <c r="A58" s="1" t="n">
        <v>178</v>
      </c>
      <c r="B58" s="1" t="n">
        <v>75</v>
      </c>
      <c r="C58" s="1" t="n">
        <f aca="false">B58/((A58/100)^2)</f>
        <v>23.6712536295922</v>
      </c>
    </row>
    <row r="59" customFormat="false" ht="14.25" hidden="false" customHeight="false" outlineLevel="0" collapsed="false">
      <c r="A59" s="1" t="n">
        <v>149</v>
      </c>
      <c r="B59" s="1" t="n">
        <v>64</v>
      </c>
      <c r="C59" s="1" t="n">
        <f aca="false">B59/((A59/100)^2)</f>
        <v>28.8275302914283</v>
      </c>
    </row>
    <row r="60" customFormat="false" ht="14.25" hidden="false" customHeight="false" outlineLevel="0" collapsed="false">
      <c r="A60" s="1" t="n">
        <v>182</v>
      </c>
      <c r="B60" s="1" t="n">
        <v>90</v>
      </c>
      <c r="C60" s="1" t="n">
        <f aca="false">B60/((A60/100)^2)</f>
        <v>27.170631566236</v>
      </c>
    </row>
    <row r="61" customFormat="false" ht="14.25" hidden="false" customHeight="false" outlineLevel="0" collapsed="false">
      <c r="A61" s="1" t="n">
        <v>166</v>
      </c>
      <c r="B61" s="1" t="n">
        <v>82</v>
      </c>
      <c r="C61" s="1" t="n">
        <f aca="false">B61/((A61/100)^2)</f>
        <v>29.7575845550878</v>
      </c>
    </row>
    <row r="62" customFormat="false" ht="14.25" hidden="false" customHeight="false" outlineLevel="0" collapsed="false">
      <c r="A62" s="1" t="n">
        <v>177</v>
      </c>
      <c r="B62" s="1" t="n">
        <v>84</v>
      </c>
      <c r="C62" s="1" t="n">
        <f aca="false">B62/((A62/100)^2)</f>
        <v>26.8122187110983</v>
      </c>
    </row>
    <row r="63" customFormat="false" ht="14.25" hidden="false" customHeight="false" outlineLevel="0" collapsed="false">
      <c r="A63" s="1" t="n">
        <v>156</v>
      </c>
      <c r="B63" s="1" t="n">
        <v>60</v>
      </c>
      <c r="C63" s="1" t="n">
        <f aca="false">B63/((A63/100)^2)</f>
        <v>24.65483234714</v>
      </c>
    </row>
    <row r="64" customFormat="false" ht="14.25" hidden="false" customHeight="false" outlineLevel="0" collapsed="false">
      <c r="A64" s="1" t="n">
        <v>153</v>
      </c>
      <c r="B64" s="1" t="n">
        <v>61</v>
      </c>
      <c r="C64" s="1" t="n">
        <f aca="false">B64/((A64/100)^2)</f>
        <v>26.0583536246743</v>
      </c>
    </row>
    <row r="65" customFormat="false" ht="14.25" hidden="false" customHeight="false" outlineLevel="0" collapsed="false">
      <c r="A65" s="1" t="n">
        <v>177</v>
      </c>
      <c r="B65" s="1" t="n">
        <v>72</v>
      </c>
      <c r="C65" s="1" t="n">
        <f aca="false">B65/((A65/100)^2)</f>
        <v>22.98190175237</v>
      </c>
    </row>
    <row r="66" customFormat="false" ht="14.25" hidden="false" customHeight="false" outlineLevel="0" collapsed="false">
      <c r="A66" s="1" t="n">
        <v>176</v>
      </c>
      <c r="B66" s="1" t="n">
        <v>95</v>
      </c>
      <c r="C66" s="1" t="n">
        <f aca="false">B66/((A66/100)^2)</f>
        <v>30.6689049586777</v>
      </c>
    </row>
    <row r="67" customFormat="false" ht="14.25" hidden="false" customHeight="false" outlineLevel="0" collapsed="false">
      <c r="A67" s="1" t="n">
        <v>162</v>
      </c>
      <c r="B67" s="1" t="n">
        <v>78</v>
      </c>
      <c r="C67" s="1" t="n">
        <f aca="false">B67/((A67/100)^2)</f>
        <v>29.7210791037951</v>
      </c>
    </row>
    <row r="68" customFormat="false" ht="14.25" hidden="false" customHeight="false" outlineLevel="0" collapsed="false">
      <c r="A68" s="1" t="n">
        <v>162</v>
      </c>
      <c r="B68" s="1" t="n">
        <v>68</v>
      </c>
      <c r="C68" s="1" t="n">
        <f aca="false">B68/((A68/100)^2)</f>
        <v>25.9106843468983</v>
      </c>
    </row>
    <row r="69" customFormat="false" ht="14.25" hidden="false" customHeight="false" outlineLevel="0" collapsed="false">
      <c r="A69" s="1" t="n">
        <v>168</v>
      </c>
      <c r="B69" s="1" t="n">
        <v>115</v>
      </c>
      <c r="C69" s="1" t="n">
        <f aca="false">B69/((A69/100)^2)</f>
        <v>40.7454648526077</v>
      </c>
    </row>
    <row r="70" customFormat="false" ht="14.25" hidden="false" customHeight="false" outlineLevel="0" collapsed="false">
      <c r="A70" s="1" t="n">
        <v>160</v>
      </c>
      <c r="B70" s="1" t="n">
        <v>73</v>
      </c>
      <c r="C70" s="1" t="n">
        <f aca="false">B70/((A70/100)^2)</f>
        <v>28.515625</v>
      </c>
    </row>
    <row r="71" customFormat="false" ht="14.25" hidden="false" customHeight="false" outlineLevel="0" collapsed="false">
      <c r="A71" s="1" t="n">
        <v>150</v>
      </c>
      <c r="B71" s="1" t="n">
        <v>62</v>
      </c>
      <c r="C71" s="1" t="n">
        <f aca="false">B71/((A71/100)^2)</f>
        <v>27.5555555555556</v>
      </c>
    </row>
    <row r="72" customFormat="false" ht="14.25" hidden="false" customHeight="false" outlineLevel="0" collapsed="false">
      <c r="A72" s="1" t="n">
        <v>165</v>
      </c>
      <c r="B72" s="1" t="n">
        <v>110</v>
      </c>
      <c r="C72" s="1" t="n">
        <f aca="false">B72/((A72/100)^2)</f>
        <v>40.4040404040404</v>
      </c>
    </row>
    <row r="73" customFormat="false" ht="14.25" hidden="false" customHeight="false" outlineLevel="0" collapsed="false">
      <c r="A73" s="1" t="n">
        <v>167</v>
      </c>
      <c r="B73" s="1" t="n">
        <v>78</v>
      </c>
      <c r="C73" s="1" t="n">
        <f aca="false">B73/((A73/100)^2)</f>
        <v>27.968016063681</v>
      </c>
    </row>
    <row r="74" customFormat="false" ht="14.25" hidden="false" customHeight="false" outlineLevel="0" collapsed="false">
      <c r="A74" s="1" t="n">
        <v>153</v>
      </c>
      <c r="B74" s="1" t="n">
        <v>75</v>
      </c>
      <c r="C74" s="1" t="n">
        <f aca="false">B74/((A74/100)^2)</f>
        <v>32.0389593745995</v>
      </c>
    </row>
    <row r="75" customFormat="false" ht="14.25" hidden="false" customHeight="false" outlineLevel="0" collapsed="false">
      <c r="A75" s="1" t="n">
        <v>158</v>
      </c>
      <c r="B75" s="1" t="n">
        <v>84</v>
      </c>
      <c r="C75" s="1" t="n">
        <f aca="false">B75/((A75/100)^2)</f>
        <v>33.6484537734337</v>
      </c>
    </row>
    <row r="76" customFormat="false" ht="14.25" hidden="false" customHeight="false" outlineLevel="0" collapsed="false">
      <c r="A76" s="1" t="n">
        <v>178</v>
      </c>
      <c r="B76" s="1" t="n">
        <v>85</v>
      </c>
      <c r="C76" s="1" t="n">
        <f aca="false">B76/((A76/100)^2)</f>
        <v>26.8274207802045</v>
      </c>
    </row>
    <row r="77" customFormat="false" ht="14.25" hidden="false" customHeight="false" outlineLevel="0" collapsed="false">
      <c r="A77" s="1" t="n">
        <v>183</v>
      </c>
      <c r="B77" s="1" t="n">
        <v>74</v>
      </c>
      <c r="C77" s="1" t="n">
        <f aca="false">B77/((A77/100)^2)</f>
        <v>22.096807907074</v>
      </c>
    </row>
    <row r="78" customFormat="false" ht="14.25" hidden="false" customHeight="false" outlineLevel="0" collapsed="false">
      <c r="A78" s="1" t="n">
        <v>163</v>
      </c>
      <c r="B78" s="1" t="n">
        <v>65</v>
      </c>
      <c r="C78" s="1" t="n">
        <f aca="false">B78/((A78/100)^2)</f>
        <v>24.4646016033724</v>
      </c>
    </row>
    <row r="79" customFormat="false" ht="14.25" hidden="false" customHeight="false" outlineLevel="0" collapsed="false">
      <c r="A79" s="1" t="n">
        <v>153</v>
      </c>
      <c r="B79" s="1" t="n">
        <v>95</v>
      </c>
      <c r="C79" s="1" t="n">
        <f aca="false">B79/((A79/100)^2)</f>
        <v>40.5826818744927</v>
      </c>
    </row>
    <row r="80" customFormat="false" ht="14.25" hidden="false" customHeight="false" outlineLevel="0" collapsed="false">
      <c r="A80" s="1" t="n">
        <v>172</v>
      </c>
      <c r="B80" s="1" t="n">
        <v>78</v>
      </c>
      <c r="C80" s="1" t="n">
        <f aca="false">B80/((A80/100)^2)</f>
        <v>26.3656030286641</v>
      </c>
    </row>
    <row r="81" customFormat="false" ht="14.25" hidden="false" customHeight="false" outlineLevel="0" collapsed="false">
      <c r="A81" s="1" t="n">
        <v>174</v>
      </c>
      <c r="B81" s="1" t="n">
        <v>84</v>
      </c>
      <c r="C81" s="1" t="n">
        <f aca="false">B81/((A81/100)^2)</f>
        <v>27.7447483154974</v>
      </c>
    </row>
    <row r="82" customFormat="false" ht="14.25" hidden="false" customHeight="false" outlineLevel="0" collapsed="false">
      <c r="A82" s="1" t="n">
        <v>156</v>
      </c>
      <c r="B82" s="1" t="n">
        <v>73</v>
      </c>
      <c r="C82" s="1" t="n">
        <f aca="false">B82/((A82/100)^2)</f>
        <v>29.9967126890204</v>
      </c>
    </row>
    <row r="83" customFormat="false" ht="14.25" hidden="false" customHeight="false" outlineLevel="0" collapsed="false">
      <c r="A83" s="1" t="n">
        <v>180</v>
      </c>
      <c r="B83" s="1" t="n">
        <v>87</v>
      </c>
      <c r="C83" s="1" t="n">
        <f aca="false">B83/((A83/100)^2)</f>
        <v>26.8518518518519</v>
      </c>
    </row>
    <row r="84" customFormat="false" ht="14.25" hidden="false" customHeight="false" outlineLevel="0" collapsed="false">
      <c r="A84" s="1" t="n">
        <v>197</v>
      </c>
      <c r="B84" s="1" t="n">
        <v>103</v>
      </c>
      <c r="C84" s="1" t="n">
        <f aca="false">B84/((A84/100)^2)</f>
        <v>26.5402355123811</v>
      </c>
    </row>
    <row r="85" customFormat="false" ht="14.25" hidden="false" customHeight="false" outlineLevel="0" collapsed="false">
      <c r="A85" s="1" t="n">
        <v>180</v>
      </c>
      <c r="B85" s="1" t="n">
        <v>72</v>
      </c>
      <c r="C85" s="1" t="n">
        <f aca="false">B85/((A85/100)^2)</f>
        <v>22.2222222222222</v>
      </c>
    </row>
    <row r="86" customFormat="false" ht="14.25" hidden="false" customHeight="false" outlineLevel="0" collapsed="false">
      <c r="B86" s="1" t="s">
        <v>1692</v>
      </c>
      <c r="C86" s="1" t="n">
        <f aca="false">AVERAGE(C3:C85)</f>
        <v>29.4805196778463</v>
      </c>
    </row>
    <row r="87" customFormat="false" ht="14.25" hidden="false" customHeight="false" outlineLevel="0" collapsed="false">
      <c r="B87" s="1" t="s">
        <v>1693</v>
      </c>
      <c r="C87" s="1" t="n">
        <f aca="false">_xlfn.STDEV.S(C3:C85)</f>
        <v>5.48522497399876</v>
      </c>
    </row>
    <row r="98" customFormat="false" ht="14.25" hidden="false" customHeight="false" outlineLevel="0" collapsed="false">
      <c r="A98" s="87" t="s">
        <v>1694</v>
      </c>
      <c r="B98" s="87" t="s">
        <v>1695</v>
      </c>
      <c r="C98" s="87" t="s">
        <v>1696</v>
      </c>
      <c r="D98" s="87" t="s">
        <v>1697</v>
      </c>
      <c r="E98" s="87" t="s">
        <v>1698</v>
      </c>
      <c r="F98" s="87" t="s">
        <v>1699</v>
      </c>
      <c r="G98" s="87" t="s">
        <v>1700</v>
      </c>
      <c r="H98" s="87" t="s">
        <v>1701</v>
      </c>
      <c r="I98" s="87" t="s">
        <v>1702</v>
      </c>
      <c r="J98" s="87" t="s">
        <v>1703</v>
      </c>
      <c r="L98" s="1" t="s">
        <v>1704</v>
      </c>
      <c r="M98" s="1" t="s">
        <v>1705</v>
      </c>
      <c r="N98" s="1" t="s">
        <v>1706</v>
      </c>
    </row>
    <row r="99" customFormat="false" ht="14.25" hidden="false" customHeight="false" outlineLevel="0" collapsed="false">
      <c r="A99" s="1" t="n">
        <v>308</v>
      </c>
      <c r="B99" s="1" t="n">
        <v>64</v>
      </c>
      <c r="C99" s="1" t="n">
        <v>81</v>
      </c>
      <c r="D99" s="1" t="n">
        <v>0</v>
      </c>
      <c r="E99" s="1" t="n">
        <v>16</v>
      </c>
      <c r="F99" s="1" t="n">
        <v>48</v>
      </c>
      <c r="G99" s="1" t="n">
        <v>74</v>
      </c>
      <c r="H99" s="1" t="n">
        <v>7</v>
      </c>
      <c r="I99" s="1" t="n">
        <v>11</v>
      </c>
      <c r="J99" s="1" t="n">
        <v>16</v>
      </c>
      <c r="K99" s="1" t="s">
        <v>1686</v>
      </c>
      <c r="L99" s="1" t="n">
        <f aca="false">C99/(A99/60)</f>
        <v>15.7792207792208</v>
      </c>
      <c r="M99" s="1" t="n">
        <f aca="false">D99/(A99/60)</f>
        <v>0</v>
      </c>
      <c r="N99" s="1" t="n">
        <f aca="false">SUM(E99:J99)/(A99/60)</f>
        <v>33.5064935064935</v>
      </c>
    </row>
    <row r="100" customFormat="false" ht="14.25" hidden="false" customHeight="false" outlineLevel="0" collapsed="false">
      <c r="A100" s="1" t="n">
        <v>359.5</v>
      </c>
      <c r="B100" s="1" t="n">
        <v>52</v>
      </c>
      <c r="C100" s="1" t="n">
        <v>81</v>
      </c>
      <c r="D100" s="1" t="n">
        <v>43</v>
      </c>
      <c r="E100" s="1" t="n">
        <v>0</v>
      </c>
      <c r="F100" s="1" t="n">
        <v>0</v>
      </c>
      <c r="G100" s="1" t="n">
        <v>1</v>
      </c>
      <c r="H100" s="1" t="n">
        <v>9</v>
      </c>
      <c r="I100" s="1" t="n">
        <v>0</v>
      </c>
      <c r="J100" s="1" t="n">
        <v>32</v>
      </c>
      <c r="L100" s="1" t="n">
        <f aca="false">C100/(A100/60)</f>
        <v>13.518776077886</v>
      </c>
      <c r="M100" s="1" t="n">
        <f aca="false">D100/(A100/60)</f>
        <v>7.17663421418637</v>
      </c>
      <c r="N100" s="1" t="n">
        <f aca="false">SUM(E100:J100)/(A100/60)</f>
        <v>7.00973574408901</v>
      </c>
    </row>
    <row r="101" customFormat="false" ht="14.25" hidden="false" customHeight="false" outlineLevel="0" collapsed="false">
      <c r="A101" s="1" t="n">
        <v>405.5</v>
      </c>
      <c r="B101" s="1" t="n">
        <v>38</v>
      </c>
      <c r="C101" s="1" t="n">
        <v>98</v>
      </c>
      <c r="D101" s="1" t="n">
        <v>21</v>
      </c>
      <c r="E101" s="1" t="n">
        <v>0</v>
      </c>
      <c r="F101" s="1" t="n">
        <v>8</v>
      </c>
      <c r="G101" s="1" t="n">
        <v>3</v>
      </c>
      <c r="H101" s="1" t="n">
        <v>7</v>
      </c>
      <c r="I101" s="1" t="n">
        <v>0</v>
      </c>
      <c r="J101" s="1" t="n">
        <v>1</v>
      </c>
      <c r="L101" s="1" t="n">
        <f aca="false">C101/(A101/60)</f>
        <v>14.5006165228113</v>
      </c>
      <c r="M101" s="1" t="n">
        <f aca="false">D101/(A101/60)</f>
        <v>3.10727496917386</v>
      </c>
      <c r="N101" s="1" t="n">
        <f aca="false">SUM(E101:J101)/(A101/60)</f>
        <v>2.81134401972873</v>
      </c>
    </row>
    <row r="102" customFormat="false" ht="14.25" hidden="false" customHeight="false" outlineLevel="0" collapsed="false">
      <c r="A102" s="1" t="n">
        <v>467.5</v>
      </c>
      <c r="B102" s="1" t="n">
        <v>27</v>
      </c>
      <c r="C102" s="1" t="n">
        <v>34</v>
      </c>
      <c r="D102" s="1" t="n">
        <v>0</v>
      </c>
      <c r="E102" s="1" t="n">
        <v>1</v>
      </c>
      <c r="F102" s="1" t="n">
        <v>23</v>
      </c>
      <c r="G102" s="1" t="n">
        <v>3</v>
      </c>
      <c r="H102" s="1" t="n">
        <v>3</v>
      </c>
      <c r="I102" s="1" t="n">
        <v>0</v>
      </c>
      <c r="J102" s="1" t="n">
        <v>55</v>
      </c>
      <c r="L102" s="1" t="n">
        <f aca="false">C102/(A102/60)</f>
        <v>4.36363636363636</v>
      </c>
      <c r="M102" s="1" t="n">
        <f aca="false">D102/(A102/60)</f>
        <v>0</v>
      </c>
      <c r="N102" s="1" t="n">
        <f aca="false">SUM(E102:J102)/(A102/60)</f>
        <v>10.9090909090909</v>
      </c>
    </row>
    <row r="103" customFormat="false" ht="14.25" hidden="false" customHeight="false" outlineLevel="0" collapsed="false">
      <c r="A103" s="1" t="n">
        <v>289.5</v>
      </c>
      <c r="B103" s="1" t="n">
        <v>58</v>
      </c>
      <c r="C103" s="1" t="n">
        <v>70</v>
      </c>
      <c r="D103" s="1" t="n">
        <v>4</v>
      </c>
      <c r="E103" s="1" t="n">
        <v>2</v>
      </c>
      <c r="F103" s="1" t="n">
        <v>32</v>
      </c>
      <c r="G103" s="1" t="n">
        <v>0</v>
      </c>
      <c r="H103" s="1" t="n">
        <v>0</v>
      </c>
      <c r="I103" s="1" t="n">
        <v>0</v>
      </c>
      <c r="J103" s="1" t="n">
        <v>9</v>
      </c>
      <c r="L103" s="1" t="n">
        <f aca="false">C103/(A103/60)</f>
        <v>14.5077720207254</v>
      </c>
      <c r="M103" s="1" t="n">
        <f aca="false">D103/(A103/60)</f>
        <v>0.829015544041451</v>
      </c>
      <c r="N103" s="1" t="n">
        <f aca="false">SUM(E103:J103)/(A103/60)</f>
        <v>8.9119170984456</v>
      </c>
    </row>
    <row r="104" customFormat="false" ht="14.25" hidden="false" customHeight="false" outlineLevel="0" collapsed="false">
      <c r="A104" s="1" t="n">
        <v>87.5</v>
      </c>
      <c r="B104" s="1" t="n">
        <v>22</v>
      </c>
      <c r="C104" s="1" t="n">
        <v>6</v>
      </c>
      <c r="D104" s="1" t="n">
        <v>308</v>
      </c>
      <c r="E104" s="1" t="n">
        <v>0</v>
      </c>
      <c r="F104" s="1" t="n">
        <v>0</v>
      </c>
      <c r="G104" s="1" t="n">
        <v>0</v>
      </c>
      <c r="H104" s="1" t="n">
        <v>5</v>
      </c>
      <c r="I104" s="1" t="n">
        <v>0</v>
      </c>
      <c r="J104" s="1" t="n">
        <v>0</v>
      </c>
      <c r="L104" s="1" t="n">
        <f aca="false">C104/(A104/60)</f>
        <v>4.11428571428572</v>
      </c>
      <c r="M104" s="1" t="n">
        <f aca="false">D104/(A104/60)</f>
        <v>211.2</v>
      </c>
      <c r="N104" s="1" t="n">
        <f aca="false">SUM(E104:J104)/(A104/60)</f>
        <v>3.42857142857143</v>
      </c>
    </row>
    <row r="105" customFormat="false" ht="14.25" hidden="false" customHeight="false" outlineLevel="0" collapsed="false">
      <c r="A105" s="1" t="n">
        <v>399.5</v>
      </c>
      <c r="C105" s="1" t="n">
        <v>43</v>
      </c>
      <c r="D105" s="1" t="n">
        <v>0</v>
      </c>
      <c r="E105" s="1" t="n">
        <v>1</v>
      </c>
      <c r="F105" s="1" t="n">
        <v>3</v>
      </c>
      <c r="G105" s="1" t="n">
        <v>38</v>
      </c>
      <c r="H105" s="1" t="n">
        <v>93</v>
      </c>
      <c r="I105" s="1" t="n">
        <v>0</v>
      </c>
      <c r="J105" s="1" t="n">
        <v>0</v>
      </c>
      <c r="L105" s="1" t="n">
        <f aca="false">C105/(A105/60)</f>
        <v>6.45807259073842</v>
      </c>
      <c r="M105" s="1" t="n">
        <f aca="false">D105/(A105/60)</f>
        <v>0</v>
      </c>
      <c r="N105" s="1" t="n">
        <f aca="false">SUM(E105:J105)/(A105/60)</f>
        <v>20.2753441802253</v>
      </c>
    </row>
    <row r="106" customFormat="false" ht="14.25" hidden="false" customHeight="false" outlineLevel="0" collapsed="false">
      <c r="A106" s="1" t="n">
        <v>341.5</v>
      </c>
      <c r="B106" s="1" t="n">
        <v>76</v>
      </c>
      <c r="C106" s="1" t="n">
        <v>58</v>
      </c>
      <c r="D106" s="1" t="n">
        <v>331</v>
      </c>
      <c r="E106" s="1" t="n">
        <v>20</v>
      </c>
      <c r="F106" s="1" t="n">
        <v>23</v>
      </c>
      <c r="G106" s="1" t="n">
        <v>6</v>
      </c>
      <c r="H106" s="1" t="n">
        <v>52</v>
      </c>
      <c r="I106" s="1" t="n">
        <v>0</v>
      </c>
      <c r="J106" s="1" t="n">
        <v>10</v>
      </c>
      <c r="L106" s="1" t="n">
        <f aca="false">C106/(A106/60)</f>
        <v>10.190336749634</v>
      </c>
      <c r="M106" s="1" t="n">
        <f aca="false">D106/(A106/60)</f>
        <v>58.1551976573939</v>
      </c>
      <c r="N106" s="1" t="n">
        <f aca="false">SUM(E106:J106)/(A106/60)</f>
        <v>19.502196193265</v>
      </c>
    </row>
    <row r="107" customFormat="false" ht="14.25" hidden="false" customHeight="false" outlineLevel="0" collapsed="false">
      <c r="A107" s="1" t="n">
        <v>409.5</v>
      </c>
      <c r="B107" s="1" t="n">
        <v>61</v>
      </c>
      <c r="C107" s="1" t="n">
        <v>98</v>
      </c>
      <c r="D107" s="1" t="n">
        <v>0</v>
      </c>
      <c r="E107" s="1" t="n">
        <v>58</v>
      </c>
      <c r="F107" s="1" t="n">
        <v>67</v>
      </c>
      <c r="G107" s="1" t="n">
        <v>0</v>
      </c>
      <c r="H107" s="1" t="n">
        <v>5</v>
      </c>
      <c r="I107" s="1" t="n">
        <v>0</v>
      </c>
      <c r="J107" s="1" t="n">
        <v>52</v>
      </c>
      <c r="L107" s="1" t="n">
        <f aca="false">C107/(A107/60)</f>
        <v>14.3589743589744</v>
      </c>
      <c r="M107" s="1" t="n">
        <f aca="false">D107/(A107/60)</f>
        <v>0</v>
      </c>
      <c r="N107" s="1" t="n">
        <f aca="false">SUM(E107:J107)/(A107/60)</f>
        <v>26.6666666666667</v>
      </c>
    </row>
    <row r="108" customFormat="false" ht="14.25" hidden="false" customHeight="false" outlineLevel="0" collapsed="false">
      <c r="A108" s="1" t="n">
        <v>261</v>
      </c>
      <c r="B108" s="1" t="n">
        <v>53</v>
      </c>
      <c r="C108" s="1" t="n">
        <v>66</v>
      </c>
      <c r="D108" s="1" t="n">
        <v>155</v>
      </c>
      <c r="E108" s="1" t="n">
        <v>19</v>
      </c>
      <c r="F108" s="1" t="n">
        <v>26</v>
      </c>
      <c r="G108" s="1" t="n">
        <v>2</v>
      </c>
      <c r="H108" s="1" t="n">
        <v>22</v>
      </c>
      <c r="I108" s="1" t="n">
        <v>0</v>
      </c>
      <c r="J108" s="1" t="n">
        <v>20</v>
      </c>
      <c r="L108" s="1" t="n">
        <f aca="false">C108/(A108/60)</f>
        <v>15.1724137931035</v>
      </c>
      <c r="M108" s="1" t="n">
        <f aca="false">D108/(A108/60)</f>
        <v>35.632183908046</v>
      </c>
      <c r="N108" s="1" t="n">
        <f aca="false">SUM(E108:J108)/(A108/60)</f>
        <v>20.4597701149425</v>
      </c>
    </row>
    <row r="109" customFormat="false" ht="14.25" hidden="false" customHeight="false" outlineLevel="0" collapsed="false">
      <c r="A109" s="1" t="n">
        <v>342</v>
      </c>
      <c r="B109" s="1" t="n">
        <v>80</v>
      </c>
      <c r="C109" s="1" t="n">
        <v>86</v>
      </c>
      <c r="D109" s="1" t="n">
        <v>32</v>
      </c>
      <c r="E109" s="1" t="n">
        <v>2</v>
      </c>
      <c r="F109" s="1" t="n">
        <v>27</v>
      </c>
      <c r="G109" s="1" t="n">
        <v>11</v>
      </c>
      <c r="H109" s="1" t="n">
        <v>10</v>
      </c>
      <c r="I109" s="1" t="n">
        <v>6</v>
      </c>
      <c r="J109" s="1" t="n">
        <v>26</v>
      </c>
      <c r="L109" s="1" t="n">
        <f aca="false">C109/(A109/60)</f>
        <v>15.0877192982456</v>
      </c>
      <c r="M109" s="1" t="n">
        <f aca="false">D109/(A109/60)</f>
        <v>5.6140350877193</v>
      </c>
      <c r="N109" s="1" t="n">
        <f aca="false">SUM(E109:J109)/(A109/60)</f>
        <v>14.3859649122807</v>
      </c>
    </row>
    <row r="110" customFormat="false" ht="14.25" hidden="false" customHeight="false" outlineLevel="0" collapsed="false">
      <c r="A110" s="1" t="n">
        <v>116</v>
      </c>
      <c r="B110" s="1" t="n">
        <v>79</v>
      </c>
      <c r="C110" s="1" t="n">
        <v>24</v>
      </c>
      <c r="D110" s="1" t="n">
        <v>0</v>
      </c>
      <c r="E110" s="1" t="n">
        <v>42</v>
      </c>
      <c r="F110" s="1" t="n">
        <v>23</v>
      </c>
      <c r="G110" s="1" t="n">
        <v>25</v>
      </c>
      <c r="H110" s="1" t="n">
        <v>59</v>
      </c>
      <c r="I110" s="1" t="n">
        <v>4</v>
      </c>
      <c r="J110" s="1" t="n">
        <v>0</v>
      </c>
      <c r="L110" s="1" t="n">
        <f aca="false">C110/(A110/60)</f>
        <v>12.4137931034483</v>
      </c>
      <c r="M110" s="1" t="n">
        <f aca="false">D110/(A110/60)</f>
        <v>0</v>
      </c>
      <c r="N110" s="1" t="n">
        <f aca="false">SUM(E110:J110)/(A110/60)</f>
        <v>79.1379310344828</v>
      </c>
    </row>
    <row r="111" customFormat="false" ht="14.25" hidden="false" customHeight="false" outlineLevel="0" collapsed="false">
      <c r="A111" s="1" t="n">
        <v>223</v>
      </c>
      <c r="B111" s="1" t="n">
        <v>65</v>
      </c>
      <c r="C111" s="1" t="n">
        <v>48</v>
      </c>
      <c r="D111" s="1" t="n">
        <v>7</v>
      </c>
      <c r="E111" s="1" t="n">
        <v>0</v>
      </c>
      <c r="F111" s="1" t="n">
        <v>2</v>
      </c>
      <c r="G111" s="1" t="n">
        <v>0</v>
      </c>
      <c r="H111" s="1" t="n">
        <v>2</v>
      </c>
      <c r="I111" s="1" t="n">
        <v>0</v>
      </c>
      <c r="J111" s="1" t="n">
        <v>0</v>
      </c>
      <c r="L111" s="1" t="n">
        <f aca="false">C111/(A111/60)</f>
        <v>12.914798206278</v>
      </c>
      <c r="M111" s="1" t="n">
        <f aca="false">D111/(A111/60)</f>
        <v>1.88340807174888</v>
      </c>
      <c r="N111" s="1" t="n">
        <f aca="false">SUM(E111:J111)/(A111/60)</f>
        <v>1.0762331838565</v>
      </c>
    </row>
    <row r="112" customFormat="false" ht="14.25" hidden="false" customHeight="false" outlineLevel="0" collapsed="false">
      <c r="A112" s="1" t="n">
        <v>296.5</v>
      </c>
      <c r="B112" s="1" t="n">
        <v>66</v>
      </c>
      <c r="C112" s="1" t="n">
        <v>44</v>
      </c>
      <c r="D112" s="1" t="n">
        <v>0</v>
      </c>
      <c r="E112" s="1" t="n">
        <v>8</v>
      </c>
      <c r="F112" s="1" t="n">
        <v>32</v>
      </c>
      <c r="G112" s="1" t="n">
        <v>0</v>
      </c>
      <c r="H112" s="1" t="n">
        <v>11</v>
      </c>
      <c r="I112" s="1" t="n">
        <v>0</v>
      </c>
      <c r="J112" s="1" t="n">
        <v>6</v>
      </c>
      <c r="L112" s="1" t="n">
        <f aca="false">C112/(A112/60)</f>
        <v>8.90387858347386</v>
      </c>
      <c r="M112" s="1" t="n">
        <f aca="false">D112/(A112/60)</f>
        <v>0</v>
      </c>
      <c r="N112" s="1" t="n">
        <f aca="false">SUM(E112:J112)/(A112/60)</f>
        <v>11.5345699831366</v>
      </c>
    </row>
    <row r="113" customFormat="false" ht="14.25" hidden="false" customHeight="false" outlineLevel="0" collapsed="false">
      <c r="A113" s="1" t="n">
        <v>363</v>
      </c>
      <c r="B113" s="1" t="n">
        <v>52</v>
      </c>
      <c r="C113" s="1" t="n">
        <v>111</v>
      </c>
      <c r="D113" s="1" t="n">
        <v>185</v>
      </c>
      <c r="E113" s="1" t="n">
        <v>31</v>
      </c>
      <c r="F113" s="1" t="n">
        <v>33</v>
      </c>
      <c r="G113" s="1" t="n">
        <v>1</v>
      </c>
      <c r="H113" s="1" t="n">
        <v>12</v>
      </c>
      <c r="I113" s="1" t="n">
        <v>0</v>
      </c>
      <c r="J113" s="1" t="n">
        <v>5</v>
      </c>
      <c r="L113" s="1" t="n">
        <f aca="false">C113/(A113/60)</f>
        <v>18.3471074380165</v>
      </c>
      <c r="M113" s="1" t="n">
        <f aca="false">D113/(A113/60)</f>
        <v>30.5785123966942</v>
      </c>
      <c r="N113" s="1" t="n">
        <f aca="false">SUM(E113:J113)/(A113/60)</f>
        <v>13.5537190082645</v>
      </c>
    </row>
    <row r="114" customFormat="false" ht="14.25" hidden="false" customHeight="false" outlineLevel="0" collapsed="false">
      <c r="A114" s="1" t="n">
        <v>237.5</v>
      </c>
      <c r="B114" s="1" t="n">
        <v>50</v>
      </c>
      <c r="C114" s="1" t="n">
        <v>72</v>
      </c>
      <c r="D114" s="1" t="n">
        <v>0</v>
      </c>
      <c r="E114" s="1" t="n">
        <v>78</v>
      </c>
      <c r="F114" s="1" t="n">
        <v>32</v>
      </c>
      <c r="G114" s="1" t="n">
        <v>14</v>
      </c>
      <c r="H114" s="1" t="n">
        <v>11</v>
      </c>
      <c r="I114" s="1" t="n">
        <v>64</v>
      </c>
      <c r="J114" s="1" t="n">
        <v>3</v>
      </c>
      <c r="L114" s="1" t="n">
        <f aca="false">C114/(A114/60)</f>
        <v>18.1894736842105</v>
      </c>
      <c r="M114" s="1" t="n">
        <f aca="false">D114/(A114/60)</f>
        <v>0</v>
      </c>
      <c r="N114" s="1" t="n">
        <f aca="false">SUM(E114:J114)/(A114/60)</f>
        <v>51.0315789473684</v>
      </c>
    </row>
    <row r="115" customFormat="false" ht="14.25" hidden="false" customHeight="false" outlineLevel="0" collapsed="false">
      <c r="A115" s="1" t="n">
        <v>431.5</v>
      </c>
      <c r="B115" s="1" t="n">
        <v>79</v>
      </c>
      <c r="C115" s="1" t="n">
        <v>48</v>
      </c>
      <c r="D115" s="1" t="n">
        <v>221</v>
      </c>
      <c r="E115" s="1" t="n">
        <v>0</v>
      </c>
      <c r="F115" s="1" t="n">
        <v>26</v>
      </c>
      <c r="G115" s="1" t="n">
        <v>0</v>
      </c>
      <c r="H115" s="1" t="n">
        <v>6</v>
      </c>
      <c r="I115" s="1" t="n">
        <v>0</v>
      </c>
      <c r="J115" s="1" t="n">
        <v>14</v>
      </c>
      <c r="L115" s="1" t="n">
        <f aca="false">C115/(A115/60)</f>
        <v>6.67439165701043</v>
      </c>
      <c r="M115" s="1" t="n">
        <f aca="false">D115/(A115/60)</f>
        <v>30.7300115874855</v>
      </c>
      <c r="N115" s="1" t="n">
        <f aca="false">SUM(E115:J115)/(A115/60)</f>
        <v>6.39629200463499</v>
      </c>
    </row>
    <row r="116" customFormat="false" ht="14.25" hidden="false" customHeight="false" outlineLevel="0" collapsed="false">
      <c r="A116" s="1" t="n">
        <v>245</v>
      </c>
      <c r="B116" s="1" t="n">
        <v>38</v>
      </c>
      <c r="C116" s="1" t="n">
        <v>48</v>
      </c>
      <c r="D116" s="1" t="n">
        <v>71</v>
      </c>
      <c r="E116" s="1" t="n">
        <v>61</v>
      </c>
      <c r="F116" s="1" t="n">
        <v>17</v>
      </c>
      <c r="G116" s="1" t="n">
        <v>0</v>
      </c>
      <c r="H116" s="1" t="n">
        <v>49</v>
      </c>
      <c r="I116" s="1" t="n">
        <v>0</v>
      </c>
      <c r="J116" s="1" t="n">
        <v>5</v>
      </c>
      <c r="L116" s="1" t="n">
        <f aca="false">C116/(A116/60)</f>
        <v>11.7551020408163</v>
      </c>
      <c r="M116" s="1" t="n">
        <f aca="false">D116/(A116/60)</f>
        <v>17.3877551020408</v>
      </c>
      <c r="N116" s="1" t="n">
        <f aca="false">SUM(E116:J116)/(A116/60)</f>
        <v>32.3265306122449</v>
      </c>
    </row>
    <row r="117" customFormat="false" ht="14.25" hidden="false" customHeight="false" outlineLevel="0" collapsed="false">
      <c r="A117" s="1" t="n">
        <v>339.5</v>
      </c>
      <c r="B117" s="1" t="n">
        <v>59</v>
      </c>
      <c r="C117" s="1" t="n">
        <v>35</v>
      </c>
      <c r="D117" s="1" t="n">
        <v>0</v>
      </c>
      <c r="E117" s="1" t="n">
        <v>27</v>
      </c>
      <c r="F117" s="1" t="n">
        <v>70</v>
      </c>
      <c r="G117" s="1" t="n">
        <v>5</v>
      </c>
      <c r="H117" s="1" t="n">
        <v>24</v>
      </c>
      <c r="I117" s="1" t="n">
        <v>1</v>
      </c>
      <c r="J117" s="1" t="n">
        <v>5</v>
      </c>
      <c r="L117" s="1" t="n">
        <f aca="false">C117/(A117/60)</f>
        <v>6.18556701030928</v>
      </c>
      <c r="M117" s="1" t="n">
        <f aca="false">D117/(A117/60)</f>
        <v>0</v>
      </c>
      <c r="N117" s="1" t="n">
        <f aca="false">SUM(E117:J117)/(A117/60)</f>
        <v>23.3284241531664</v>
      </c>
    </row>
    <row r="118" customFormat="false" ht="14.25" hidden="false" customHeight="false" outlineLevel="0" collapsed="false">
      <c r="A118" s="1" t="n">
        <v>338.5</v>
      </c>
      <c r="B118" s="1" t="n">
        <v>59</v>
      </c>
      <c r="C118" s="1" t="n">
        <v>88</v>
      </c>
      <c r="D118" s="1" t="n">
        <v>0</v>
      </c>
      <c r="E118" s="1" t="n">
        <v>73</v>
      </c>
      <c r="F118" s="1" t="n">
        <v>95</v>
      </c>
      <c r="G118" s="1" t="n">
        <v>0</v>
      </c>
      <c r="H118" s="1" t="n">
        <v>10</v>
      </c>
      <c r="I118" s="1" t="n">
        <v>0</v>
      </c>
      <c r="J118" s="1" t="n">
        <v>0</v>
      </c>
      <c r="L118" s="1" t="n">
        <f aca="false">C118/(A118/60)</f>
        <v>15.5982274741507</v>
      </c>
      <c r="M118" s="1" t="n">
        <f aca="false">D118/(A118/60)</f>
        <v>0</v>
      </c>
      <c r="N118" s="1" t="n">
        <f aca="false">SUM(E118:J118)/(A118/60)</f>
        <v>31.5509601181684</v>
      </c>
    </row>
    <row r="119" customFormat="false" ht="14.25" hidden="false" customHeight="false" outlineLevel="0" collapsed="false">
      <c r="A119" s="1" t="n">
        <v>271.5</v>
      </c>
      <c r="B119" s="1" t="n">
        <v>72</v>
      </c>
      <c r="C119" s="1" t="n">
        <v>86</v>
      </c>
      <c r="D119" s="1" t="n">
        <v>75</v>
      </c>
      <c r="E119" s="1" t="n">
        <v>6</v>
      </c>
      <c r="F119" s="1" t="n">
        <v>52</v>
      </c>
      <c r="G119" s="1" t="n">
        <v>0</v>
      </c>
      <c r="H119" s="1" t="n">
        <v>12</v>
      </c>
      <c r="I119" s="1" t="n">
        <v>0</v>
      </c>
      <c r="J119" s="1" t="n">
        <v>38</v>
      </c>
      <c r="L119" s="1" t="n">
        <f aca="false">C119/(A119/60)</f>
        <v>19.0055248618785</v>
      </c>
      <c r="M119" s="1" t="n">
        <f aca="false">D119/(A119/60)</f>
        <v>16.5745856353591</v>
      </c>
      <c r="N119" s="1" t="n">
        <f aca="false">SUM(E119:J119)/(A119/60)</f>
        <v>23.8674033149171</v>
      </c>
    </row>
    <row r="120" customFormat="false" ht="14.25" hidden="false" customHeight="false" outlineLevel="0" collapsed="false">
      <c r="A120" s="1" t="n">
        <v>313</v>
      </c>
      <c r="B120" s="1" t="n">
        <v>85</v>
      </c>
      <c r="C120" s="1" t="n">
        <v>53</v>
      </c>
      <c r="D120" s="1" t="n">
        <v>46</v>
      </c>
      <c r="E120" s="1" t="n">
        <v>9</v>
      </c>
      <c r="F120" s="1" t="n">
        <v>46</v>
      </c>
      <c r="G120" s="1" t="n">
        <v>2</v>
      </c>
      <c r="H120" s="1" t="n">
        <v>12</v>
      </c>
      <c r="I120" s="1" t="n">
        <v>0</v>
      </c>
      <c r="J120" s="1" t="n">
        <v>11</v>
      </c>
      <c r="L120" s="1" t="n">
        <f aca="false">C120/(A120/60)</f>
        <v>10.1597444089457</v>
      </c>
      <c r="M120" s="1" t="n">
        <f aca="false">D120/(A120/60)</f>
        <v>8.81789137380192</v>
      </c>
      <c r="N120" s="1" t="n">
        <f aca="false">SUM(E120:J120)/(A120/60)</f>
        <v>15.3354632587859</v>
      </c>
    </row>
    <row r="121" customFormat="false" ht="14.25" hidden="false" customHeight="false" outlineLevel="0" collapsed="false">
      <c r="A121" s="1" t="n">
        <v>315</v>
      </c>
      <c r="B121" s="1" t="n">
        <v>50</v>
      </c>
      <c r="C121" s="1" t="n">
        <v>66</v>
      </c>
      <c r="D121" s="1" t="n">
        <v>0</v>
      </c>
      <c r="E121" s="1" t="n">
        <v>5</v>
      </c>
      <c r="F121" s="1" t="n">
        <v>41</v>
      </c>
      <c r="G121" s="1" t="n">
        <v>3</v>
      </c>
      <c r="H121" s="1" t="n">
        <v>6</v>
      </c>
      <c r="I121" s="1" t="n">
        <v>0</v>
      </c>
      <c r="J121" s="1" t="n">
        <v>42</v>
      </c>
      <c r="L121" s="1" t="n">
        <f aca="false">C121/(A121/60)</f>
        <v>12.5714285714286</v>
      </c>
      <c r="M121" s="1" t="n">
        <f aca="false">D121/(A121/60)</f>
        <v>0</v>
      </c>
      <c r="N121" s="1" t="n">
        <f aca="false">SUM(E121:J121)/(A121/60)</f>
        <v>18.4761904761905</v>
      </c>
    </row>
    <row r="122" customFormat="false" ht="14.25" hidden="false" customHeight="false" outlineLevel="0" collapsed="false">
      <c r="A122" s="1" t="n">
        <v>392.5</v>
      </c>
      <c r="B122" s="1" t="n">
        <v>65</v>
      </c>
      <c r="C122" s="1" t="n">
        <v>48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8</v>
      </c>
      <c r="I122" s="1" t="n">
        <v>0</v>
      </c>
      <c r="J122" s="1" t="n">
        <v>3</v>
      </c>
      <c r="L122" s="1" t="n">
        <f aca="false">C122/(A122/60)</f>
        <v>7.33757961783439</v>
      </c>
      <c r="M122" s="1" t="n">
        <f aca="false">D122/(A122/60)</f>
        <v>0</v>
      </c>
      <c r="N122" s="1" t="n">
        <f aca="false">SUM(E122:J122)/(A122/60)</f>
        <v>1.68152866242038</v>
      </c>
    </row>
    <row r="123" customFormat="false" ht="14.25" hidden="false" customHeight="false" outlineLevel="0" collapsed="false">
      <c r="A123" s="1" t="n">
        <v>379.5</v>
      </c>
      <c r="B123" s="1" t="n">
        <v>29</v>
      </c>
      <c r="C123" s="1" t="n">
        <v>198</v>
      </c>
      <c r="D123" s="1" t="n">
        <v>0</v>
      </c>
      <c r="E123" s="1" t="n">
        <v>107</v>
      </c>
      <c r="F123" s="1" t="n">
        <v>148</v>
      </c>
      <c r="G123" s="1" t="n">
        <v>0</v>
      </c>
      <c r="H123" s="1" t="n">
        <v>19</v>
      </c>
      <c r="I123" s="1" t="n">
        <v>1</v>
      </c>
      <c r="J123" s="1" t="n">
        <v>5</v>
      </c>
      <c r="L123" s="1" t="n">
        <f aca="false">C123/(A123/60)</f>
        <v>31.304347826087</v>
      </c>
      <c r="M123" s="1" t="n">
        <f aca="false">D123/(A123/60)</f>
        <v>0</v>
      </c>
      <c r="N123" s="1" t="n">
        <f aca="false">SUM(E123:J123)/(A123/60)</f>
        <v>44.2687747035573</v>
      </c>
    </row>
    <row r="124" customFormat="false" ht="14.25" hidden="false" customHeight="false" outlineLevel="0" collapsed="false">
      <c r="A124" s="1" t="n">
        <v>309</v>
      </c>
      <c r="B124" s="1" t="n">
        <v>69</v>
      </c>
      <c r="C124" s="1" t="n">
        <v>37</v>
      </c>
      <c r="D124" s="1" t="n">
        <v>33</v>
      </c>
      <c r="E124" s="1" t="n">
        <v>0</v>
      </c>
      <c r="F124" s="1" t="n">
        <v>2</v>
      </c>
      <c r="G124" s="1" t="n">
        <v>0</v>
      </c>
      <c r="H124" s="1" t="n">
        <v>11</v>
      </c>
      <c r="I124" s="1" t="n">
        <v>0</v>
      </c>
      <c r="J124" s="1" t="n">
        <v>11</v>
      </c>
      <c r="L124" s="1" t="n">
        <f aca="false">C124/(A124/60)</f>
        <v>7.18446601941748</v>
      </c>
      <c r="M124" s="1" t="n">
        <f aca="false">D124/(A124/60)</f>
        <v>6.40776699029126</v>
      </c>
      <c r="N124" s="1" t="n">
        <f aca="false">SUM(E124:J124)/(A124/60)</f>
        <v>4.66019417475728</v>
      </c>
    </row>
    <row r="125" customFormat="false" ht="14.25" hidden="false" customHeight="false" outlineLevel="0" collapsed="false">
      <c r="A125" s="1" t="n">
        <v>410.5</v>
      </c>
      <c r="B125" s="1" t="n">
        <v>26</v>
      </c>
      <c r="C125" s="1" t="n">
        <v>102</v>
      </c>
      <c r="D125" s="1" t="n">
        <v>4</v>
      </c>
      <c r="E125" s="1" t="n">
        <v>1</v>
      </c>
      <c r="F125" s="1" t="n">
        <v>127</v>
      </c>
      <c r="G125" s="1" t="n">
        <v>1</v>
      </c>
      <c r="H125" s="1" t="n">
        <v>16</v>
      </c>
      <c r="I125" s="1" t="n">
        <v>0</v>
      </c>
      <c r="J125" s="1" t="n">
        <v>5</v>
      </c>
      <c r="L125" s="1" t="n">
        <f aca="false">C125/(A125/60)</f>
        <v>14.9086479902558</v>
      </c>
      <c r="M125" s="1" t="n">
        <f aca="false">D125/(A125/60)</f>
        <v>0.584652862362972</v>
      </c>
      <c r="N125" s="1" t="n">
        <f aca="false">SUM(E125:J125)/(A125/60)</f>
        <v>21.9244823386114</v>
      </c>
    </row>
    <row r="126" customFormat="false" ht="14.25" hidden="false" customHeight="false" outlineLevel="0" collapsed="false">
      <c r="A126" s="1" t="n">
        <v>335.5</v>
      </c>
      <c r="B126" s="1" t="n">
        <v>62</v>
      </c>
      <c r="C126" s="1" t="n">
        <v>127</v>
      </c>
      <c r="D126" s="1" t="n">
        <v>12</v>
      </c>
      <c r="E126" s="1" t="n">
        <v>0</v>
      </c>
      <c r="F126" s="1" t="n">
        <v>7</v>
      </c>
      <c r="G126" s="1" t="n">
        <v>0</v>
      </c>
      <c r="H126" s="1" t="n">
        <v>6</v>
      </c>
      <c r="I126" s="1" t="n">
        <v>0</v>
      </c>
      <c r="J126" s="1" t="n">
        <v>1</v>
      </c>
      <c r="L126" s="1" t="n">
        <f aca="false">C126/(A126/60)</f>
        <v>22.7123695976155</v>
      </c>
      <c r="M126" s="1" t="n">
        <f aca="false">D126/(A126/60)</f>
        <v>2.14605067064083</v>
      </c>
      <c r="N126" s="1" t="n">
        <f aca="false">SUM(E126:J126)/(A126/60)</f>
        <v>2.50372578241431</v>
      </c>
    </row>
    <row r="127" customFormat="false" ht="14.25" hidden="false" customHeight="false" outlineLevel="0" collapsed="false">
      <c r="A127" s="1" t="n">
        <v>305.5</v>
      </c>
      <c r="B127" s="1" t="n">
        <v>42</v>
      </c>
      <c r="C127" s="1" t="n">
        <v>85</v>
      </c>
      <c r="D127" s="1" t="n">
        <v>2</v>
      </c>
      <c r="E127" s="1" t="n">
        <v>1</v>
      </c>
      <c r="F127" s="1" t="n">
        <v>60</v>
      </c>
      <c r="G127" s="1" t="n">
        <v>0</v>
      </c>
      <c r="H127" s="1" t="n">
        <v>6</v>
      </c>
      <c r="I127" s="1" t="n">
        <v>0</v>
      </c>
      <c r="J127" s="1" t="n">
        <v>6</v>
      </c>
      <c r="L127" s="1" t="n">
        <f aca="false">C127/(A127/60)</f>
        <v>16.6939443535188</v>
      </c>
      <c r="M127" s="1" t="n">
        <f aca="false">D127/(A127/60)</f>
        <v>0.392798690671031</v>
      </c>
      <c r="N127" s="1" t="n">
        <f aca="false">SUM(E127:J127)/(A127/60)</f>
        <v>14.3371522094926</v>
      </c>
    </row>
    <row r="128" customFormat="false" ht="14.25" hidden="false" customHeight="false" outlineLevel="0" collapsed="false">
      <c r="A128" s="1" t="n">
        <v>393</v>
      </c>
      <c r="B128" s="1" t="n">
        <v>51</v>
      </c>
      <c r="C128" s="1" t="n">
        <v>97</v>
      </c>
      <c r="D128" s="1" t="n">
        <v>0</v>
      </c>
      <c r="E128" s="1" t="n">
        <v>1</v>
      </c>
      <c r="F128" s="1" t="n">
        <v>2</v>
      </c>
      <c r="G128" s="1" t="n">
        <v>0</v>
      </c>
      <c r="H128" s="1" t="n">
        <v>3</v>
      </c>
      <c r="I128" s="1" t="n">
        <v>0</v>
      </c>
      <c r="J128" s="1" t="n">
        <v>16</v>
      </c>
      <c r="L128" s="1" t="n">
        <f aca="false">C128/(A128/60)</f>
        <v>14.8091603053435</v>
      </c>
      <c r="M128" s="1" t="n">
        <f aca="false">D128/(A128/60)</f>
        <v>0</v>
      </c>
      <c r="N128" s="1" t="n">
        <f aca="false">SUM(E128:J128)/(A128/60)</f>
        <v>3.3587786259542</v>
      </c>
    </row>
    <row r="129" customFormat="false" ht="14.25" hidden="false" customHeight="false" outlineLevel="0" collapsed="false">
      <c r="A129" s="1" t="n">
        <v>479</v>
      </c>
      <c r="B129" s="1" t="n">
        <v>29</v>
      </c>
      <c r="C129" s="1" t="n">
        <v>148</v>
      </c>
      <c r="D129" s="1" t="n">
        <v>0</v>
      </c>
      <c r="E129" s="1" t="n">
        <v>0</v>
      </c>
      <c r="F129" s="1" t="n">
        <v>8</v>
      </c>
      <c r="G129" s="1" t="n">
        <v>0</v>
      </c>
      <c r="H129" s="1" t="n">
        <v>3</v>
      </c>
      <c r="I129" s="1" t="n">
        <v>0</v>
      </c>
      <c r="J129" s="1" t="n">
        <v>6</v>
      </c>
      <c r="L129" s="1" t="n">
        <f aca="false">C129/(A129/60)</f>
        <v>18.5386221294363</v>
      </c>
      <c r="M129" s="1" t="n">
        <f aca="false">D129/(A129/60)</f>
        <v>0</v>
      </c>
      <c r="N129" s="1" t="n">
        <f aca="false">SUM(E129:J129)/(A129/60)</f>
        <v>2.1294363256785</v>
      </c>
    </row>
    <row r="130" customFormat="false" ht="14.25" hidden="false" customHeight="false" outlineLevel="0" collapsed="false">
      <c r="A130" s="1" t="n">
        <v>233</v>
      </c>
      <c r="B130" s="1" t="n">
        <v>65</v>
      </c>
      <c r="C130" s="1" t="n">
        <v>60</v>
      </c>
      <c r="D130" s="1" t="n">
        <v>100</v>
      </c>
      <c r="E130" s="1" t="n">
        <v>0</v>
      </c>
      <c r="F130" s="1" t="n">
        <v>64</v>
      </c>
      <c r="G130" s="1" t="n">
        <v>0</v>
      </c>
      <c r="H130" s="1" t="n">
        <v>7</v>
      </c>
      <c r="I130" s="1" t="n">
        <v>0</v>
      </c>
      <c r="J130" s="1" t="n">
        <v>1</v>
      </c>
      <c r="L130" s="1" t="n">
        <f aca="false">C130/(A130/60)</f>
        <v>15.450643776824</v>
      </c>
      <c r="M130" s="1" t="n">
        <f aca="false">D130/(A130/60)</f>
        <v>25.7510729613734</v>
      </c>
      <c r="N130" s="1" t="n">
        <f aca="false">SUM(E130:J130)/(A130/60)</f>
        <v>18.5407725321888</v>
      </c>
    </row>
    <row r="131" customFormat="false" ht="14.25" hidden="false" customHeight="false" outlineLevel="0" collapsed="false">
      <c r="A131" s="1" t="n">
        <v>396.5</v>
      </c>
      <c r="B131" s="1" t="n">
        <v>32</v>
      </c>
      <c r="C131" s="1" t="n">
        <v>193</v>
      </c>
      <c r="D131" s="1" t="n">
        <v>151</v>
      </c>
      <c r="E131" s="1" t="n">
        <v>0</v>
      </c>
      <c r="F131" s="1" t="n">
        <v>40</v>
      </c>
      <c r="G131" s="1" t="n">
        <v>0</v>
      </c>
      <c r="H131" s="1" t="n">
        <v>5</v>
      </c>
      <c r="I131" s="1" t="n">
        <v>0</v>
      </c>
      <c r="J131" s="1" t="n">
        <v>24</v>
      </c>
      <c r="L131" s="1" t="n">
        <f aca="false">C131/(A131/60)</f>
        <v>29.2055485498108</v>
      </c>
      <c r="M131" s="1" t="n">
        <f aca="false">D131/(A131/60)</f>
        <v>22.8499369482976</v>
      </c>
      <c r="N131" s="1" t="n">
        <f aca="false">SUM(E131:J131)/(A131/60)</f>
        <v>10.4413619167718</v>
      </c>
    </row>
    <row r="132" customFormat="false" ht="14.25" hidden="false" customHeight="false" outlineLevel="0" collapsed="false">
      <c r="A132" s="1" t="n">
        <v>222</v>
      </c>
      <c r="B132" s="1" t="n">
        <v>43</v>
      </c>
      <c r="C132" s="1" t="n">
        <v>32</v>
      </c>
      <c r="D132" s="1" t="n">
        <v>0</v>
      </c>
      <c r="E132" s="1" t="n">
        <v>19</v>
      </c>
      <c r="F132" s="1" t="n">
        <v>39</v>
      </c>
      <c r="G132" s="1" t="n">
        <v>0</v>
      </c>
      <c r="H132" s="1" t="n">
        <v>8</v>
      </c>
      <c r="I132" s="1" t="n">
        <v>0</v>
      </c>
      <c r="J132" s="1" t="n">
        <v>22</v>
      </c>
      <c r="L132" s="1" t="n">
        <f aca="false">C132/(A132/60)</f>
        <v>8.64864864864865</v>
      </c>
      <c r="M132" s="1" t="n">
        <f aca="false">D132/(A132/60)</f>
        <v>0</v>
      </c>
      <c r="N132" s="1" t="n">
        <f aca="false">SUM(E132:J132)/(A132/60)</f>
        <v>23.7837837837838</v>
      </c>
    </row>
    <row r="133" customFormat="false" ht="14.25" hidden="false" customHeight="false" outlineLevel="0" collapsed="false">
      <c r="A133" s="1" t="n">
        <v>345</v>
      </c>
      <c r="B133" s="1" t="n">
        <v>59</v>
      </c>
      <c r="C133" s="1" t="n">
        <v>91</v>
      </c>
      <c r="D133" s="1" t="n">
        <v>0</v>
      </c>
      <c r="E133" s="1" t="n">
        <v>1</v>
      </c>
      <c r="F133" s="1" t="n">
        <v>18</v>
      </c>
      <c r="G133" s="1" t="n">
        <v>0</v>
      </c>
      <c r="H133" s="1" t="n">
        <v>7</v>
      </c>
      <c r="I133" s="1" t="n">
        <v>0</v>
      </c>
      <c r="J133" s="1" t="n">
        <v>2</v>
      </c>
      <c r="L133" s="1" t="n">
        <f aca="false">C133/(A133/60)</f>
        <v>15.8260869565217</v>
      </c>
      <c r="M133" s="1" t="n">
        <f aca="false">D133/(A133/60)</f>
        <v>0</v>
      </c>
      <c r="N133" s="1" t="n">
        <f aca="false">SUM(E133:J133)/(A133/60)</f>
        <v>4.86956521739131</v>
      </c>
    </row>
    <row r="134" customFormat="false" ht="14.25" hidden="false" customHeight="false" outlineLevel="0" collapsed="false">
      <c r="A134" s="1" t="n">
        <v>306.5</v>
      </c>
      <c r="B134" s="1" t="n">
        <v>36</v>
      </c>
      <c r="C134" s="1" t="n">
        <v>70</v>
      </c>
      <c r="D134" s="1" t="n">
        <v>0</v>
      </c>
      <c r="E134" s="1" t="n">
        <v>6</v>
      </c>
      <c r="F134" s="1" t="n">
        <v>57</v>
      </c>
      <c r="G134" s="1" t="n">
        <v>17</v>
      </c>
      <c r="H134" s="1" t="n">
        <v>2</v>
      </c>
      <c r="I134" s="1" t="n">
        <v>0</v>
      </c>
      <c r="J134" s="1" t="n">
        <v>11</v>
      </c>
      <c r="L134" s="1" t="n">
        <f aca="false">C134/(A134/60)</f>
        <v>13.7030995106036</v>
      </c>
      <c r="M134" s="1" t="n">
        <f aca="false">D134/(A134/60)</f>
        <v>0</v>
      </c>
      <c r="N134" s="1" t="n">
        <f aca="false">SUM(E134:J134)/(A134/60)</f>
        <v>18.2055464926591</v>
      </c>
    </row>
    <row r="135" customFormat="false" ht="14.25" hidden="false" customHeight="false" outlineLevel="0" collapsed="false">
      <c r="A135" s="1" t="n">
        <v>410</v>
      </c>
      <c r="B135" s="1" t="n">
        <v>52</v>
      </c>
      <c r="C135" s="1" t="n">
        <v>75</v>
      </c>
      <c r="D135" s="1" t="n">
        <v>0</v>
      </c>
      <c r="E135" s="1" t="n">
        <v>66</v>
      </c>
      <c r="F135" s="1" t="n">
        <v>78</v>
      </c>
      <c r="G135" s="1" t="n">
        <v>2</v>
      </c>
      <c r="H135" s="1" t="n">
        <v>11</v>
      </c>
      <c r="I135" s="1" t="n">
        <v>0</v>
      </c>
      <c r="J135" s="1" t="n">
        <v>11</v>
      </c>
      <c r="L135" s="1" t="n">
        <f aca="false">C135/(A135/60)</f>
        <v>10.9756097560976</v>
      </c>
      <c r="M135" s="1" t="n">
        <f aca="false">D135/(A135/60)</f>
        <v>0</v>
      </c>
      <c r="N135" s="1" t="n">
        <f aca="false">SUM(E135:J135)/(A135/60)</f>
        <v>24.5853658536585</v>
      </c>
    </row>
    <row r="136" customFormat="false" ht="14.25" hidden="false" customHeight="false" outlineLevel="0" collapsed="false">
      <c r="A136" s="1" t="n">
        <v>281.5</v>
      </c>
      <c r="B136" s="1" t="n">
        <v>37</v>
      </c>
      <c r="C136" s="1" t="n">
        <v>48</v>
      </c>
      <c r="D136" s="1" t="n">
        <v>5</v>
      </c>
      <c r="E136" s="1" t="n">
        <v>12</v>
      </c>
      <c r="F136" s="1" t="n">
        <v>6</v>
      </c>
      <c r="G136" s="1" t="n">
        <v>0</v>
      </c>
      <c r="H136" s="1" t="n">
        <v>9</v>
      </c>
      <c r="I136" s="1" t="n">
        <v>0</v>
      </c>
      <c r="J136" s="1" t="n">
        <v>45</v>
      </c>
      <c r="L136" s="1" t="n">
        <f aca="false">C136/(A136/60)</f>
        <v>10.2309058614565</v>
      </c>
      <c r="M136" s="1" t="n">
        <f aca="false">D136/(A136/60)</f>
        <v>1.06571936056838</v>
      </c>
      <c r="N136" s="1" t="n">
        <f aca="false">SUM(E136:J136)/(A136/60)</f>
        <v>15.3463587921847</v>
      </c>
    </row>
    <row r="137" customFormat="false" ht="14.25" hidden="false" customHeight="false" outlineLevel="0" collapsed="false">
      <c r="A137" s="1" t="n">
        <v>160.5</v>
      </c>
      <c r="B137" s="1" t="n">
        <v>62</v>
      </c>
      <c r="C137" s="1" t="n">
        <v>22</v>
      </c>
      <c r="D137" s="1" t="n">
        <v>14</v>
      </c>
      <c r="E137" s="1" t="n">
        <v>1</v>
      </c>
      <c r="F137" s="1" t="n">
        <v>0</v>
      </c>
      <c r="G137" s="1" t="n">
        <v>0</v>
      </c>
      <c r="H137" s="1" t="n">
        <v>3</v>
      </c>
      <c r="I137" s="1" t="n">
        <v>0</v>
      </c>
      <c r="J137" s="1" t="n">
        <v>4</v>
      </c>
      <c r="L137" s="1" t="n">
        <f aca="false">C137/(A137/60)</f>
        <v>8.22429906542056</v>
      </c>
      <c r="M137" s="1" t="n">
        <f aca="false">D137/(A137/60)</f>
        <v>5.23364485981309</v>
      </c>
      <c r="N137" s="1" t="n">
        <f aca="false">SUM(E137:J137)/(A137/60)</f>
        <v>2.99065420560748</v>
      </c>
    </row>
    <row r="138" customFormat="false" ht="14.25" hidden="false" customHeight="false" outlineLevel="0" collapsed="false">
      <c r="A138" s="1" t="n">
        <v>382.5</v>
      </c>
      <c r="B138" s="1" t="n">
        <v>66</v>
      </c>
      <c r="C138" s="1" t="n">
        <v>91</v>
      </c>
      <c r="D138" s="1" t="n">
        <v>0</v>
      </c>
      <c r="E138" s="1" t="n">
        <v>43</v>
      </c>
      <c r="F138" s="1" t="n">
        <v>92</v>
      </c>
      <c r="G138" s="1" t="n">
        <v>0</v>
      </c>
      <c r="H138" s="1" t="n">
        <v>3</v>
      </c>
      <c r="I138" s="1" t="n">
        <v>0</v>
      </c>
      <c r="J138" s="1" t="n">
        <v>21</v>
      </c>
      <c r="L138" s="1" t="n">
        <f aca="false">C138/(A138/60)</f>
        <v>14.2745098039216</v>
      </c>
      <c r="M138" s="1" t="n">
        <f aca="false">D138/(A138/60)</f>
        <v>0</v>
      </c>
      <c r="N138" s="1" t="n">
        <f aca="false">SUM(E138:J138)/(A138/60)</f>
        <v>24.9411764705882</v>
      </c>
    </row>
    <row r="139" customFormat="false" ht="14.25" hidden="false" customHeight="false" outlineLevel="0" collapsed="false">
      <c r="A139" s="1" t="n">
        <v>212</v>
      </c>
      <c r="B139" s="1" t="n">
        <v>67</v>
      </c>
      <c r="C139" s="1" t="n">
        <v>92</v>
      </c>
      <c r="D139" s="1" t="n">
        <v>0</v>
      </c>
      <c r="E139" s="1" t="n">
        <v>6</v>
      </c>
      <c r="F139" s="1" t="n">
        <v>66</v>
      </c>
      <c r="G139" s="1" t="n">
        <v>0</v>
      </c>
      <c r="H139" s="1" t="n">
        <v>7</v>
      </c>
      <c r="I139" s="1" t="n">
        <v>0</v>
      </c>
      <c r="J139" s="1" t="n">
        <v>37</v>
      </c>
      <c r="L139" s="1" t="n">
        <f aca="false">C139/(A139/60)</f>
        <v>26.0377358490566</v>
      </c>
      <c r="M139" s="1" t="n">
        <f aca="false">D139/(A139/60)</f>
        <v>0</v>
      </c>
      <c r="N139" s="1" t="n">
        <f aca="false">SUM(E139:J139)/(A139/60)</f>
        <v>32.8301886792453</v>
      </c>
    </row>
    <row r="140" customFormat="false" ht="14.25" hidden="false" customHeight="false" outlineLevel="0" collapsed="false">
      <c r="A140" s="1" t="n">
        <v>338</v>
      </c>
      <c r="B140" s="1" t="n">
        <v>44</v>
      </c>
      <c r="C140" s="1" t="n">
        <v>158</v>
      </c>
      <c r="D140" s="1" t="n">
        <v>0</v>
      </c>
      <c r="E140" s="1" t="n">
        <v>236</v>
      </c>
      <c r="F140" s="1" t="n">
        <v>237</v>
      </c>
      <c r="G140" s="1" t="n">
        <v>2</v>
      </c>
      <c r="H140" s="1" t="n">
        <v>10</v>
      </c>
      <c r="I140" s="1" t="n">
        <v>0</v>
      </c>
      <c r="J140" s="1" t="n">
        <v>0</v>
      </c>
      <c r="L140" s="1" t="n">
        <f aca="false">C140/(A140/60)</f>
        <v>28.0473372781065</v>
      </c>
      <c r="M140" s="1" t="n">
        <f aca="false">D140/(A140/60)</f>
        <v>0</v>
      </c>
      <c r="N140" s="1" t="n">
        <f aca="false">SUM(E140:J140)/(A140/60)</f>
        <v>86.094674556213</v>
      </c>
    </row>
    <row r="141" customFormat="false" ht="14.25" hidden="false" customHeight="false" outlineLevel="0" collapsed="false">
      <c r="A141" s="1" t="n">
        <v>421</v>
      </c>
      <c r="B141" s="1" t="n">
        <v>46</v>
      </c>
      <c r="C141" s="1" t="n">
        <v>96</v>
      </c>
      <c r="D141" s="1" t="n">
        <v>0</v>
      </c>
      <c r="E141" s="1" t="n">
        <v>14</v>
      </c>
      <c r="F141" s="1" t="n">
        <v>5</v>
      </c>
      <c r="G141" s="1" t="n">
        <v>6</v>
      </c>
      <c r="H141" s="1" t="n">
        <v>5</v>
      </c>
      <c r="I141" s="1" t="n">
        <v>0</v>
      </c>
      <c r="J141" s="1" t="n">
        <v>24</v>
      </c>
      <c r="L141" s="1" t="n">
        <f aca="false">C141/(A141/60)</f>
        <v>13.6817102137767</v>
      </c>
      <c r="M141" s="1" t="n">
        <f aca="false">D141/(A141/60)</f>
        <v>0</v>
      </c>
      <c r="N141" s="1" t="n">
        <f aca="false">SUM(E141:J141)/(A141/60)</f>
        <v>7.69596199524941</v>
      </c>
    </row>
    <row r="142" customFormat="false" ht="14.25" hidden="false" customHeight="false" outlineLevel="0" collapsed="false">
      <c r="A142" s="1" t="n">
        <v>382</v>
      </c>
      <c r="B142" s="1" t="n">
        <v>60</v>
      </c>
      <c r="C142" s="1" t="n">
        <v>83</v>
      </c>
      <c r="D142" s="1" t="n">
        <v>0</v>
      </c>
      <c r="E142" s="1" t="n">
        <v>1</v>
      </c>
      <c r="F142" s="1" t="n">
        <v>81</v>
      </c>
      <c r="G142" s="1" t="n">
        <v>0</v>
      </c>
      <c r="H142" s="1" t="n">
        <v>8</v>
      </c>
      <c r="I142" s="1" t="n">
        <v>0</v>
      </c>
      <c r="J142" s="1" t="n">
        <v>8</v>
      </c>
      <c r="L142" s="1" t="n">
        <f aca="false">C142/(A142/60)</f>
        <v>13.0366492146597</v>
      </c>
      <c r="M142" s="1" t="n">
        <f aca="false">D142/(A142/60)</f>
        <v>0</v>
      </c>
      <c r="N142" s="1" t="n">
        <f aca="false">SUM(E142:J142)/(A142/60)</f>
        <v>15.3926701570681</v>
      </c>
    </row>
    <row r="143" customFormat="false" ht="14.25" hidden="false" customHeight="false" outlineLevel="0" collapsed="false">
      <c r="A143" s="1" t="n">
        <v>362.5</v>
      </c>
      <c r="B143" s="1" t="n">
        <v>28</v>
      </c>
      <c r="C143" s="1" t="n">
        <v>63</v>
      </c>
      <c r="D143" s="1" t="n">
        <v>0</v>
      </c>
      <c r="E143" s="1" t="n">
        <v>28</v>
      </c>
      <c r="F143" s="1" t="n">
        <v>5</v>
      </c>
      <c r="G143" s="1" t="n">
        <v>5</v>
      </c>
      <c r="H143" s="1" t="n">
        <v>8</v>
      </c>
      <c r="I143" s="1" t="n">
        <v>0</v>
      </c>
      <c r="J143" s="1" t="n">
        <v>4</v>
      </c>
      <c r="L143" s="1" t="n">
        <f aca="false">C143/(A143/60)</f>
        <v>10.4275862068966</v>
      </c>
      <c r="M143" s="1" t="n">
        <f aca="false">D143/(A143/60)</f>
        <v>0</v>
      </c>
      <c r="N143" s="1" t="n">
        <f aca="false">SUM(E143:J143)/(A143/60)</f>
        <v>8.27586206896552</v>
      </c>
    </row>
    <row r="144" customFormat="false" ht="14.25" hidden="false" customHeight="false" outlineLevel="0" collapsed="false">
      <c r="A144" s="1" t="n">
        <v>276</v>
      </c>
      <c r="B144" s="1" t="n">
        <v>65</v>
      </c>
      <c r="C144" s="1" t="n">
        <v>72</v>
      </c>
      <c r="D144" s="1" t="n">
        <v>125</v>
      </c>
      <c r="E144" s="1" t="n">
        <v>6</v>
      </c>
      <c r="F144" s="1" t="n">
        <v>13</v>
      </c>
      <c r="G144" s="1" t="n">
        <v>0</v>
      </c>
      <c r="H144" s="1" t="n">
        <v>7</v>
      </c>
      <c r="I144" s="1" t="n">
        <v>0</v>
      </c>
      <c r="J144" s="1" t="n">
        <v>6</v>
      </c>
      <c r="L144" s="1" t="n">
        <f aca="false">C144/(A144/60)</f>
        <v>15.6521739130435</v>
      </c>
      <c r="M144" s="1" t="n">
        <f aca="false">D144/(A144/60)</f>
        <v>27.1739130434783</v>
      </c>
      <c r="N144" s="1" t="n">
        <f aca="false">SUM(E144:J144)/(A144/60)</f>
        <v>6.95652173913044</v>
      </c>
    </row>
    <row r="145" customFormat="false" ht="14.25" hidden="false" customHeight="false" outlineLevel="0" collapsed="false">
      <c r="A145" s="1" t="n">
        <v>385</v>
      </c>
      <c r="B145" s="1" t="n">
        <v>23</v>
      </c>
      <c r="C145" s="1" t="n">
        <v>77</v>
      </c>
      <c r="D145" s="1" t="n">
        <v>21</v>
      </c>
      <c r="E145" s="1" t="n">
        <v>0</v>
      </c>
      <c r="F145" s="1" t="n">
        <v>0</v>
      </c>
      <c r="G145" s="1" t="n">
        <v>15</v>
      </c>
      <c r="H145" s="1" t="n">
        <v>5</v>
      </c>
      <c r="I145" s="1" t="n">
        <v>0</v>
      </c>
      <c r="J145" s="1" t="n">
        <v>0</v>
      </c>
      <c r="L145" s="1" t="n">
        <f aca="false">C145/(A145/60)</f>
        <v>12</v>
      </c>
      <c r="M145" s="1" t="n">
        <f aca="false">D145/(A145/60)</f>
        <v>3.27272727272727</v>
      </c>
      <c r="N145" s="1" t="n">
        <f aca="false">SUM(E145:J145)/(A145/60)</f>
        <v>3.11688311688312</v>
      </c>
    </row>
    <row r="146" customFormat="false" ht="14.25" hidden="false" customHeight="false" outlineLevel="0" collapsed="false">
      <c r="A146" s="1" t="n">
        <v>309</v>
      </c>
      <c r="B146" s="1" t="n">
        <v>62</v>
      </c>
      <c r="C146" s="1" t="n">
        <v>91</v>
      </c>
      <c r="D146" s="1" t="n">
        <v>9</v>
      </c>
      <c r="E146" s="1" t="n">
        <v>10</v>
      </c>
      <c r="F146" s="1" t="n">
        <v>14</v>
      </c>
      <c r="G146" s="1" t="n">
        <v>3</v>
      </c>
      <c r="H146" s="1" t="n">
        <v>7</v>
      </c>
      <c r="I146" s="1" t="n">
        <v>0</v>
      </c>
      <c r="J146" s="1" t="n">
        <v>0</v>
      </c>
      <c r="L146" s="1" t="n">
        <f aca="false">C146/(A146/60)</f>
        <v>17.6699029126214</v>
      </c>
      <c r="M146" s="1" t="n">
        <f aca="false">D146/(A146/60)</f>
        <v>1.74757281553398</v>
      </c>
      <c r="N146" s="1" t="n">
        <f aca="false">SUM(E146:J146)/(A146/60)</f>
        <v>6.60194174757282</v>
      </c>
    </row>
    <row r="147" customFormat="false" ht="14.25" hidden="false" customHeight="false" outlineLevel="0" collapsed="false">
      <c r="A147" s="1" t="n">
        <v>399</v>
      </c>
      <c r="B147" s="1" t="n">
        <v>31</v>
      </c>
      <c r="C147" s="1" t="n">
        <v>28</v>
      </c>
      <c r="D147" s="1" t="n">
        <v>0</v>
      </c>
      <c r="E147" s="1" t="n">
        <v>1</v>
      </c>
      <c r="F147" s="1" t="n">
        <v>18</v>
      </c>
      <c r="G147" s="1" t="n">
        <v>0</v>
      </c>
      <c r="H147" s="1" t="n">
        <v>17</v>
      </c>
      <c r="I147" s="1" t="n">
        <v>0</v>
      </c>
      <c r="J147" s="1" t="n">
        <v>0</v>
      </c>
      <c r="L147" s="1" t="n">
        <f aca="false">C147/(A147/60)</f>
        <v>4.21052631578947</v>
      </c>
      <c r="M147" s="1" t="n">
        <f aca="false">D147/(A147/60)</f>
        <v>0</v>
      </c>
      <c r="N147" s="1" t="n">
        <f aca="false">SUM(E147:J147)/(A147/60)</f>
        <v>5.41353383458647</v>
      </c>
    </row>
    <row r="148" customFormat="false" ht="14.25" hidden="false" customHeight="false" outlineLevel="0" collapsed="false">
      <c r="A148" s="1" t="n">
        <v>329.5</v>
      </c>
      <c r="B148" s="1" t="n">
        <v>61</v>
      </c>
      <c r="C148" s="1" t="n">
        <v>85</v>
      </c>
      <c r="D148" s="1" t="n">
        <v>10</v>
      </c>
      <c r="E148" s="1" t="n">
        <v>6</v>
      </c>
      <c r="F148" s="1" t="n">
        <v>16</v>
      </c>
      <c r="G148" s="1" t="n">
        <v>0</v>
      </c>
      <c r="H148" s="1" t="n">
        <v>2</v>
      </c>
      <c r="I148" s="1" t="n">
        <v>0</v>
      </c>
      <c r="J148" s="1" t="n">
        <v>6</v>
      </c>
      <c r="L148" s="1" t="n">
        <f aca="false">C148/(A148/60)</f>
        <v>15.4779969650986</v>
      </c>
      <c r="M148" s="1" t="n">
        <f aca="false">D148/(A148/60)</f>
        <v>1.82094081942337</v>
      </c>
      <c r="N148" s="1" t="n">
        <f aca="false">SUM(E148:J148)/(A148/60)</f>
        <v>5.46282245827011</v>
      </c>
    </row>
    <row r="149" customFormat="false" ht="14.25" hidden="false" customHeight="false" outlineLevel="0" collapsed="false">
      <c r="A149" s="1" t="n">
        <v>375</v>
      </c>
      <c r="B149" s="1" t="n">
        <v>31</v>
      </c>
      <c r="C149" s="1" t="n">
        <v>35</v>
      </c>
      <c r="D149" s="1" t="n">
        <v>0</v>
      </c>
      <c r="E149" s="1" t="n">
        <v>0</v>
      </c>
      <c r="F149" s="1" t="n">
        <v>4</v>
      </c>
      <c r="G149" s="1" t="n">
        <v>1</v>
      </c>
      <c r="H149" s="1" t="n">
        <v>1</v>
      </c>
      <c r="I149" s="1" t="n">
        <v>0</v>
      </c>
      <c r="J149" s="1" t="n">
        <v>11</v>
      </c>
      <c r="L149" s="1" t="n">
        <f aca="false">C149/(A149/60)</f>
        <v>5.6</v>
      </c>
      <c r="M149" s="1" t="n">
        <f aca="false">D149/(A149/60)</f>
        <v>0</v>
      </c>
      <c r="N149" s="1" t="n">
        <f aca="false">SUM(E149:J149)/(A149/60)</f>
        <v>2.72</v>
      </c>
    </row>
    <row r="150" customFormat="false" ht="14.25" hidden="false" customHeight="false" outlineLevel="0" collapsed="false">
      <c r="A150" s="1" t="n">
        <v>440.5</v>
      </c>
      <c r="B150" s="1" t="n">
        <v>31</v>
      </c>
      <c r="C150" s="1" t="n">
        <v>102</v>
      </c>
      <c r="D150" s="1" t="n">
        <v>0</v>
      </c>
      <c r="E150" s="1" t="n">
        <v>0</v>
      </c>
      <c r="F150" s="1" t="n">
        <v>0</v>
      </c>
      <c r="G150" s="1" t="n">
        <v>15</v>
      </c>
      <c r="H150" s="1" t="n">
        <v>3</v>
      </c>
      <c r="I150" s="1" t="n">
        <v>0</v>
      </c>
      <c r="J150" s="1" t="n">
        <v>38</v>
      </c>
      <c r="L150" s="1" t="n">
        <f aca="false">C150/(A150/60)</f>
        <v>13.8933030646992</v>
      </c>
      <c r="M150" s="1" t="n">
        <f aca="false">D150/(A150/60)</f>
        <v>0</v>
      </c>
      <c r="N150" s="1" t="n">
        <f aca="false">SUM(E150:J150)/(A150/60)</f>
        <v>7.62769580022701</v>
      </c>
    </row>
    <row r="151" customFormat="false" ht="14.25" hidden="false" customHeight="false" outlineLevel="0" collapsed="false">
      <c r="A151" s="1" t="n">
        <v>296</v>
      </c>
      <c r="B151" s="1" t="n">
        <v>66</v>
      </c>
      <c r="C151" s="1" t="n">
        <v>54</v>
      </c>
      <c r="D151" s="1" t="n">
        <v>0</v>
      </c>
      <c r="E151" s="1" t="n">
        <v>0</v>
      </c>
      <c r="F151" s="1" t="n">
        <v>11</v>
      </c>
      <c r="G151" s="1" t="n">
        <v>0</v>
      </c>
      <c r="H151" s="1" t="n">
        <v>6</v>
      </c>
      <c r="I151" s="1" t="n">
        <v>0</v>
      </c>
      <c r="J151" s="1" t="n">
        <v>21</v>
      </c>
      <c r="L151" s="1" t="n">
        <f aca="false">C151/(A151/60)</f>
        <v>10.9459459459459</v>
      </c>
      <c r="M151" s="1" t="n">
        <f aca="false">D151/(A151/60)</f>
        <v>0</v>
      </c>
      <c r="N151" s="1" t="n">
        <f aca="false">SUM(E151:J151)/(A151/60)</f>
        <v>7.7027027027027</v>
      </c>
    </row>
    <row r="152" customFormat="false" ht="14.25" hidden="false" customHeight="false" outlineLevel="0" collapsed="false">
      <c r="A152" s="1" t="n">
        <v>391.5</v>
      </c>
      <c r="B152" s="1" t="n">
        <v>43</v>
      </c>
      <c r="C152" s="1" t="n">
        <v>122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L152" s="1" t="n">
        <f aca="false">C152/(A152/60)</f>
        <v>18.6973180076628</v>
      </c>
      <c r="M152" s="1" t="n">
        <f aca="false">D152/(A152/60)</f>
        <v>0</v>
      </c>
      <c r="N152" s="1" t="n">
        <f aca="false">SUM(E152:J152)/(A152/60)</f>
        <v>0.153256704980843</v>
      </c>
    </row>
    <row r="153" customFormat="false" ht="14.25" hidden="false" customHeight="false" outlineLevel="0" collapsed="false">
      <c r="A153" s="1" t="n">
        <v>360</v>
      </c>
      <c r="B153" s="1" t="n">
        <v>44</v>
      </c>
      <c r="C153" s="1" t="n">
        <v>95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14</v>
      </c>
      <c r="I153" s="1" t="n">
        <v>1</v>
      </c>
      <c r="J153" s="1" t="n">
        <v>11</v>
      </c>
      <c r="L153" s="1" t="n">
        <f aca="false">C153/(A153/60)</f>
        <v>15.8333333333333</v>
      </c>
      <c r="M153" s="1" t="n">
        <f aca="false">D153/(A153/60)</f>
        <v>0</v>
      </c>
      <c r="N153" s="1" t="n">
        <f aca="false">SUM(E153:J153)/(A153/60)</f>
        <v>4.5</v>
      </c>
    </row>
    <row r="154" customFormat="false" ht="14.25" hidden="false" customHeight="false" outlineLevel="0" collapsed="false">
      <c r="A154" s="1" t="n">
        <v>428</v>
      </c>
      <c r="B154" s="1" t="n">
        <v>29</v>
      </c>
      <c r="C154" s="1" t="n">
        <v>50</v>
      </c>
      <c r="D154" s="1" t="n">
        <v>20</v>
      </c>
      <c r="E154" s="1" t="n">
        <v>1</v>
      </c>
      <c r="F154" s="1" t="n">
        <v>2</v>
      </c>
      <c r="G154" s="1" t="n">
        <v>3</v>
      </c>
      <c r="H154" s="1" t="n">
        <v>11</v>
      </c>
      <c r="I154" s="1" t="n">
        <v>0</v>
      </c>
      <c r="J154" s="1" t="n">
        <v>13</v>
      </c>
      <c r="L154" s="1" t="n">
        <f aca="false">C154/(A154/60)</f>
        <v>7.00934579439252</v>
      </c>
      <c r="M154" s="1" t="n">
        <f aca="false">D154/(A154/60)</f>
        <v>2.80373831775701</v>
      </c>
      <c r="N154" s="1" t="n">
        <f aca="false">SUM(E154:J154)/(A154/60)</f>
        <v>4.20560747663551</v>
      </c>
    </row>
    <row r="155" customFormat="false" ht="14.25" hidden="false" customHeight="false" outlineLevel="0" collapsed="false">
      <c r="A155" s="1" t="n">
        <v>435.5</v>
      </c>
      <c r="B155" s="1" t="n">
        <v>29</v>
      </c>
      <c r="C155" s="1" t="n">
        <v>154</v>
      </c>
      <c r="D155" s="1" t="n">
        <v>0</v>
      </c>
      <c r="E155" s="1" t="n">
        <v>0</v>
      </c>
      <c r="F155" s="1" t="n">
        <v>13</v>
      </c>
      <c r="G155" s="1" t="n">
        <v>2</v>
      </c>
      <c r="H155" s="1" t="n">
        <v>3</v>
      </c>
      <c r="I155" s="1" t="n">
        <v>0</v>
      </c>
      <c r="J155" s="1" t="n">
        <v>59</v>
      </c>
      <c r="L155" s="1" t="n">
        <f aca="false">C155/(A155/60)</f>
        <v>21.2169919632606</v>
      </c>
      <c r="M155" s="1" t="n">
        <f aca="false">D155/(A155/60)</f>
        <v>0</v>
      </c>
      <c r="N155" s="1" t="n">
        <f aca="false">SUM(E155:J155)/(A155/60)</f>
        <v>10.6084959816303</v>
      </c>
    </row>
    <row r="156" customFormat="false" ht="14.25" hidden="false" customHeight="false" outlineLevel="0" collapsed="false">
      <c r="A156" s="1" t="n">
        <v>410.5</v>
      </c>
      <c r="B156" s="1" t="n">
        <v>48</v>
      </c>
      <c r="C156" s="1" t="n">
        <v>198</v>
      </c>
      <c r="D156" s="1" t="n">
        <v>0</v>
      </c>
      <c r="E156" s="1" t="n">
        <v>6</v>
      </c>
      <c r="F156" s="1" t="n">
        <v>9</v>
      </c>
      <c r="G156" s="1" t="n">
        <v>0</v>
      </c>
      <c r="H156" s="1" t="n">
        <v>4</v>
      </c>
      <c r="I156" s="1" t="n">
        <v>0</v>
      </c>
      <c r="J156" s="1" t="n">
        <v>136</v>
      </c>
      <c r="L156" s="1" t="n">
        <f aca="false">C156/(A156/60)</f>
        <v>28.9403166869671</v>
      </c>
      <c r="M156" s="1" t="n">
        <f aca="false">D156/(A156/60)</f>
        <v>0</v>
      </c>
      <c r="N156" s="1" t="n">
        <f aca="false">SUM(E156:J156)/(A156/60)</f>
        <v>22.6552984165652</v>
      </c>
    </row>
    <row r="157" customFormat="false" ht="14.25" hidden="false" customHeight="false" outlineLevel="0" collapsed="false">
      <c r="A157" s="1" t="n">
        <v>373.5</v>
      </c>
      <c r="B157" s="1" t="n">
        <v>62</v>
      </c>
      <c r="C157" s="1" t="n">
        <v>106</v>
      </c>
      <c r="D157" s="1" t="n">
        <v>114</v>
      </c>
      <c r="E157" s="1" t="n">
        <v>4</v>
      </c>
      <c r="F157" s="1" t="n">
        <v>45</v>
      </c>
      <c r="G157" s="1" t="n">
        <v>0</v>
      </c>
      <c r="H157" s="1" t="n">
        <v>2</v>
      </c>
      <c r="I157" s="1" t="n">
        <v>0</v>
      </c>
      <c r="J157" s="1" t="n">
        <v>47</v>
      </c>
      <c r="L157" s="1" t="n">
        <f aca="false">C157/(A157/60)</f>
        <v>17.0281124497992</v>
      </c>
      <c r="M157" s="1" t="n">
        <f aca="false">D157/(A157/60)</f>
        <v>18.3132530120482</v>
      </c>
      <c r="N157" s="1" t="n">
        <f aca="false">SUM(E157:J157)/(A157/60)</f>
        <v>15.7429718875502</v>
      </c>
    </row>
    <row r="158" customFormat="false" ht="14.25" hidden="false" customHeight="false" outlineLevel="0" collapsed="false">
      <c r="A158" s="1" t="n">
        <v>325.5</v>
      </c>
      <c r="B158" s="1" t="n">
        <v>56</v>
      </c>
      <c r="C158" s="1" t="n">
        <v>137</v>
      </c>
      <c r="D158" s="1" t="n">
        <v>50</v>
      </c>
      <c r="E158" s="1" t="n">
        <v>24</v>
      </c>
      <c r="F158" s="1" t="n">
        <v>124</v>
      </c>
      <c r="G158" s="1" t="n">
        <v>0</v>
      </c>
      <c r="H158" s="1" t="n">
        <v>7</v>
      </c>
      <c r="I158" s="1" t="n">
        <v>0</v>
      </c>
      <c r="J158" s="1" t="n">
        <v>10</v>
      </c>
      <c r="L158" s="1" t="n">
        <f aca="false">C158/(A158/60)</f>
        <v>25.2534562211982</v>
      </c>
      <c r="M158" s="1" t="n">
        <f aca="false">D158/(A158/60)</f>
        <v>9.21658986175115</v>
      </c>
      <c r="N158" s="1" t="n">
        <f aca="false">SUM(E158:J158)/(A158/60)</f>
        <v>30.4147465437788</v>
      </c>
    </row>
    <row r="159" customFormat="false" ht="14.25" hidden="false" customHeight="false" outlineLevel="0" collapsed="false">
      <c r="A159" s="1" t="n">
        <v>388.5</v>
      </c>
      <c r="B159" s="1" t="n">
        <v>42</v>
      </c>
      <c r="C159" s="1" t="n">
        <v>40</v>
      </c>
      <c r="D159" s="1" t="n">
        <v>0</v>
      </c>
      <c r="E159" s="1" t="n">
        <v>0</v>
      </c>
      <c r="F159" s="1" t="n">
        <v>0</v>
      </c>
      <c r="G159" s="1" t="n">
        <v>7</v>
      </c>
      <c r="H159" s="1" t="n">
        <v>13</v>
      </c>
      <c r="I159" s="1" t="n">
        <v>0</v>
      </c>
      <c r="J159" s="1" t="n">
        <v>21</v>
      </c>
      <c r="L159" s="1" t="n">
        <f aca="false">C159/(A159/60)</f>
        <v>6.17760617760618</v>
      </c>
      <c r="M159" s="1" t="n">
        <f aca="false">D159/(A159/60)</f>
        <v>0</v>
      </c>
      <c r="N159" s="1" t="n">
        <f aca="false">SUM(E159:J159)/(A159/60)</f>
        <v>6.33204633204633</v>
      </c>
    </row>
    <row r="160" customFormat="false" ht="14.25" hidden="false" customHeight="false" outlineLevel="0" collapsed="false">
      <c r="A160" s="1" t="n">
        <v>328.5</v>
      </c>
      <c r="B160" s="1" t="n">
        <v>62</v>
      </c>
      <c r="C160" s="1" t="n">
        <v>244</v>
      </c>
      <c r="D160" s="1" t="n">
        <v>0</v>
      </c>
      <c r="E160" s="1" t="n">
        <v>16</v>
      </c>
      <c r="F160" s="1" t="n">
        <v>30</v>
      </c>
      <c r="G160" s="1" t="n">
        <v>0</v>
      </c>
      <c r="H160" s="1" t="n">
        <v>9</v>
      </c>
      <c r="I160" s="1" t="n">
        <v>0</v>
      </c>
      <c r="J160" s="1" t="n">
        <v>82</v>
      </c>
      <c r="L160" s="1" t="n">
        <f aca="false">C160/(A160/60)</f>
        <v>44.5662100456621</v>
      </c>
      <c r="M160" s="1" t="n">
        <f aca="false">D160/(A160/60)</f>
        <v>0</v>
      </c>
      <c r="N160" s="1" t="n">
        <f aca="false">SUM(E160:J160)/(A160/60)</f>
        <v>25.0228310502283</v>
      </c>
    </row>
    <row r="161" customFormat="false" ht="14.25" hidden="false" customHeight="false" outlineLevel="0" collapsed="false">
      <c r="A161" s="1" t="n">
        <v>340</v>
      </c>
      <c r="B161" s="1" t="n">
        <v>55</v>
      </c>
      <c r="C161" s="1" t="n">
        <v>152</v>
      </c>
      <c r="D161" s="1" t="n">
        <v>0</v>
      </c>
      <c r="E161" s="1" t="n">
        <v>18</v>
      </c>
      <c r="F161" s="1" t="n">
        <v>55</v>
      </c>
      <c r="G161" s="1" t="n">
        <v>0</v>
      </c>
      <c r="H161" s="1" t="n">
        <v>11</v>
      </c>
      <c r="I161" s="1" t="n">
        <v>0</v>
      </c>
      <c r="J161" s="1" t="n">
        <v>11</v>
      </c>
      <c r="L161" s="1" t="n">
        <f aca="false">C161/(A161/60)</f>
        <v>26.8235294117647</v>
      </c>
      <c r="M161" s="1" t="n">
        <f aca="false">D161/(A161/60)</f>
        <v>0</v>
      </c>
      <c r="N161" s="1" t="n">
        <f aca="false">SUM(E161:J161)/(A161/60)</f>
        <v>16.7647058823529</v>
      </c>
    </row>
    <row r="162" customFormat="false" ht="14.25" hidden="false" customHeight="false" outlineLevel="0" collapsed="false">
      <c r="A162" s="1" t="n">
        <v>413</v>
      </c>
      <c r="B162" s="1" t="n">
        <v>31</v>
      </c>
      <c r="C162" s="1" t="n">
        <v>37</v>
      </c>
      <c r="D162" s="1" t="n">
        <v>0</v>
      </c>
      <c r="E162" s="1" t="n">
        <v>0</v>
      </c>
      <c r="F162" s="1" t="n">
        <v>13</v>
      </c>
      <c r="G162" s="1" t="n">
        <v>0</v>
      </c>
      <c r="H162" s="1" t="n">
        <v>11</v>
      </c>
      <c r="I162" s="1" t="n">
        <v>0</v>
      </c>
      <c r="J162" s="1" t="n">
        <v>4</v>
      </c>
      <c r="L162" s="1" t="n">
        <f aca="false">C162/(A162/60)</f>
        <v>5.37530266343826</v>
      </c>
      <c r="M162" s="1" t="n">
        <f aca="false">D162/(A162/60)</f>
        <v>0</v>
      </c>
      <c r="N162" s="1" t="n">
        <f aca="false">SUM(E162:J162)/(A162/60)</f>
        <v>4.06779661016949</v>
      </c>
    </row>
    <row r="163" customFormat="false" ht="14.25" hidden="false" customHeight="false" outlineLevel="0" collapsed="false">
      <c r="A163" s="1" t="n">
        <v>297</v>
      </c>
      <c r="B163" s="1" t="n">
        <v>75</v>
      </c>
      <c r="C163" s="1" t="n">
        <v>153</v>
      </c>
      <c r="D163" s="1" t="n">
        <v>181</v>
      </c>
      <c r="E163" s="1" t="n">
        <v>1</v>
      </c>
      <c r="F163" s="1" t="n">
        <v>19</v>
      </c>
      <c r="G163" s="1" t="n">
        <v>0</v>
      </c>
      <c r="H163" s="1" t="n">
        <v>1</v>
      </c>
      <c r="I163" s="1" t="n">
        <v>0</v>
      </c>
      <c r="J163" s="1" t="n">
        <v>14</v>
      </c>
      <c r="L163" s="1" t="n">
        <f aca="false">C163/(A163/60)</f>
        <v>30.9090909090909</v>
      </c>
      <c r="M163" s="1" t="n">
        <f aca="false">D163/(A163/60)</f>
        <v>36.5656565656566</v>
      </c>
      <c r="N163" s="1" t="n">
        <f aca="false">SUM(E163:J163)/(A163/60)</f>
        <v>7.07070707070707</v>
      </c>
    </row>
    <row r="164" customFormat="false" ht="14.25" hidden="false" customHeight="false" outlineLevel="0" collapsed="false">
      <c r="A164" s="1" t="n">
        <v>392.5</v>
      </c>
      <c r="B164" s="1" t="n">
        <v>33</v>
      </c>
      <c r="C164" s="1" t="n">
        <v>40</v>
      </c>
      <c r="D164" s="1" t="n">
        <v>0</v>
      </c>
      <c r="E164" s="1" t="n">
        <v>0</v>
      </c>
      <c r="F164" s="1" t="n">
        <v>17</v>
      </c>
      <c r="G164" s="1" t="n">
        <v>0</v>
      </c>
      <c r="H164" s="1" t="n">
        <v>1</v>
      </c>
      <c r="I164" s="1" t="n">
        <v>0</v>
      </c>
      <c r="J164" s="1" t="n">
        <v>18</v>
      </c>
      <c r="L164" s="1" t="n">
        <f aca="false">C164/(A164/60)</f>
        <v>6.11464968152866</v>
      </c>
      <c r="M164" s="1" t="n">
        <f aca="false">D164/(A164/60)</f>
        <v>0</v>
      </c>
      <c r="N164" s="1" t="n">
        <f aca="false">SUM(E164:J164)/(A164/60)</f>
        <v>5.5031847133758</v>
      </c>
    </row>
    <row r="165" customFormat="false" ht="14.25" hidden="false" customHeight="false" outlineLevel="0" collapsed="false">
      <c r="A165" s="1" t="n">
        <v>413.5</v>
      </c>
      <c r="B165" s="1" t="n">
        <v>51</v>
      </c>
      <c r="C165" s="1" t="n">
        <v>105</v>
      </c>
      <c r="D165" s="1" t="n">
        <v>0</v>
      </c>
      <c r="E165" s="1" t="n">
        <v>4</v>
      </c>
      <c r="F165" s="1" t="n">
        <v>6</v>
      </c>
      <c r="G165" s="1" t="n">
        <v>1</v>
      </c>
      <c r="H165" s="1" t="n">
        <v>2</v>
      </c>
      <c r="I165" s="1" t="n">
        <v>0</v>
      </c>
      <c r="J165" s="1" t="n">
        <v>3</v>
      </c>
      <c r="L165" s="1" t="n">
        <f aca="false">C165/(A165/60)</f>
        <v>15.235792019347</v>
      </c>
      <c r="M165" s="1" t="n">
        <f aca="false">D165/(A165/60)</f>
        <v>0</v>
      </c>
      <c r="N165" s="1" t="n">
        <f aca="false">SUM(E165:J165)/(A165/60)</f>
        <v>2.32164449818622</v>
      </c>
    </row>
    <row r="166" customFormat="false" ht="14.25" hidden="false" customHeight="false" outlineLevel="0" collapsed="false">
      <c r="A166" s="1" t="n">
        <v>391</v>
      </c>
      <c r="B166" s="1" t="n">
        <v>26</v>
      </c>
      <c r="C166" s="1" t="n">
        <v>44</v>
      </c>
      <c r="D166" s="1" t="n">
        <v>0</v>
      </c>
      <c r="E166" s="1" t="n">
        <v>4</v>
      </c>
      <c r="F166" s="1" t="n">
        <v>23</v>
      </c>
      <c r="G166" s="1" t="n">
        <v>2</v>
      </c>
      <c r="H166" s="1" t="n">
        <v>7</v>
      </c>
      <c r="I166" s="1" t="n">
        <v>0</v>
      </c>
      <c r="J166" s="1" t="n">
        <v>8</v>
      </c>
      <c r="L166" s="1" t="n">
        <f aca="false">C166/(A166/60)</f>
        <v>6.75191815856778</v>
      </c>
      <c r="M166" s="1" t="n">
        <f aca="false">D166/(A166/60)</f>
        <v>0</v>
      </c>
      <c r="N166" s="1" t="n">
        <f aca="false">SUM(E166:J166)/(A166/60)</f>
        <v>6.75191815856778</v>
      </c>
    </row>
    <row r="167" customFormat="false" ht="14.25" hidden="false" customHeight="false" outlineLevel="0" collapsed="false">
      <c r="A167" s="1" t="n">
        <v>317</v>
      </c>
      <c r="B167" s="1" t="n">
        <v>58</v>
      </c>
      <c r="C167" s="1" t="n">
        <v>162</v>
      </c>
      <c r="D167" s="1" t="n">
        <v>5</v>
      </c>
      <c r="E167" s="1" t="n">
        <v>0</v>
      </c>
      <c r="F167" s="1" t="n">
        <v>0</v>
      </c>
      <c r="G167" s="1" t="n">
        <v>2</v>
      </c>
      <c r="H167" s="1" t="n">
        <v>5</v>
      </c>
      <c r="I167" s="1" t="n">
        <v>0</v>
      </c>
      <c r="J167" s="1" t="n">
        <v>24</v>
      </c>
      <c r="L167" s="1" t="n">
        <f aca="false">C167/(A167/60)</f>
        <v>30.6624605678233</v>
      </c>
      <c r="M167" s="1" t="n">
        <f aca="false">D167/(A167/60)</f>
        <v>0.946372239747634</v>
      </c>
      <c r="N167" s="1" t="n">
        <f aca="false">SUM(E167:J167)/(A167/60)</f>
        <v>5.86750788643533</v>
      </c>
    </row>
    <row r="168" customFormat="false" ht="14.25" hidden="false" customHeight="false" outlineLevel="0" collapsed="false">
      <c r="A168" s="1" t="n">
        <v>360</v>
      </c>
      <c r="B168" s="1" t="n">
        <v>53</v>
      </c>
      <c r="C168" s="1" t="n">
        <v>391</v>
      </c>
      <c r="D168" s="1" t="n">
        <v>0</v>
      </c>
      <c r="E168" s="1" t="n">
        <v>16</v>
      </c>
      <c r="F168" s="1" t="n">
        <v>190</v>
      </c>
      <c r="G168" s="1" t="n">
        <v>0</v>
      </c>
      <c r="H168" s="1" t="n">
        <v>6</v>
      </c>
      <c r="I168" s="1" t="n">
        <v>3</v>
      </c>
      <c r="J168" s="1" t="n">
        <v>181</v>
      </c>
      <c r="L168" s="1" t="n">
        <f aca="false">C168/(A168/60)</f>
        <v>65.1666666666667</v>
      </c>
      <c r="M168" s="1" t="n">
        <f aca="false">D168/(A168/60)</f>
        <v>0</v>
      </c>
      <c r="N168" s="1" t="n">
        <f aca="false">SUM(E168:J168)/(A168/60)</f>
        <v>66</v>
      </c>
    </row>
    <row r="169" customFormat="false" ht="14.25" hidden="false" customHeight="false" outlineLevel="0" collapsed="false">
      <c r="A169" s="1" t="n">
        <v>297.5</v>
      </c>
      <c r="B169" s="1" t="n">
        <v>32</v>
      </c>
      <c r="C169" s="1" t="n">
        <v>124</v>
      </c>
      <c r="D169" s="1" t="n">
        <v>4</v>
      </c>
      <c r="E169" s="1" t="n">
        <v>0</v>
      </c>
      <c r="F169" s="1" t="n">
        <v>2</v>
      </c>
      <c r="G169" s="1" t="n">
        <v>0</v>
      </c>
      <c r="H169" s="1" t="n">
        <v>6</v>
      </c>
      <c r="I169" s="1" t="n">
        <v>0</v>
      </c>
      <c r="J169" s="1" t="n">
        <v>49</v>
      </c>
      <c r="L169" s="1" t="n">
        <f aca="false">C169/(A169/60)</f>
        <v>25.0084033613445</v>
      </c>
      <c r="M169" s="1" t="n">
        <f aca="false">D169/(A169/60)</f>
        <v>0.80672268907563</v>
      </c>
      <c r="N169" s="1" t="n">
        <f aca="false">SUM(E169:J169)/(A169/60)</f>
        <v>11.4957983193277</v>
      </c>
    </row>
    <row r="170" customFormat="false" ht="14.25" hidden="false" customHeight="false" outlineLevel="0" collapsed="false">
      <c r="A170" s="1" t="n">
        <v>387</v>
      </c>
      <c r="B170" s="1" t="n">
        <v>66</v>
      </c>
      <c r="C170" s="1" t="n">
        <v>152</v>
      </c>
      <c r="D170" s="1" t="n">
        <v>13</v>
      </c>
      <c r="E170" s="1" t="n">
        <v>36</v>
      </c>
      <c r="F170" s="1" t="n">
        <v>42</v>
      </c>
      <c r="G170" s="1" t="n">
        <v>2</v>
      </c>
      <c r="H170" s="1" t="n">
        <v>1</v>
      </c>
      <c r="I170" s="1" t="n">
        <v>0</v>
      </c>
      <c r="J170" s="1" t="n">
        <v>30</v>
      </c>
      <c r="L170" s="1" t="n">
        <f aca="false">C170/(A170/60)</f>
        <v>23.5658914728682</v>
      </c>
      <c r="M170" s="1" t="n">
        <f aca="false">D170/(A170/60)</f>
        <v>2.01550387596899</v>
      </c>
      <c r="N170" s="1" t="n">
        <f aca="false">SUM(E170:J170)/(A170/60)</f>
        <v>17.2093023255814</v>
      </c>
    </row>
    <row r="171" customFormat="false" ht="14.25" hidden="false" customHeight="false" outlineLevel="0" collapsed="false">
      <c r="A171" s="1" t="n">
        <v>261</v>
      </c>
      <c r="B171" s="1" t="n">
        <v>52</v>
      </c>
      <c r="C171" s="1" t="n">
        <v>70</v>
      </c>
      <c r="D171" s="1" t="n">
        <v>0</v>
      </c>
      <c r="E171" s="1" t="n">
        <v>7</v>
      </c>
      <c r="F171" s="1" t="n">
        <v>55</v>
      </c>
      <c r="G171" s="1" t="n">
        <v>1</v>
      </c>
      <c r="H171" s="1" t="n">
        <v>0</v>
      </c>
      <c r="I171" s="1" t="n">
        <v>0</v>
      </c>
      <c r="J171" s="1" t="n">
        <v>20</v>
      </c>
      <c r="L171" s="1" t="n">
        <f aca="false">C171/(A171/60)</f>
        <v>16.0919540229885</v>
      </c>
      <c r="M171" s="1" t="n">
        <f aca="false">D171/(A171/60)</f>
        <v>0</v>
      </c>
      <c r="N171" s="1" t="n">
        <f aca="false">SUM(E171:J171)/(A171/60)</f>
        <v>19.0804597701149</v>
      </c>
    </row>
    <row r="172" customFormat="false" ht="14.25" hidden="false" customHeight="false" outlineLevel="0" collapsed="false">
      <c r="A172" s="1" t="n">
        <v>322</v>
      </c>
      <c r="B172" s="1" t="n">
        <v>73</v>
      </c>
      <c r="C172" s="1" t="n">
        <v>62</v>
      </c>
      <c r="D172" s="1" t="n">
        <v>0</v>
      </c>
      <c r="E172" s="1" t="n">
        <v>19</v>
      </c>
      <c r="F172" s="1" t="n">
        <v>53</v>
      </c>
      <c r="G172" s="1" t="n">
        <v>0</v>
      </c>
      <c r="H172" s="1" t="n">
        <v>4</v>
      </c>
      <c r="I172" s="1" t="n">
        <v>0</v>
      </c>
      <c r="J172" s="1" t="n">
        <v>6</v>
      </c>
      <c r="L172" s="1" t="n">
        <f aca="false">C172/(A172/60)</f>
        <v>11.5527950310559</v>
      </c>
      <c r="M172" s="1" t="n">
        <f aca="false">D172/(A172/60)</f>
        <v>0</v>
      </c>
      <c r="N172" s="1" t="n">
        <f aca="false">SUM(E172:J172)/(A172/60)</f>
        <v>15.2795031055901</v>
      </c>
    </row>
    <row r="173" customFormat="false" ht="14.25" hidden="false" customHeight="false" outlineLevel="0" collapsed="false">
      <c r="A173" s="1" t="n">
        <v>408</v>
      </c>
      <c r="B173" s="1" t="n">
        <v>39</v>
      </c>
      <c r="C173" s="1" t="n">
        <v>108</v>
      </c>
      <c r="D173" s="1" t="n">
        <v>0</v>
      </c>
      <c r="E173" s="1" t="n">
        <v>0</v>
      </c>
      <c r="F173" s="1" t="n">
        <v>3</v>
      </c>
      <c r="G173" s="1" t="n">
        <v>0</v>
      </c>
      <c r="H173" s="1" t="n">
        <v>6</v>
      </c>
      <c r="I173" s="1" t="n">
        <v>0</v>
      </c>
      <c r="J173" s="1" t="n">
        <v>16</v>
      </c>
      <c r="L173" s="1" t="n">
        <f aca="false">C173/(A173/60)</f>
        <v>15.8823529411765</v>
      </c>
      <c r="M173" s="1" t="n">
        <f aca="false">D173/(A173/60)</f>
        <v>0</v>
      </c>
      <c r="N173" s="1" t="n">
        <f aca="false">SUM(E173:J173)/(A173/60)</f>
        <v>3.67647058823529</v>
      </c>
    </row>
    <row r="174" customFormat="false" ht="14.25" hidden="false" customHeight="false" outlineLevel="0" collapsed="false">
      <c r="A174" s="1" t="n">
        <v>365.5</v>
      </c>
      <c r="B174" s="1" t="n">
        <v>46</v>
      </c>
      <c r="C174" s="1" t="n">
        <v>160</v>
      </c>
      <c r="D174" s="1" t="n">
        <v>63</v>
      </c>
      <c r="E174" s="1" t="n">
        <v>12</v>
      </c>
      <c r="F174" s="1" t="n">
        <v>30</v>
      </c>
      <c r="G174" s="1" t="n">
        <v>0</v>
      </c>
      <c r="H174" s="1" t="n">
        <v>11</v>
      </c>
      <c r="I174" s="1" t="n">
        <v>0</v>
      </c>
      <c r="J174" s="1" t="n">
        <v>25</v>
      </c>
      <c r="L174" s="1" t="n">
        <f aca="false">C174/(A174/60)</f>
        <v>26.265389876881</v>
      </c>
      <c r="M174" s="1" t="n">
        <f aca="false">D174/(A174/60)</f>
        <v>10.3419972640219</v>
      </c>
      <c r="N174" s="1" t="n">
        <f aca="false">SUM(E174:J174)/(A174/60)</f>
        <v>12.8043775649795</v>
      </c>
    </row>
    <row r="175" customFormat="false" ht="14.25" hidden="false" customHeight="false" outlineLevel="0" collapsed="false">
      <c r="A175" s="1" t="n">
        <v>330</v>
      </c>
      <c r="B175" s="1" t="n">
        <v>48</v>
      </c>
      <c r="C175" s="1" t="n">
        <v>93</v>
      </c>
      <c r="D175" s="1" t="n">
        <v>102</v>
      </c>
      <c r="E175" s="1" t="n">
        <v>5</v>
      </c>
      <c r="F175" s="1" t="n">
        <v>0</v>
      </c>
      <c r="G175" s="1" t="n">
        <v>2</v>
      </c>
      <c r="H175" s="1" t="n">
        <v>1</v>
      </c>
      <c r="I175" s="1" t="n">
        <v>0</v>
      </c>
      <c r="J175" s="1" t="n">
        <v>12</v>
      </c>
      <c r="L175" s="1" t="n">
        <f aca="false">C175/(A175/60)</f>
        <v>16.9090909090909</v>
      </c>
      <c r="M175" s="1" t="n">
        <f aca="false">D175/(A175/60)</f>
        <v>18.5454545454545</v>
      </c>
      <c r="N175" s="1" t="n">
        <f aca="false">SUM(E175:J175)/(A175/60)</f>
        <v>3.63636363636364</v>
      </c>
    </row>
    <row r="176" customFormat="false" ht="14.25" hidden="false" customHeight="false" outlineLevel="0" collapsed="false">
      <c r="A176" s="1" t="n">
        <v>411</v>
      </c>
      <c r="B176" s="1" t="n">
        <v>20</v>
      </c>
      <c r="C176" s="1" t="n">
        <v>173</v>
      </c>
      <c r="D176" s="1" t="n">
        <v>0</v>
      </c>
      <c r="E176" s="1" t="n">
        <v>10</v>
      </c>
      <c r="F176" s="1" t="n">
        <v>13</v>
      </c>
      <c r="G176" s="1" t="n">
        <v>0</v>
      </c>
      <c r="H176" s="1" t="n">
        <v>10</v>
      </c>
      <c r="I176" s="1" t="n">
        <v>0</v>
      </c>
      <c r="J176" s="1" t="n">
        <v>92</v>
      </c>
      <c r="L176" s="1" t="n">
        <f aca="false">C176/(A176/60)</f>
        <v>25.2554744525547</v>
      </c>
      <c r="M176" s="1" t="n">
        <f aca="false">D176/(A176/60)</f>
        <v>0</v>
      </c>
      <c r="N176" s="1" t="n">
        <f aca="false">SUM(E176:J176)/(A176/60)</f>
        <v>18.2481751824818</v>
      </c>
    </row>
    <row r="177" customFormat="false" ht="14.25" hidden="false" customHeight="false" outlineLevel="0" collapsed="false">
      <c r="A177" s="1" t="n">
        <v>385</v>
      </c>
      <c r="B177" s="1" t="n">
        <v>57</v>
      </c>
      <c r="C177" s="1" t="n">
        <v>199</v>
      </c>
      <c r="D177" s="1" t="n">
        <v>0</v>
      </c>
      <c r="E177" s="1" t="n">
        <v>14</v>
      </c>
      <c r="F177" s="1" t="n">
        <v>156</v>
      </c>
      <c r="G177" s="1" t="n">
        <v>0</v>
      </c>
      <c r="H177" s="1" t="n">
        <v>3</v>
      </c>
      <c r="I177" s="1" t="n">
        <v>0</v>
      </c>
      <c r="J177" s="1" t="n">
        <v>65</v>
      </c>
      <c r="L177" s="1" t="n">
        <f aca="false">C177/(A177/60)</f>
        <v>31.012987012987</v>
      </c>
      <c r="M177" s="1" t="n">
        <f aca="false">D177/(A177/60)</f>
        <v>0</v>
      </c>
      <c r="N177" s="1" t="n">
        <f aca="false">SUM(E177:J177)/(A177/60)</f>
        <v>37.0909090909091</v>
      </c>
    </row>
    <row r="178" customFormat="false" ht="14.25" hidden="false" customHeight="false" outlineLevel="0" collapsed="false">
      <c r="A178" s="1" t="n">
        <v>272</v>
      </c>
      <c r="B178" s="1" t="n">
        <v>58</v>
      </c>
      <c r="C178" s="1" t="n">
        <v>46</v>
      </c>
      <c r="D178" s="1" t="n">
        <v>4</v>
      </c>
      <c r="E178" s="1" t="n">
        <v>16</v>
      </c>
      <c r="F178" s="1" t="n">
        <v>14</v>
      </c>
      <c r="G178" s="1" t="n">
        <v>0</v>
      </c>
      <c r="H178" s="1" t="n">
        <v>3</v>
      </c>
      <c r="I178" s="1" t="n">
        <v>0</v>
      </c>
      <c r="J178" s="1" t="n">
        <v>4</v>
      </c>
      <c r="L178" s="1" t="n">
        <f aca="false">C178/(A178/60)</f>
        <v>10.1470588235294</v>
      </c>
      <c r="M178" s="1" t="n">
        <f aca="false">D178/(A178/60)</f>
        <v>0.882352941176471</v>
      </c>
      <c r="N178" s="1" t="n">
        <f aca="false">SUM(E178:J178)/(A178/60)</f>
        <v>8.16176470588235</v>
      </c>
    </row>
    <row r="179" customFormat="false" ht="14.25" hidden="false" customHeight="false" outlineLevel="0" collapsed="false">
      <c r="A179" s="1" t="n">
        <v>360</v>
      </c>
      <c r="B179" s="1" t="n">
        <v>43</v>
      </c>
      <c r="C179" s="1" t="n">
        <v>179</v>
      </c>
      <c r="D179" s="1" t="n">
        <v>29</v>
      </c>
      <c r="E179" s="1" t="n">
        <v>0</v>
      </c>
      <c r="F179" s="1" t="n">
        <v>7</v>
      </c>
      <c r="G179" s="1" t="n">
        <v>1</v>
      </c>
      <c r="H179" s="1" t="n">
        <v>5</v>
      </c>
      <c r="I179" s="1" t="n">
        <v>0</v>
      </c>
      <c r="J179" s="1" t="n">
        <v>75</v>
      </c>
      <c r="L179" s="1" t="n">
        <f aca="false">C179/(A179/60)</f>
        <v>29.8333333333333</v>
      </c>
      <c r="M179" s="1" t="n">
        <f aca="false">D179/(A179/60)</f>
        <v>4.83333333333333</v>
      </c>
      <c r="N179" s="1" t="n">
        <f aca="false">SUM(E179:J179)/(A179/60)</f>
        <v>14.6666666666667</v>
      </c>
    </row>
    <row r="180" customFormat="false" ht="14.25" hidden="false" customHeight="false" outlineLevel="0" collapsed="false">
      <c r="A180" s="1" t="n">
        <v>349</v>
      </c>
      <c r="B180" s="1" t="n">
        <v>77</v>
      </c>
      <c r="C180" s="1" t="n">
        <v>60</v>
      </c>
      <c r="D180" s="1" t="n">
        <v>143</v>
      </c>
      <c r="E180" s="1" t="n">
        <v>9</v>
      </c>
      <c r="F180" s="1" t="n">
        <v>108</v>
      </c>
      <c r="G180" s="1" t="n">
        <v>0</v>
      </c>
      <c r="H180" s="1" t="n">
        <v>6</v>
      </c>
      <c r="I180" s="1" t="n">
        <v>0</v>
      </c>
      <c r="J180" s="1" t="n">
        <v>26</v>
      </c>
      <c r="L180" s="1" t="n">
        <f aca="false">C180/(A180/60)</f>
        <v>10.3151862464183</v>
      </c>
      <c r="M180" s="1" t="n">
        <f aca="false">D180/(A180/60)</f>
        <v>24.5845272206304</v>
      </c>
      <c r="N180" s="1" t="n">
        <f aca="false">SUM(E180:J180)/(A180/60)</f>
        <v>25.6160458452722</v>
      </c>
    </row>
    <row r="181" customFormat="false" ht="14.25" hidden="false" customHeight="false" outlineLevel="0" collapsed="false">
      <c r="A181" s="1" t="n">
        <v>421</v>
      </c>
      <c r="B181" s="1" t="n">
        <v>65</v>
      </c>
      <c r="C181" s="1" t="n">
        <v>139</v>
      </c>
      <c r="D181" s="1" t="n">
        <v>0</v>
      </c>
      <c r="E181" s="1" t="n">
        <v>4</v>
      </c>
      <c r="F181" s="1" t="n">
        <v>136</v>
      </c>
      <c r="G181" s="1" t="n">
        <v>0</v>
      </c>
      <c r="H181" s="1" t="n">
        <v>4</v>
      </c>
      <c r="I181" s="1" t="n">
        <v>0</v>
      </c>
      <c r="J181" s="1" t="n">
        <v>6</v>
      </c>
      <c r="L181" s="1" t="n">
        <f aca="false">C181/(A181/60)</f>
        <v>19.8099762470309</v>
      </c>
      <c r="M181" s="1" t="n">
        <f aca="false">D181/(A181/60)</f>
        <v>0</v>
      </c>
      <c r="N181" s="1" t="n">
        <f aca="false">SUM(E181:J181)/(A181/60)</f>
        <v>21.3776722090261</v>
      </c>
    </row>
    <row r="182" customFormat="false" ht="14.25" hidden="false" customHeight="false" outlineLevel="0" collapsed="false">
      <c r="A182" s="1" t="n">
        <v>383</v>
      </c>
      <c r="B182" s="1" t="n">
        <v>56</v>
      </c>
      <c r="C182" s="1" t="n">
        <v>81</v>
      </c>
      <c r="D182" s="1" t="n">
        <v>29</v>
      </c>
      <c r="E182" s="1" t="n">
        <v>1</v>
      </c>
      <c r="F182" s="1" t="n">
        <v>15</v>
      </c>
      <c r="G182" s="1" t="n">
        <v>0</v>
      </c>
      <c r="H182" s="1" t="n">
        <v>3</v>
      </c>
      <c r="I182" s="1" t="n">
        <v>0</v>
      </c>
      <c r="J182" s="1" t="n">
        <v>15</v>
      </c>
      <c r="L182" s="1" t="n">
        <f aca="false">C182/(A182/60)</f>
        <v>12.6892950391645</v>
      </c>
      <c r="M182" s="1" t="n">
        <f aca="false">D182/(A182/60)</f>
        <v>4.54308093994778</v>
      </c>
      <c r="N182" s="1" t="n">
        <f aca="false">SUM(E182:J182)/(A182/60)</f>
        <v>5.32637075718016</v>
      </c>
    </row>
    <row r="183" customFormat="false" ht="14.25" hidden="false" customHeight="false" outlineLevel="0" collapsed="false">
      <c r="A183" s="1" t="n">
        <v>392</v>
      </c>
      <c r="C183" s="1" t="n">
        <v>175</v>
      </c>
      <c r="D183" s="1" t="n">
        <v>18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44</v>
      </c>
      <c r="L183" s="1" t="n">
        <f aca="false">C183/(A183/60)</f>
        <v>26.7857142857143</v>
      </c>
      <c r="M183" s="1" t="n">
        <f aca="false">D183/(A183/60)</f>
        <v>2.75510204081633</v>
      </c>
      <c r="N183" s="1" t="n">
        <f aca="false">SUM(E183:J183)/(A183/60)</f>
        <v>6.73469387755102</v>
      </c>
    </row>
    <row r="184" customFormat="false" ht="14.25" hidden="false" customHeight="false" outlineLevel="0" collapsed="false">
      <c r="A184" s="1" t="n">
        <v>373</v>
      </c>
      <c r="B184" s="1" t="n">
        <v>32</v>
      </c>
      <c r="C184" s="1" t="n">
        <v>158</v>
      </c>
      <c r="D184" s="1" t="n">
        <v>38</v>
      </c>
      <c r="E184" s="1" t="n">
        <v>3</v>
      </c>
      <c r="F184" s="1" t="n">
        <v>63</v>
      </c>
      <c r="G184" s="1" t="n">
        <v>0</v>
      </c>
      <c r="H184" s="1" t="n">
        <v>2</v>
      </c>
      <c r="I184" s="1" t="n">
        <v>0</v>
      </c>
      <c r="J184" s="1" t="n">
        <v>71</v>
      </c>
      <c r="L184" s="1" t="n">
        <f aca="false">C184/(A184/60)</f>
        <v>25.4155495978552</v>
      </c>
      <c r="M184" s="1" t="n">
        <f aca="false">D184/(A184/60)</f>
        <v>6.11260053619303</v>
      </c>
      <c r="N184" s="1" t="n">
        <f aca="false">SUM(E184:J184)/(A184/60)</f>
        <v>22.3592493297587</v>
      </c>
    </row>
    <row r="185" customFormat="false" ht="14.25" hidden="false" customHeight="false" outlineLevel="0" collapsed="false">
      <c r="A185" s="1" t="n">
        <v>373.5</v>
      </c>
      <c r="B185" s="1" t="n">
        <v>68</v>
      </c>
      <c r="C185" s="1" t="n">
        <v>85</v>
      </c>
      <c r="D185" s="1" t="n">
        <v>0</v>
      </c>
      <c r="E185" s="1" t="n">
        <v>0</v>
      </c>
      <c r="F185" s="1" t="n">
        <v>43</v>
      </c>
      <c r="G185" s="1" t="n">
        <v>0</v>
      </c>
      <c r="H185" s="1" t="n">
        <v>4</v>
      </c>
      <c r="I185" s="1" t="n">
        <v>0</v>
      </c>
      <c r="J185" s="1" t="n">
        <v>3</v>
      </c>
      <c r="L185" s="1" t="n">
        <f aca="false">C185/(A185/60)</f>
        <v>13.6546184738956</v>
      </c>
      <c r="M185" s="1" t="n">
        <f aca="false">D185/(A185/60)</f>
        <v>0</v>
      </c>
      <c r="N185" s="1" t="n">
        <f aca="false">SUM(E185:J185)/(A185/60)</f>
        <v>8.03212851405623</v>
      </c>
    </row>
    <row r="186" customFormat="false" ht="14.25" hidden="false" customHeight="false" outlineLevel="0" collapsed="false">
      <c r="A186" s="1" t="n">
        <v>309.5</v>
      </c>
      <c r="B186" s="1" t="n">
        <v>56</v>
      </c>
      <c r="C186" s="1" t="n">
        <v>150</v>
      </c>
      <c r="D186" s="1" t="n">
        <v>57</v>
      </c>
      <c r="E186" s="1" t="n">
        <v>4</v>
      </c>
      <c r="F186" s="1" t="n">
        <v>84</v>
      </c>
      <c r="G186" s="1" t="n">
        <v>0</v>
      </c>
      <c r="H186" s="1" t="n">
        <v>7</v>
      </c>
      <c r="I186" s="1" t="n">
        <v>0</v>
      </c>
      <c r="J186" s="1" t="n">
        <v>58</v>
      </c>
      <c r="L186" s="1" t="n">
        <f aca="false">C186/(A186/60)</f>
        <v>29.0791599353796</v>
      </c>
      <c r="M186" s="1" t="n">
        <f aca="false">D186/(A186/60)</f>
        <v>11.0500807754443</v>
      </c>
      <c r="N186" s="1" t="n">
        <f aca="false">SUM(E186:J186)/(A186/60)</f>
        <v>29.6607431340872</v>
      </c>
    </row>
    <row r="187" customFormat="false" ht="14.25" hidden="false" customHeight="false" outlineLevel="0" collapsed="false">
      <c r="A187" s="1" t="n">
        <v>437</v>
      </c>
      <c r="B187" s="1" t="n">
        <v>34</v>
      </c>
      <c r="C187" s="1" t="n">
        <v>232</v>
      </c>
      <c r="D187" s="1" t="n">
        <v>4</v>
      </c>
      <c r="E187" s="1" t="n">
        <v>5</v>
      </c>
      <c r="F187" s="1" t="n">
        <v>8</v>
      </c>
      <c r="G187" s="1" t="n">
        <v>1</v>
      </c>
      <c r="H187" s="1" t="n">
        <v>2</v>
      </c>
      <c r="I187" s="1" t="n">
        <v>0</v>
      </c>
      <c r="J187" s="1" t="n">
        <v>217</v>
      </c>
      <c r="L187" s="1" t="n">
        <f aca="false">C187/(A187/60)</f>
        <v>31.8535469107552</v>
      </c>
      <c r="M187" s="1" t="n">
        <f aca="false">D187/(A187/60)</f>
        <v>0.549199084668192</v>
      </c>
      <c r="N187" s="1" t="n">
        <f aca="false">SUM(E187:J187)/(A187/60)</f>
        <v>31.9908466819222</v>
      </c>
    </row>
    <row r="188" customFormat="false" ht="14.25" hidden="false" customHeight="false" outlineLevel="0" collapsed="false">
      <c r="A188" s="1" t="n">
        <v>423.5</v>
      </c>
      <c r="B188" s="1" t="n">
        <v>52</v>
      </c>
      <c r="C188" s="1" t="n">
        <v>203</v>
      </c>
      <c r="D188" s="1" t="n">
        <v>39</v>
      </c>
      <c r="E188" s="1" t="n">
        <v>0</v>
      </c>
      <c r="F188" s="1" t="n">
        <v>21</v>
      </c>
      <c r="G188" s="1" t="n">
        <v>0</v>
      </c>
      <c r="H188" s="1" t="n">
        <v>3</v>
      </c>
      <c r="I188" s="1" t="n">
        <v>0</v>
      </c>
      <c r="J188" s="1" t="n">
        <v>10</v>
      </c>
      <c r="L188" s="1" t="n">
        <f aca="false">C188/(A188/60)</f>
        <v>28.7603305785124</v>
      </c>
      <c r="M188" s="1" t="n">
        <f aca="false">D188/(A188/60)</f>
        <v>5.52538370720189</v>
      </c>
      <c r="N188" s="1" t="n">
        <f aca="false">SUM(E188:J188)/(A188/60)</f>
        <v>4.81700118063754</v>
      </c>
    </row>
    <row r="189" customFormat="false" ht="14.25" hidden="false" customHeight="false" outlineLevel="0" collapsed="false">
      <c r="A189" s="1" t="n">
        <v>355.5</v>
      </c>
      <c r="B189" s="1" t="n">
        <v>22</v>
      </c>
      <c r="C189" s="1" t="n">
        <v>44</v>
      </c>
      <c r="D189" s="1" t="n">
        <v>0</v>
      </c>
      <c r="E189" s="1" t="n">
        <v>0</v>
      </c>
      <c r="F189" s="1" t="n">
        <v>2</v>
      </c>
      <c r="G189" s="1" t="n">
        <v>5</v>
      </c>
      <c r="H189" s="1" t="n">
        <v>5</v>
      </c>
      <c r="I189" s="1" t="n">
        <v>0</v>
      </c>
      <c r="J189" s="1" t="n">
        <v>21</v>
      </c>
      <c r="L189" s="1" t="n">
        <f aca="false">C189/(A189/60)</f>
        <v>7.42616033755274</v>
      </c>
      <c r="M189" s="1" t="n">
        <f aca="false">D189/(A189/60)</f>
        <v>0</v>
      </c>
      <c r="N189" s="1" t="n">
        <f aca="false">SUM(E189:J189)/(A189/60)</f>
        <v>5.56962025316456</v>
      </c>
    </row>
    <row r="190" customFormat="false" ht="14.25" hidden="false" customHeight="false" outlineLevel="0" collapsed="false">
      <c r="A190" s="1" t="n">
        <v>407</v>
      </c>
      <c r="B190" s="1" t="n">
        <v>38</v>
      </c>
      <c r="C190" s="1" t="n">
        <v>140</v>
      </c>
      <c r="D190" s="1" t="n">
        <v>0</v>
      </c>
      <c r="E190" s="1" t="n">
        <v>0</v>
      </c>
      <c r="F190" s="1" t="n">
        <v>0</v>
      </c>
      <c r="G190" s="1" t="n">
        <v>9</v>
      </c>
      <c r="H190" s="1" t="n">
        <v>4</v>
      </c>
      <c r="I190" s="1" t="n">
        <v>0</v>
      </c>
      <c r="J190" s="1" t="n">
        <v>40</v>
      </c>
      <c r="L190" s="1" t="n">
        <f aca="false">C190/(A190/60)</f>
        <v>20.6388206388206</v>
      </c>
      <c r="M190" s="1" t="n">
        <f aca="false">D190/(A190/60)</f>
        <v>0</v>
      </c>
      <c r="N190" s="1" t="n">
        <f aca="false">SUM(E190:J190)/(A190/60)</f>
        <v>7.81326781326781</v>
      </c>
    </row>
    <row r="191" customFormat="false" ht="14.25" hidden="false" customHeight="false" outlineLevel="0" collapsed="false">
      <c r="A191" s="1" t="n">
        <v>315.5</v>
      </c>
      <c r="B191" s="1" t="n">
        <v>45</v>
      </c>
      <c r="C191" s="1" t="n">
        <v>150</v>
      </c>
      <c r="D191" s="1" t="n">
        <v>0</v>
      </c>
      <c r="E191" s="1" t="n">
        <v>0</v>
      </c>
      <c r="F191" s="1" t="n">
        <v>0</v>
      </c>
      <c r="G191" s="1" t="n">
        <v>2</v>
      </c>
      <c r="H191" s="1" t="n">
        <v>0</v>
      </c>
      <c r="I191" s="1" t="n">
        <v>0</v>
      </c>
      <c r="J191" s="1" t="n">
        <v>60</v>
      </c>
      <c r="L191" s="1" t="n">
        <f aca="false">C191/(A191/60)</f>
        <v>28.5261489698891</v>
      </c>
      <c r="M191" s="1" t="n">
        <f aca="false">D191/(A191/60)</f>
        <v>0</v>
      </c>
      <c r="N191" s="1" t="n">
        <f aca="false">SUM(E191:J191)/(A191/60)</f>
        <v>11.7908082408875</v>
      </c>
    </row>
    <row r="192" customFormat="false" ht="14.25" hidden="false" customHeight="false" outlineLevel="0" collapsed="false">
      <c r="A192" s="1" t="n">
        <v>356.5</v>
      </c>
      <c r="C192" s="1" t="n">
        <v>40</v>
      </c>
      <c r="D192" s="1" t="n">
        <v>0</v>
      </c>
      <c r="E192" s="1" t="n">
        <v>0</v>
      </c>
      <c r="F192" s="1" t="n">
        <v>17</v>
      </c>
      <c r="G192" s="1" t="n">
        <v>2</v>
      </c>
      <c r="H192" s="1" t="n">
        <v>6</v>
      </c>
      <c r="I192" s="1" t="n">
        <v>0</v>
      </c>
      <c r="J192" s="1" t="n">
        <v>2</v>
      </c>
      <c r="L192" s="1" t="n">
        <f aca="false">C192/(A192/60)</f>
        <v>6.73211781206171</v>
      </c>
      <c r="M192" s="1" t="n">
        <f aca="false">D192/(A192/60)</f>
        <v>0</v>
      </c>
      <c r="N192" s="1" t="n">
        <f aca="false">SUM(E192:J192)/(A192/60)</f>
        <v>4.54417952314166</v>
      </c>
    </row>
    <row r="193" customFormat="false" ht="14.25" hidden="false" customHeight="false" outlineLevel="0" collapsed="false">
      <c r="A193" s="1" t="n">
        <v>355</v>
      </c>
      <c r="B193" s="1" t="n">
        <v>64</v>
      </c>
      <c r="C193" s="1" t="n">
        <v>100</v>
      </c>
      <c r="D193" s="1" t="n">
        <v>0</v>
      </c>
      <c r="E193" s="1" t="n">
        <v>6</v>
      </c>
      <c r="F193" s="1" t="n">
        <v>54</v>
      </c>
      <c r="G193" s="1" t="n">
        <v>0</v>
      </c>
      <c r="H193" s="1" t="n">
        <v>1</v>
      </c>
      <c r="I193" s="1" t="n">
        <v>0</v>
      </c>
      <c r="J193" s="1" t="n">
        <v>10</v>
      </c>
      <c r="L193" s="1" t="n">
        <f aca="false">C193/(A193/60)</f>
        <v>16.9014084507042</v>
      </c>
      <c r="M193" s="1" t="n">
        <f aca="false">D193/(A193/60)</f>
        <v>0</v>
      </c>
      <c r="N193" s="1" t="n">
        <f aca="false">SUM(E193:J193)/(A193/60)</f>
        <v>12</v>
      </c>
    </row>
    <row r="194" customFormat="false" ht="14.25" hidden="false" customHeight="false" outlineLevel="0" collapsed="false">
      <c r="A194" s="1" t="n">
        <v>361.5</v>
      </c>
      <c r="B194" s="1" t="n">
        <v>66</v>
      </c>
      <c r="C194" s="1" t="n">
        <v>156</v>
      </c>
      <c r="D194" s="1" t="n">
        <v>20</v>
      </c>
      <c r="E194" s="1" t="n">
        <v>4</v>
      </c>
      <c r="F194" s="1" t="n">
        <v>122</v>
      </c>
      <c r="G194" s="1" t="n">
        <v>0</v>
      </c>
      <c r="H194" s="1" t="n">
        <v>5</v>
      </c>
      <c r="I194" s="1" t="n">
        <v>0</v>
      </c>
      <c r="J194" s="1" t="n">
        <v>14</v>
      </c>
      <c r="L194" s="1" t="n">
        <f aca="false">C194/(A194/60)</f>
        <v>25.8921161825726</v>
      </c>
      <c r="M194" s="1" t="n">
        <f aca="false">D194/(A194/60)</f>
        <v>3.3195020746888</v>
      </c>
      <c r="N194" s="1" t="n">
        <f aca="false">SUM(E194:J194)/(A194/60)</f>
        <v>24.0663900414938</v>
      </c>
    </row>
    <row r="195" customFormat="false" ht="14.25" hidden="false" customHeight="false" outlineLevel="0" collapsed="false">
      <c r="A195" s="1" t="n">
        <v>378.5</v>
      </c>
      <c r="B195" s="1" t="n">
        <v>39</v>
      </c>
      <c r="C195" s="1" t="n">
        <v>11</v>
      </c>
      <c r="D195" s="1" t="n">
        <v>21</v>
      </c>
      <c r="E195" s="1" t="n">
        <v>0</v>
      </c>
      <c r="F195" s="1" t="n">
        <v>27</v>
      </c>
      <c r="G195" s="1" t="n">
        <v>0</v>
      </c>
      <c r="H195" s="1" t="n">
        <v>8</v>
      </c>
      <c r="I195" s="1" t="n">
        <v>0</v>
      </c>
      <c r="J195" s="1" t="n">
        <v>10</v>
      </c>
      <c r="L195" s="1" t="n">
        <f aca="false">C195/(A195/60)</f>
        <v>1.74372523117569</v>
      </c>
      <c r="M195" s="1" t="n">
        <f aca="false">D195/(A195/60)</f>
        <v>3.32892998678996</v>
      </c>
      <c r="N195" s="1" t="n">
        <f aca="false">SUM(E195:J195)/(A195/60)</f>
        <v>7.1334214002642</v>
      </c>
    </row>
    <row r="196" customFormat="false" ht="14.25" hidden="false" customHeight="false" outlineLevel="0" collapsed="false">
      <c r="A196" s="1" t="n">
        <v>385.5</v>
      </c>
      <c r="B196" s="1" t="n">
        <v>36</v>
      </c>
      <c r="C196" s="1" t="n">
        <v>38</v>
      </c>
      <c r="D196" s="1" t="n">
        <v>23</v>
      </c>
      <c r="E196" s="1" t="n">
        <v>1</v>
      </c>
      <c r="F196" s="1" t="n">
        <v>6</v>
      </c>
      <c r="G196" s="1" t="n">
        <v>0</v>
      </c>
      <c r="H196" s="1" t="n">
        <v>2</v>
      </c>
      <c r="I196" s="1" t="n">
        <v>0</v>
      </c>
      <c r="J196" s="1" t="n">
        <v>13</v>
      </c>
      <c r="L196" s="1" t="n">
        <f aca="false">C196/(A196/60)</f>
        <v>5.91439688715953</v>
      </c>
      <c r="M196" s="1" t="n">
        <f aca="false">D196/(A196/60)</f>
        <v>3.57976653696498</v>
      </c>
      <c r="N196" s="1" t="n">
        <f aca="false">SUM(E196:J196)/(A196/60)</f>
        <v>3.42412451361868</v>
      </c>
    </row>
    <row r="197" customFormat="false" ht="14.25" hidden="false" customHeight="false" outlineLevel="0" collapsed="false">
      <c r="A197" s="1" t="n">
        <v>392</v>
      </c>
      <c r="B197" s="1" t="n">
        <v>65</v>
      </c>
      <c r="C197" s="1" t="n">
        <v>171</v>
      </c>
      <c r="D197" s="1" t="n">
        <v>129</v>
      </c>
      <c r="E197" s="1" t="n">
        <v>4</v>
      </c>
      <c r="F197" s="1" t="n">
        <v>27</v>
      </c>
      <c r="G197" s="1" t="n">
        <v>9</v>
      </c>
      <c r="H197" s="1" t="n">
        <v>1</v>
      </c>
      <c r="I197" s="1" t="n">
        <v>0</v>
      </c>
      <c r="J197" s="1" t="n">
        <v>117</v>
      </c>
      <c r="L197" s="1" t="n">
        <f aca="false">C197/(A197/60)</f>
        <v>26.1734693877551</v>
      </c>
      <c r="M197" s="1" t="n">
        <f aca="false">D197/(A197/60)</f>
        <v>19.7448979591837</v>
      </c>
      <c r="N197" s="1" t="n">
        <f aca="false">SUM(E197:J197)/(A197/60)</f>
        <v>24.1836734693878</v>
      </c>
    </row>
    <row r="198" customFormat="false" ht="14.25" hidden="false" customHeight="false" outlineLevel="0" collapsed="false">
      <c r="A198" s="1" t="n">
        <v>399.5</v>
      </c>
      <c r="B198" s="1" t="n">
        <v>79</v>
      </c>
      <c r="C198" s="1" t="n">
        <v>43</v>
      </c>
      <c r="D198" s="1" t="n">
        <v>0</v>
      </c>
      <c r="E198" s="1" t="n">
        <v>1</v>
      </c>
      <c r="F198" s="1" t="n">
        <v>9</v>
      </c>
      <c r="G198" s="1" t="n">
        <v>38</v>
      </c>
      <c r="H198" s="1" t="n">
        <v>93</v>
      </c>
      <c r="I198" s="1" t="n">
        <v>0</v>
      </c>
      <c r="J198" s="1" t="n">
        <v>0</v>
      </c>
      <c r="K198" s="1" t="s">
        <v>1687</v>
      </c>
      <c r="L198" s="1" t="n">
        <f aca="false">C198/(A198/60)</f>
        <v>6.45807259073842</v>
      </c>
      <c r="M198" s="1" t="n">
        <f aca="false">D198/(A198/60)</f>
        <v>0</v>
      </c>
      <c r="N198" s="1" t="n">
        <f aca="false">SUM(E198:J198)/(A198/60)</f>
        <v>21.1764705882353</v>
      </c>
    </row>
    <row r="199" customFormat="false" ht="14.25" hidden="false" customHeight="false" outlineLevel="0" collapsed="false">
      <c r="A199" s="1" t="n">
        <v>206</v>
      </c>
      <c r="B199" s="1" t="n">
        <v>79</v>
      </c>
      <c r="C199" s="1" t="n">
        <v>26</v>
      </c>
      <c r="D199" s="1" t="n">
        <v>0</v>
      </c>
      <c r="E199" s="1" t="n">
        <v>32</v>
      </c>
      <c r="F199" s="1" t="n">
        <v>33</v>
      </c>
      <c r="G199" s="1" t="n">
        <v>0</v>
      </c>
      <c r="H199" s="1" t="n">
        <v>12</v>
      </c>
      <c r="I199" s="1" t="n">
        <v>0</v>
      </c>
      <c r="J199" s="1" t="n">
        <v>3</v>
      </c>
      <c r="L199" s="1" t="n">
        <f aca="false">C199/(A199/60)</f>
        <v>7.57281553398058</v>
      </c>
      <c r="M199" s="1" t="n">
        <f aca="false">D199/(A199/60)</f>
        <v>0</v>
      </c>
      <c r="N199" s="1" t="n">
        <f aca="false">SUM(E199:J199)/(A199/60)</f>
        <v>23.3009708737864</v>
      </c>
    </row>
    <row r="200" customFormat="false" ht="14.25" hidden="false" customHeight="false" outlineLevel="0" collapsed="false">
      <c r="A200" s="1" t="n">
        <v>237.5</v>
      </c>
      <c r="B200" s="1" t="n">
        <v>79</v>
      </c>
      <c r="C200" s="1" t="n">
        <v>72</v>
      </c>
      <c r="D200" s="1" t="n">
        <v>0</v>
      </c>
      <c r="E200" s="1" t="n">
        <v>78</v>
      </c>
      <c r="F200" s="1" t="n">
        <v>32</v>
      </c>
      <c r="G200" s="1" t="n">
        <v>14</v>
      </c>
      <c r="H200" s="1" t="n">
        <v>11</v>
      </c>
      <c r="I200" s="1" t="n">
        <v>64</v>
      </c>
      <c r="J200" s="1" t="n">
        <v>3</v>
      </c>
      <c r="L200" s="1" t="n">
        <f aca="false">C200/(A200/60)</f>
        <v>18.1894736842105</v>
      </c>
      <c r="M200" s="1" t="n">
        <f aca="false">D200/(A200/60)</f>
        <v>0</v>
      </c>
      <c r="N200" s="1" t="n">
        <f aca="false">SUM(E200:J200)/(A200/60)</f>
        <v>51.0315789473684</v>
      </c>
    </row>
    <row r="201" customFormat="false" ht="14.25" hidden="false" customHeight="false" outlineLevel="0" collapsed="false">
      <c r="A201" s="1" t="n">
        <v>291</v>
      </c>
      <c r="B201" s="1" t="n">
        <v>81</v>
      </c>
      <c r="C201" s="1" t="n">
        <v>115</v>
      </c>
      <c r="D201" s="1" t="n">
        <v>0</v>
      </c>
      <c r="E201" s="1" t="n">
        <v>0</v>
      </c>
      <c r="F201" s="1" t="n">
        <v>4</v>
      </c>
      <c r="G201" s="1" t="n">
        <v>11</v>
      </c>
      <c r="H201" s="1" t="n">
        <v>3</v>
      </c>
      <c r="I201" s="1" t="n">
        <v>0</v>
      </c>
      <c r="J201" s="1" t="n">
        <v>0</v>
      </c>
      <c r="L201" s="1" t="n">
        <f aca="false">C201/(A201/60)</f>
        <v>23.7113402061856</v>
      </c>
      <c r="M201" s="1" t="n">
        <f aca="false">D201/(A201/60)</f>
        <v>0</v>
      </c>
      <c r="N201" s="1" t="n">
        <f aca="false">SUM(E201:J201)/(A201/60)</f>
        <v>3.71134020618557</v>
      </c>
    </row>
    <row r="202" customFormat="false" ht="14.25" hidden="false" customHeight="false" outlineLevel="0" collapsed="false">
      <c r="A202" s="1" t="n">
        <v>396.5</v>
      </c>
      <c r="B202" s="1" t="n">
        <v>43</v>
      </c>
      <c r="C202" s="1" t="n">
        <v>193</v>
      </c>
      <c r="D202" s="1" t="n">
        <v>151</v>
      </c>
      <c r="E202" s="1" t="n">
        <v>0</v>
      </c>
      <c r="F202" s="1" t="n">
        <v>40</v>
      </c>
      <c r="G202" s="1" t="n">
        <v>0</v>
      </c>
      <c r="H202" s="1" t="n">
        <v>5</v>
      </c>
      <c r="I202" s="1" t="n">
        <v>0</v>
      </c>
      <c r="J202" s="1" t="n">
        <v>24</v>
      </c>
      <c r="L202" s="1" t="n">
        <f aca="false">C202/(A202/60)</f>
        <v>29.2055485498108</v>
      </c>
      <c r="M202" s="1" t="n">
        <f aca="false">D202/(A202/60)</f>
        <v>22.8499369482976</v>
      </c>
      <c r="N202" s="1" t="n">
        <f aca="false">SUM(E202:J202)/(A202/60)</f>
        <v>10.4413619167718</v>
      </c>
    </row>
    <row r="203" customFormat="false" ht="14.25" hidden="false" customHeight="false" outlineLevel="0" collapsed="false">
      <c r="A203" s="1" t="n">
        <v>375</v>
      </c>
      <c r="B203" s="1" t="n">
        <v>43</v>
      </c>
      <c r="C203" s="1" t="n">
        <v>147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0</v>
      </c>
      <c r="J203" s="1" t="n">
        <v>0</v>
      </c>
      <c r="L203" s="1" t="n">
        <f aca="false">C203/(A203/60)</f>
        <v>23.52</v>
      </c>
      <c r="M203" s="1" t="n">
        <f aca="false">D203/(A203/60)</f>
        <v>0</v>
      </c>
      <c r="N203" s="1" t="n">
        <f aca="false">SUM(E203:J203)/(A203/60)</f>
        <v>0.32</v>
      </c>
    </row>
    <row r="204" customFormat="false" ht="14.25" hidden="false" customHeight="false" outlineLevel="0" collapsed="false">
      <c r="A204" s="1" t="n">
        <v>410</v>
      </c>
      <c r="B204" s="1" t="n">
        <v>37</v>
      </c>
      <c r="C204" s="1" t="n">
        <v>75</v>
      </c>
      <c r="D204" s="1" t="n">
        <v>0</v>
      </c>
      <c r="E204" s="1" t="n">
        <v>66</v>
      </c>
      <c r="F204" s="1" t="n">
        <v>78</v>
      </c>
      <c r="G204" s="1" t="n">
        <v>2</v>
      </c>
      <c r="H204" s="1" t="n">
        <v>11</v>
      </c>
      <c r="I204" s="1" t="n">
        <v>0</v>
      </c>
      <c r="J204" s="1" t="n">
        <v>11</v>
      </c>
      <c r="L204" s="1" t="n">
        <f aca="false">C204/(A204/60)</f>
        <v>10.9756097560976</v>
      </c>
      <c r="M204" s="1" t="n">
        <f aca="false">D204/(A204/60)</f>
        <v>0</v>
      </c>
      <c r="N204" s="1" t="n">
        <f aca="false">SUM(E204:J204)/(A204/60)</f>
        <v>24.5853658536585</v>
      </c>
    </row>
    <row r="205" customFormat="false" ht="14.25" hidden="false" customHeight="false" outlineLevel="0" collapsed="false">
      <c r="A205" s="1" t="n">
        <v>391.5</v>
      </c>
      <c r="B205" s="1" t="n">
        <v>38</v>
      </c>
      <c r="C205" s="1" t="n">
        <v>142</v>
      </c>
      <c r="D205" s="1" t="n">
        <v>0</v>
      </c>
      <c r="E205" s="1" t="n">
        <v>4</v>
      </c>
      <c r="F205" s="1" t="n">
        <v>1</v>
      </c>
      <c r="G205" s="1" t="n">
        <v>0</v>
      </c>
      <c r="H205" s="1" t="n">
        <v>10</v>
      </c>
      <c r="I205" s="1" t="n">
        <v>0</v>
      </c>
      <c r="J205" s="1" t="n">
        <v>0</v>
      </c>
      <c r="L205" s="1" t="n">
        <f aca="false">C205/(A205/60)</f>
        <v>21.7624521072797</v>
      </c>
      <c r="M205" s="1" t="n">
        <f aca="false">D205/(A205/60)</f>
        <v>0</v>
      </c>
      <c r="N205" s="1" t="n">
        <f aca="false">SUM(E205:J205)/(A205/60)</f>
        <v>2.29885057471264</v>
      </c>
    </row>
    <row r="206" customFormat="false" ht="14.25" hidden="false" customHeight="false" outlineLevel="0" collapsed="false">
      <c r="A206" s="1" t="n">
        <v>373.5</v>
      </c>
      <c r="B206" s="1" t="n">
        <v>41</v>
      </c>
      <c r="C206" s="1" t="n">
        <v>31</v>
      </c>
      <c r="D206" s="1" t="n">
        <v>13</v>
      </c>
      <c r="E206" s="1" t="n">
        <v>0</v>
      </c>
      <c r="F206" s="1" t="n">
        <v>7</v>
      </c>
      <c r="G206" s="1" t="n">
        <v>1</v>
      </c>
      <c r="H206" s="1" t="n">
        <v>1</v>
      </c>
      <c r="I206" s="1" t="n">
        <v>0</v>
      </c>
      <c r="J206" s="1" t="n">
        <v>3</v>
      </c>
      <c r="L206" s="1" t="n">
        <f aca="false">C206/(A206/60)</f>
        <v>4.97991967871486</v>
      </c>
      <c r="M206" s="1" t="n">
        <f aca="false">D206/(A206/60)</f>
        <v>2.08835341365462</v>
      </c>
      <c r="N206" s="1" t="n">
        <f aca="false">SUM(E206:J206)/(A206/60)</f>
        <v>1.92771084337349</v>
      </c>
    </row>
    <row r="207" customFormat="false" ht="14.25" hidden="false" customHeight="false" outlineLevel="0" collapsed="false">
      <c r="A207" s="1" t="n">
        <v>397</v>
      </c>
      <c r="B207" s="1" t="n">
        <v>43</v>
      </c>
      <c r="C207" s="1" t="n">
        <v>145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L207" s="1" t="n">
        <f aca="false">C207/(A207/60)</f>
        <v>21.9143576826197</v>
      </c>
      <c r="M207" s="1" t="n">
        <f aca="false">D207/(A207/60)</f>
        <v>0</v>
      </c>
      <c r="N207" s="1" t="n">
        <f aca="false">SUM(E207:J207)/(A207/60)</f>
        <v>0.151133501259446</v>
      </c>
    </row>
    <row r="208" customFormat="false" ht="14.25" hidden="false" customHeight="false" outlineLevel="0" collapsed="false">
      <c r="A208" s="1" t="n">
        <v>435.5</v>
      </c>
      <c r="B208" s="1" t="n">
        <v>29</v>
      </c>
      <c r="C208" s="1" t="n">
        <v>154</v>
      </c>
      <c r="D208" s="1" t="n">
        <v>0</v>
      </c>
      <c r="E208" s="1" t="n">
        <v>0</v>
      </c>
      <c r="F208" s="1" t="n">
        <v>13</v>
      </c>
      <c r="G208" s="1" t="n">
        <v>2</v>
      </c>
      <c r="H208" s="1" t="n">
        <v>3</v>
      </c>
      <c r="I208" s="1" t="n">
        <v>0</v>
      </c>
      <c r="J208" s="1" t="n">
        <v>59</v>
      </c>
      <c r="L208" s="1" t="n">
        <f aca="false">C208/(A208/60)</f>
        <v>21.2169919632606</v>
      </c>
      <c r="M208" s="1" t="n">
        <f aca="false">D208/(A208/60)</f>
        <v>0</v>
      </c>
      <c r="N208" s="1" t="n">
        <f aca="false">SUM(E208:J208)/(A208/60)</f>
        <v>10.6084959816303</v>
      </c>
    </row>
    <row r="209" customFormat="false" ht="14.25" hidden="false" customHeight="false" outlineLevel="0" collapsed="false">
      <c r="A209" s="1" t="n">
        <v>425.5</v>
      </c>
      <c r="B209" s="1" t="n">
        <v>29</v>
      </c>
      <c r="C209" s="1" t="n">
        <v>157</v>
      </c>
      <c r="D209" s="1" t="n">
        <v>0</v>
      </c>
      <c r="E209" s="1" t="n">
        <v>1</v>
      </c>
      <c r="F209" s="1" t="n">
        <v>37</v>
      </c>
      <c r="G209" s="1" t="n">
        <v>0</v>
      </c>
      <c r="H209" s="1" t="n">
        <v>4</v>
      </c>
      <c r="I209" s="1" t="n">
        <v>0</v>
      </c>
      <c r="J209" s="1" t="n">
        <v>9</v>
      </c>
      <c r="L209" s="1" t="n">
        <f aca="false">C209/(A209/60)</f>
        <v>22.13866039953</v>
      </c>
      <c r="M209" s="1" t="n">
        <f aca="false">D209/(A209/60)</f>
        <v>0</v>
      </c>
      <c r="N209" s="1" t="n">
        <f aca="false">SUM(E209:J209)/(A209/60)</f>
        <v>7.19153936545241</v>
      </c>
    </row>
    <row r="210" customFormat="false" ht="14.25" hidden="false" customHeight="false" outlineLevel="0" collapsed="false">
      <c r="A210" s="1" t="n">
        <v>410.5</v>
      </c>
      <c r="B210" s="1" t="n">
        <v>48</v>
      </c>
      <c r="C210" s="1" t="n">
        <v>198</v>
      </c>
      <c r="D210" s="1" t="n">
        <v>0</v>
      </c>
      <c r="E210" s="1" t="n">
        <v>6</v>
      </c>
      <c r="F210" s="1" t="n">
        <v>9</v>
      </c>
      <c r="G210" s="1" t="n">
        <v>0</v>
      </c>
      <c r="H210" s="1" t="n">
        <v>4</v>
      </c>
      <c r="I210" s="1" t="n">
        <v>0</v>
      </c>
      <c r="J210" s="1" t="n">
        <v>136</v>
      </c>
      <c r="L210" s="1" t="n">
        <f aca="false">C210/(A210/60)</f>
        <v>28.9403166869671</v>
      </c>
      <c r="M210" s="1" t="n">
        <f aca="false">D210/(A210/60)</f>
        <v>0</v>
      </c>
      <c r="N210" s="1" t="n">
        <f aca="false">SUM(E210:J210)/(A210/60)</f>
        <v>22.6552984165652</v>
      </c>
    </row>
    <row r="211" customFormat="false" ht="14.25" hidden="false" customHeight="false" outlineLevel="0" collapsed="false">
      <c r="A211" s="1" t="n">
        <v>427</v>
      </c>
      <c r="B211" s="1" t="n">
        <v>48</v>
      </c>
      <c r="C211" s="1" t="n">
        <v>18</v>
      </c>
      <c r="D211" s="1" t="n">
        <v>0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L211" s="1" t="n">
        <f aca="false">C211/(A211/60)</f>
        <v>2.52927400468384</v>
      </c>
      <c r="M211" s="1" t="n">
        <f aca="false">D211/(A211/60)</f>
        <v>0</v>
      </c>
      <c r="N211" s="1" t="n">
        <f aca="false">SUM(E211:J211)/(A211/60)</f>
        <v>0.140515222482436</v>
      </c>
    </row>
    <row r="212" customFormat="false" ht="14.25" hidden="false" customHeight="false" outlineLevel="0" collapsed="false">
      <c r="A212" s="1" t="n">
        <v>391</v>
      </c>
      <c r="B212" s="1" t="n">
        <v>26</v>
      </c>
      <c r="C212" s="1" t="n">
        <v>44</v>
      </c>
      <c r="D212" s="1" t="n">
        <v>0</v>
      </c>
      <c r="E212" s="1" t="n">
        <v>4</v>
      </c>
      <c r="F212" s="1" t="n">
        <v>23</v>
      </c>
      <c r="G212" s="1" t="n">
        <v>2</v>
      </c>
      <c r="H212" s="1" t="n">
        <v>7</v>
      </c>
      <c r="I212" s="1" t="n">
        <v>0</v>
      </c>
      <c r="J212" s="1" t="n">
        <v>8</v>
      </c>
      <c r="L212" s="1" t="n">
        <f aca="false">C212/(A212/60)</f>
        <v>6.75191815856778</v>
      </c>
      <c r="M212" s="1" t="n">
        <f aca="false">D212/(A212/60)</f>
        <v>0</v>
      </c>
      <c r="N212" s="1" t="n">
        <f aca="false">SUM(E212:J212)/(A212/60)</f>
        <v>6.75191815856778</v>
      </c>
    </row>
    <row r="213" customFormat="false" ht="14.25" hidden="false" customHeight="false" outlineLevel="0" collapsed="false">
      <c r="A213" s="1" t="n">
        <v>428.5</v>
      </c>
      <c r="B213" s="1" t="n">
        <v>27</v>
      </c>
      <c r="C213" s="1" t="n">
        <v>134</v>
      </c>
      <c r="D213" s="1" t="n">
        <v>5</v>
      </c>
      <c r="E213" s="1" t="n">
        <v>0</v>
      </c>
      <c r="F213" s="1" t="n">
        <v>8</v>
      </c>
      <c r="G213" s="1" t="n">
        <v>0</v>
      </c>
      <c r="H213" s="1" t="n">
        <v>6</v>
      </c>
      <c r="I213" s="1" t="n">
        <v>0</v>
      </c>
      <c r="J213" s="1" t="n">
        <v>47</v>
      </c>
      <c r="L213" s="1" t="n">
        <f aca="false">C213/(A213/60)</f>
        <v>18.7631271878646</v>
      </c>
      <c r="M213" s="1" t="n">
        <f aca="false">D213/(A213/60)</f>
        <v>0.700116686114352</v>
      </c>
      <c r="N213" s="1" t="n">
        <f aca="false">SUM(E213:J213)/(A213/60)</f>
        <v>8.5414235705951</v>
      </c>
    </row>
    <row r="214" customFormat="false" ht="14.25" hidden="false" customHeight="false" outlineLevel="0" collapsed="false">
      <c r="A214" s="1" t="n">
        <v>394.5</v>
      </c>
      <c r="B214" s="1" t="n">
        <v>30</v>
      </c>
      <c r="C214" s="1" t="n">
        <v>128</v>
      </c>
      <c r="D214" s="1" t="n">
        <v>0</v>
      </c>
      <c r="E214" s="1" t="n">
        <v>0</v>
      </c>
      <c r="F214" s="1" t="n">
        <v>4</v>
      </c>
      <c r="G214" s="1" t="n">
        <v>0</v>
      </c>
      <c r="H214" s="1" t="n">
        <v>2</v>
      </c>
      <c r="I214" s="1" t="n">
        <v>0</v>
      </c>
      <c r="J214" s="1" t="n">
        <v>5</v>
      </c>
      <c r="K214" s="1" t="s">
        <v>1688</v>
      </c>
      <c r="L214" s="1" t="n">
        <f aca="false">C214/(A214/60)</f>
        <v>19.467680608365</v>
      </c>
      <c r="M214" s="1" t="n">
        <f aca="false">D214/(A214/60)</f>
        <v>0</v>
      </c>
      <c r="N214" s="1" t="n">
        <f aca="false">SUM(E214:J214)/(A214/60)</f>
        <v>1.67300380228137</v>
      </c>
    </row>
    <row r="215" customFormat="false" ht="14.25" hidden="false" customHeight="false" outlineLevel="0" collapsed="false">
      <c r="A215" s="1" t="n">
        <v>413</v>
      </c>
      <c r="B215" s="1" t="n">
        <v>41</v>
      </c>
      <c r="C215" s="1" t="n">
        <v>132</v>
      </c>
      <c r="D215" s="1" t="n">
        <v>27</v>
      </c>
      <c r="E215" s="1" t="n">
        <v>0</v>
      </c>
      <c r="F215" s="1" t="n">
        <v>2</v>
      </c>
      <c r="G215" s="1" t="n">
        <v>0</v>
      </c>
      <c r="H215" s="1" t="n">
        <v>3</v>
      </c>
      <c r="I215" s="1" t="n">
        <v>0</v>
      </c>
      <c r="J215" s="1" t="n">
        <v>23</v>
      </c>
      <c r="L215" s="1" t="n">
        <f aca="false">C215/(A215/60)</f>
        <v>19.1767554479419</v>
      </c>
      <c r="M215" s="1" t="n">
        <f aca="false">D215/(A215/60)</f>
        <v>3.9225181598063</v>
      </c>
      <c r="N215" s="1" t="n">
        <f aca="false">SUM(E215:J215)/(A215/60)</f>
        <v>4.06779661016949</v>
      </c>
    </row>
    <row r="216" customFormat="false" ht="14.25" hidden="false" customHeight="false" outlineLevel="0" collapsed="false">
      <c r="A216" s="1" t="n">
        <v>367.5</v>
      </c>
      <c r="C216" s="1" t="n">
        <v>94</v>
      </c>
      <c r="D216" s="1" t="n">
        <v>13</v>
      </c>
      <c r="E216" s="1" t="n">
        <v>4</v>
      </c>
      <c r="F216" s="1" t="n">
        <v>20</v>
      </c>
      <c r="G216" s="1" t="n">
        <v>0</v>
      </c>
      <c r="H216" s="1" t="n">
        <v>3</v>
      </c>
      <c r="I216" s="1" t="n">
        <v>21</v>
      </c>
      <c r="J216" s="1" t="n">
        <v>4</v>
      </c>
      <c r="L216" s="1" t="n">
        <f aca="false">C216/(A216/60)</f>
        <v>15.3469387755102</v>
      </c>
      <c r="M216" s="1" t="n">
        <f aca="false">D216/(A216/60)</f>
        <v>2.12244897959184</v>
      </c>
      <c r="N216" s="1" t="n">
        <f aca="false">SUM(E216:J216)/(A216/60)</f>
        <v>8.48979591836735</v>
      </c>
    </row>
    <row r="217" customFormat="false" ht="14.25" hidden="false" customHeight="false" outlineLevel="0" collapsed="false">
      <c r="A217" s="1" t="n">
        <v>310</v>
      </c>
      <c r="C217" s="1" t="n">
        <v>113</v>
      </c>
      <c r="D217" s="1" t="n">
        <v>4</v>
      </c>
      <c r="E217" s="1" t="n">
        <v>0</v>
      </c>
      <c r="F217" s="1" t="n">
        <v>4</v>
      </c>
      <c r="G217" s="1" t="n">
        <v>0</v>
      </c>
      <c r="H217" s="1" t="n">
        <v>8</v>
      </c>
      <c r="I217" s="1" t="n">
        <v>0</v>
      </c>
      <c r="J217" s="1" t="n">
        <v>27</v>
      </c>
      <c r="L217" s="1" t="n">
        <f aca="false">C217/(A217/60)</f>
        <v>21.8709677419355</v>
      </c>
      <c r="M217" s="1" t="n">
        <f aca="false">D217/(A217/60)</f>
        <v>0.774193548387097</v>
      </c>
      <c r="N217" s="1" t="n">
        <f aca="false">SUM(E217:J217)/(A217/60)</f>
        <v>7.54838709677419</v>
      </c>
    </row>
    <row r="218" customFormat="false" ht="14.25" hidden="false" customHeight="false" outlineLevel="0" collapsed="false">
      <c r="A218" s="1" t="n">
        <v>321</v>
      </c>
      <c r="C218" s="1" t="n">
        <v>73</v>
      </c>
      <c r="D218" s="1" t="n">
        <v>55</v>
      </c>
      <c r="E218" s="1" t="n">
        <v>0</v>
      </c>
      <c r="F218" s="1" t="n">
        <v>0</v>
      </c>
      <c r="G218" s="1" t="n">
        <v>0</v>
      </c>
      <c r="H218" s="1" t="n">
        <v>14</v>
      </c>
      <c r="I218" s="1" t="n">
        <v>0</v>
      </c>
      <c r="J218" s="1" t="n">
        <v>0</v>
      </c>
      <c r="L218" s="1" t="n">
        <f aca="false">C218/(A218/60)</f>
        <v>13.6448598130841</v>
      </c>
      <c r="M218" s="1" t="n">
        <f aca="false">D218/(A218/60)</f>
        <v>10.2803738317757</v>
      </c>
      <c r="N218" s="1" t="n">
        <f aca="false">SUM(E218:J218)/(A218/60)</f>
        <v>2.61682242990654</v>
      </c>
    </row>
    <row r="219" customFormat="false" ht="14.25" hidden="false" customHeight="false" outlineLevel="0" collapsed="false">
      <c r="A219" s="1" t="n">
        <v>387.5</v>
      </c>
      <c r="B219" s="1" t="n">
        <v>39</v>
      </c>
      <c r="C219" s="1" t="n">
        <v>135</v>
      </c>
      <c r="D219" s="1" t="n">
        <v>0</v>
      </c>
      <c r="E219" s="1" t="n">
        <v>5</v>
      </c>
      <c r="F219" s="1" t="n">
        <v>9</v>
      </c>
      <c r="G219" s="1" t="n">
        <v>0</v>
      </c>
      <c r="H219" s="1" t="n">
        <v>2</v>
      </c>
      <c r="I219" s="1" t="n">
        <v>0</v>
      </c>
      <c r="J219" s="1" t="n">
        <v>62</v>
      </c>
      <c r="L219" s="1" t="n">
        <f aca="false">C219/(A219/60)</f>
        <v>20.9032258064516</v>
      </c>
      <c r="M219" s="1" t="n">
        <f aca="false">D219/(A219/60)</f>
        <v>0</v>
      </c>
      <c r="N219" s="1" t="n">
        <f aca="false">SUM(E219:J219)/(A219/60)</f>
        <v>12.0774193548387</v>
      </c>
    </row>
    <row r="220" customFormat="false" ht="14.25" hidden="false" customHeight="false" outlineLevel="0" collapsed="false">
      <c r="A220" s="1" t="n">
        <v>396</v>
      </c>
      <c r="B220" s="1" t="n">
        <v>31</v>
      </c>
      <c r="C220" s="1" t="n">
        <v>93</v>
      </c>
      <c r="D220" s="1" t="n">
        <v>0</v>
      </c>
      <c r="E220" s="1" t="n">
        <v>0</v>
      </c>
      <c r="F220" s="1" t="n">
        <v>0</v>
      </c>
      <c r="G220" s="1" t="n">
        <v>2</v>
      </c>
      <c r="H220" s="1" t="n">
        <v>6</v>
      </c>
      <c r="I220" s="1" t="n">
        <v>0</v>
      </c>
      <c r="J220" s="1" t="n">
        <v>15</v>
      </c>
      <c r="L220" s="1" t="n">
        <f aca="false">C220/(A220/60)</f>
        <v>14.0909090909091</v>
      </c>
      <c r="M220" s="1" t="n">
        <f aca="false">D220/(A220/60)</f>
        <v>0</v>
      </c>
      <c r="N220" s="1" t="n">
        <f aca="false">SUM(E220:J220)/(A220/60)</f>
        <v>3.48484848484849</v>
      </c>
    </row>
    <row r="221" customFormat="false" ht="14.25" hidden="false" customHeight="false" outlineLevel="0" collapsed="false">
      <c r="A221" s="1" t="n">
        <v>312</v>
      </c>
      <c r="B221" s="1" t="n">
        <v>49</v>
      </c>
      <c r="C221" s="1" t="n">
        <v>75</v>
      </c>
      <c r="D221" s="1" t="n">
        <v>75</v>
      </c>
      <c r="E221" s="1" t="n">
        <v>3</v>
      </c>
      <c r="F221" s="1" t="n">
        <v>24</v>
      </c>
      <c r="G221" s="1" t="n">
        <v>9</v>
      </c>
      <c r="H221" s="1" t="n">
        <v>11</v>
      </c>
      <c r="I221" s="1" t="n">
        <v>5</v>
      </c>
      <c r="J221" s="1" t="n">
        <v>0</v>
      </c>
      <c r="L221" s="1" t="n">
        <f aca="false">C221/(A221/60)</f>
        <v>14.4230769230769</v>
      </c>
      <c r="M221" s="1" t="n">
        <f aca="false">D221/(A221/60)</f>
        <v>14.4230769230769</v>
      </c>
      <c r="N221" s="1" t="n">
        <f aca="false">SUM(E221:J221)/(A221/60)</f>
        <v>10</v>
      </c>
    </row>
    <row r="222" customFormat="false" ht="14.25" hidden="false" customHeight="false" outlineLevel="0" collapsed="false">
      <c r="A222" s="1" t="n">
        <v>410</v>
      </c>
      <c r="B222" s="1" t="n">
        <v>33</v>
      </c>
      <c r="C222" s="1" t="n">
        <v>99</v>
      </c>
      <c r="D222" s="1" t="n">
        <v>0</v>
      </c>
      <c r="E222" s="1" t="n">
        <v>1</v>
      </c>
      <c r="F222" s="1" t="n">
        <v>0</v>
      </c>
      <c r="G222" s="1" t="n">
        <v>0</v>
      </c>
      <c r="H222" s="1" t="n">
        <v>8</v>
      </c>
      <c r="I222" s="1" t="n">
        <v>0</v>
      </c>
      <c r="J222" s="1" t="n">
        <v>43</v>
      </c>
      <c r="L222" s="1" t="n">
        <f aca="false">C222/(A222/60)</f>
        <v>14.4878048780488</v>
      </c>
      <c r="M222" s="1" t="n">
        <f aca="false">D222/(A222/60)</f>
        <v>0</v>
      </c>
      <c r="N222" s="1" t="n">
        <f aca="false">SUM(E222:J222)/(A222/60)</f>
        <v>7.60975609756098</v>
      </c>
    </row>
    <row r="223" customFormat="false" ht="14.25" hidden="false" customHeight="false" outlineLevel="0" collapsed="false">
      <c r="A223" s="1" t="n">
        <v>324.5</v>
      </c>
      <c r="B223" s="1" t="n">
        <v>33</v>
      </c>
      <c r="C223" s="1" t="n">
        <v>97</v>
      </c>
      <c r="D223" s="1" t="n">
        <v>4</v>
      </c>
      <c r="E223" s="1" t="n">
        <v>2</v>
      </c>
      <c r="F223" s="1" t="n">
        <v>39</v>
      </c>
      <c r="G223" s="1" t="n">
        <v>0</v>
      </c>
      <c r="H223" s="1" t="n">
        <v>8</v>
      </c>
      <c r="I223" s="1" t="n">
        <v>1</v>
      </c>
      <c r="J223" s="1" t="n">
        <v>36</v>
      </c>
      <c r="L223" s="1" t="n">
        <f aca="false">C223/(A223/60)</f>
        <v>17.9352850539291</v>
      </c>
      <c r="M223" s="1" t="n">
        <f aca="false">D223/(A223/60)</f>
        <v>0.73959938366718</v>
      </c>
      <c r="N223" s="1" t="n">
        <f aca="false">SUM(E223:J223)/(A223/60)</f>
        <v>15.9013867488444</v>
      </c>
    </row>
    <row r="224" customFormat="false" ht="14.25" hidden="false" customHeight="false" outlineLevel="0" collapsed="false">
      <c r="B224" s="1" t="s">
        <v>1695</v>
      </c>
      <c r="C224" s="1" t="s">
        <v>1704</v>
      </c>
      <c r="D224" s="1" t="s">
        <v>1705</v>
      </c>
      <c r="E224" s="1" t="s">
        <v>1706</v>
      </c>
      <c r="L224" s="87" t="s">
        <v>1704</v>
      </c>
      <c r="M224" s="87"/>
      <c r="N224" s="87" t="s">
        <v>1705</v>
      </c>
      <c r="O224" s="87"/>
      <c r="P224" s="87" t="s">
        <v>1706</v>
      </c>
    </row>
    <row r="225" customFormat="false" ht="14.25" hidden="false" customHeight="false" outlineLevel="0" collapsed="false">
      <c r="A225" s="1" t="s">
        <v>1692</v>
      </c>
      <c r="B225" s="1" t="n">
        <f aca="false">AVERAGE(B99:B223)</f>
        <v>49.5546218487395</v>
      </c>
      <c r="C225" s="1" t="n">
        <f aca="false">AVERAGE(L99:L223)</f>
        <v>16.8724493959667</v>
      </c>
      <c r="D225" s="1" t="n">
        <f aca="false">AVERAGE(M99:M223)</f>
        <v>6.19518372980612</v>
      </c>
      <c r="E225" s="1" t="n">
        <f aca="false">AVERAGE(N99:N223)</f>
        <v>14.6401475626492</v>
      </c>
      <c r="L225" s="88" t="s">
        <v>1692</v>
      </c>
      <c r="M225" s="88" t="s">
        <v>1693</v>
      </c>
      <c r="N225" s="88" t="s">
        <v>1692</v>
      </c>
      <c r="O225" s="88" t="s">
        <v>1693</v>
      </c>
      <c r="P225" s="88" t="s">
        <v>1692</v>
      </c>
      <c r="Q225" s="88" t="s">
        <v>1693</v>
      </c>
    </row>
    <row r="226" customFormat="false" ht="14.25" hidden="false" customHeight="false" outlineLevel="0" collapsed="false">
      <c r="A226" s="1" t="s">
        <v>1693</v>
      </c>
      <c r="B226" s="1" t="n">
        <f aca="false">_xlfn.STDEV.S(B99:B223)</f>
        <v>16.4258464575594</v>
      </c>
      <c r="C226" s="1" t="n">
        <f aca="false">_xlfn.STDEV.S(L99:L223)</f>
        <v>9.14643354904884</v>
      </c>
      <c r="D226" s="1" t="n">
        <f aca="false">_xlfn.STDEV.S(M99:M223)</f>
        <v>20.7639184957494</v>
      </c>
      <c r="E226" s="1" t="n">
        <f aca="false">_xlfn.STDEV.S(N99:N223)</f>
        <v>14.4919476868788</v>
      </c>
      <c r="K226" s="88" t="s">
        <v>1686</v>
      </c>
      <c r="L226" s="88" t="n">
        <f aca="false">AVERAGE(L99:L197)</f>
        <v>16.8593817390512</v>
      </c>
      <c r="M226" s="88" t="n">
        <f aca="false">_xlfn.STDEV.S(L99:L197)</f>
        <v>9.64558620513588</v>
      </c>
      <c r="N226" s="88" t="n">
        <f aca="false">AVERAGE(M99:M197)</f>
        <v>7.23734695304438</v>
      </c>
      <c r="O226" s="88" t="n">
        <f aca="false">_xlfn.STDEV.S(M99:M197)</f>
        <v>23.0818589477775</v>
      </c>
      <c r="P226" s="88" t="n">
        <f aca="false">AVERAGE(N99:N197)</f>
        <v>15.7749015633021</v>
      </c>
      <c r="Q226" s="88" t="n">
        <f aca="false">_xlfn.STDEV.S(N99:N197)</f>
        <v>15.1002841121957</v>
      </c>
    </row>
    <row r="227" customFormat="false" ht="14.25" hidden="false" customHeight="false" outlineLevel="0" collapsed="false">
      <c r="A227" s="1" t="s">
        <v>1707</v>
      </c>
      <c r="B227" s="1" t="n">
        <f aca="false">MIN(B99:B223)</f>
        <v>20</v>
      </c>
      <c r="K227" s="88" t="s">
        <v>1708</v>
      </c>
      <c r="L227" s="88" t="n">
        <f aca="false">AVERAGE(L198:L213)</f>
        <v>16.789367386907</v>
      </c>
      <c r="M227" s="88" t="n">
        <f aca="false">_xlfn.STDEV.S(L198:L213)</f>
        <v>8.8285073400483</v>
      </c>
      <c r="N227" s="88" t="n">
        <f aca="false">AVERAGE(M198:M213)</f>
        <v>1.60240044050416</v>
      </c>
      <c r="O227" s="88" t="n">
        <f aca="false">_xlfn.STDEV.S(M198:M213)</f>
        <v>5.69144391256459</v>
      </c>
      <c r="P227" s="88" t="n">
        <f aca="false">AVERAGE(N198:N213)</f>
        <v>12.1771233762903</v>
      </c>
      <c r="Q227" s="88" t="n">
        <f aca="false">_xlfn.STDEV.S(N198:N213)</f>
        <v>13.5536716197799</v>
      </c>
    </row>
    <row r="228" customFormat="false" ht="14.25" hidden="false" customHeight="false" outlineLevel="0" collapsed="false">
      <c r="A228" s="1" t="s">
        <v>1709</v>
      </c>
      <c r="B228" s="1" t="n">
        <f aca="false">MAX(B99:B223)</f>
        <v>85</v>
      </c>
      <c r="K228" s="88" t="s">
        <v>1688</v>
      </c>
      <c r="L228" s="88" t="n">
        <f aca="false">AVERAGE(L214:L223)</f>
        <v>17.1347504139252</v>
      </c>
      <c r="M228" s="88" t="n">
        <f aca="false">_xlfn.STDEV.S(L214:L223)</f>
        <v>3.08916449642948</v>
      </c>
      <c r="N228" s="88" t="n">
        <f aca="false">AVERAGE(M214:M223)</f>
        <v>3.2262210826305</v>
      </c>
      <c r="O228" s="88" t="n">
        <f aca="false">_xlfn.STDEV.S(N214:N223)</f>
        <v>4.52458212674386</v>
      </c>
      <c r="P228" s="88" t="n">
        <f aca="false">AVERAGE(N214:N223)</f>
        <v>7.34692165435915</v>
      </c>
      <c r="Q228" s="88" t="n">
        <f aca="false">_xlfn.STDEV.S(N214:N223)</f>
        <v>4.52458212674386</v>
      </c>
    </row>
    <row r="231" customFormat="false" ht="14.25" hidden="false" customHeight="false" outlineLevel="0" collapsed="false">
      <c r="A231" s="1" t="s">
        <v>1710</v>
      </c>
      <c r="B231" s="1" t="s">
        <v>1711</v>
      </c>
      <c r="C231" s="1" t="s">
        <v>1712</v>
      </c>
      <c r="D231" s="1" t="s">
        <v>1713</v>
      </c>
      <c r="E231" s="1" t="s">
        <v>1714</v>
      </c>
      <c r="F231" s="1" t="s">
        <v>1715</v>
      </c>
      <c r="G231" s="1" t="s">
        <v>1716</v>
      </c>
      <c r="H231" s="1" t="s">
        <v>1717</v>
      </c>
      <c r="K231" s="1" t="n">
        <f aca="false">COUNT(A:A)</f>
        <v>209</v>
      </c>
      <c r="L231" s="67" t="s">
        <v>1718</v>
      </c>
    </row>
    <row r="232" customFormat="false" ht="14.25" hidden="false" customHeight="false" outlineLevel="0" collapsed="false">
      <c r="A232" s="1" t="n">
        <f aca="false">COUNTIF($D:$E,"*AR*")</f>
        <v>0</v>
      </c>
      <c r="B232" s="1" t="n">
        <f aca="false">COUNTIF($D:$E,"*PLM*")</f>
        <v>2</v>
      </c>
      <c r="C232" s="1" t="n">
        <f aca="false">COUNTIF($D:$E,"*OA*")</f>
        <v>1</v>
      </c>
      <c r="D232" s="1" t="n">
        <f aca="false">COUNTIF($D:$E,"*OH*")</f>
        <v>1</v>
      </c>
      <c r="E232" s="1" t="n">
        <f aca="false">COUNTIF($D:$E,"*CA*")</f>
        <v>1</v>
      </c>
      <c r="F232" s="1" t="n">
        <f aca="false">COUNTIF($D:$E,"*CH*")</f>
        <v>0</v>
      </c>
      <c r="G232" s="1" t="n">
        <f aca="false">COUNTIF($D:$E,"*MA*")</f>
        <v>0</v>
      </c>
      <c r="H232" s="1" t="n">
        <f aca="false">COUNTIF($D:$E,"*MH*")</f>
        <v>0</v>
      </c>
      <c r="K232" s="1" t="n">
        <f aca="false">COUNTIF(B:B,"W")</f>
        <v>0</v>
      </c>
      <c r="L232" s="67" t="s">
        <v>1719</v>
      </c>
    </row>
    <row r="233" customFormat="false" ht="14.25" hidden="false" customHeight="false" outlineLevel="0" collapsed="false">
      <c r="B233" s="67"/>
      <c r="K233" s="1" t="e">
        <f aca="false">$K$1-$K$2</f>
        <v>#VALUE!</v>
      </c>
      <c r="L233" s="67" t="s">
        <v>1720</v>
      </c>
    </row>
    <row r="234" customFormat="false" ht="14.25" hidden="false" customHeight="false" outlineLevel="0" collapsed="false">
      <c r="B234" s="67"/>
      <c r="K234" s="1" t="n">
        <f aca="false">$K$3/2</f>
        <v>14.6938775510204</v>
      </c>
      <c r="L234" s="67" t="s">
        <v>1694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5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77" activePane="bottomRight" state="frozen"/>
      <selection pane="topLeft" activeCell="A1" activeCellId="0" sqref="A1"/>
      <selection pane="topRight" activeCell="B1" activeCellId="0" sqref="B1"/>
      <selection pane="bottomLeft" activeCell="A77" activeCellId="0" sqref="A77"/>
      <selection pane="bottomRight" activeCell="B96" activeCellId="0" sqref="B96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5.37"/>
    <col collapsed="false" customWidth="true" hidden="false" outlineLevel="0" max="2" min="2" style="1" width="10.91"/>
    <col collapsed="false" customWidth="true" hidden="false" outlineLevel="0" max="3" min="3" style="27" width="10.91"/>
    <col collapsed="false" customWidth="true" hidden="false" outlineLevel="0" max="5" min="5" style="27" width="11.02"/>
    <col collapsed="false" customWidth="true" hidden="false" outlineLevel="0" max="6" min="6" style="27" width="13.82"/>
    <col collapsed="false" customWidth="true" hidden="false" outlineLevel="0" max="7" min="7" style="27" width="17.54"/>
    <col collapsed="false" customWidth="true" hidden="false" outlineLevel="0" max="8" min="8" style="89" width="17.54"/>
    <col collapsed="false" customWidth="true" hidden="false" outlineLevel="0" max="9" min="9" style="89" width="14.91"/>
    <col collapsed="false" customWidth="true" hidden="false" outlineLevel="0" max="10" min="10" style="90" width="19.37"/>
    <col collapsed="false" customWidth="true" hidden="false" outlineLevel="0" max="12" min="11" style="89" width="20.73"/>
    <col collapsed="false" customWidth="true" hidden="false" outlineLevel="0" max="13" min="13" style="90" width="20.73"/>
    <col collapsed="false" customWidth="true" hidden="false" outlineLevel="0" max="14" min="14" style="89" width="12.73"/>
    <col collapsed="false" customWidth="true" hidden="false" outlineLevel="0" max="21" min="15" style="89" width="19.37"/>
    <col collapsed="false" customWidth="true" hidden="false" outlineLevel="0" max="29" min="22" style="89" width="12.73"/>
    <col collapsed="false" customWidth="true" hidden="false" outlineLevel="0" max="30" min="30" style="90" width="12.73"/>
    <col collapsed="false" customWidth="true" hidden="false" outlineLevel="0" max="31" min="31" style="89" width="17.82"/>
    <col collapsed="false" customWidth="true" hidden="false" outlineLevel="0" max="32" min="32" style="89" width="13.18"/>
    <col collapsed="false" customWidth="true" hidden="false" outlineLevel="0" max="33" min="33" style="89" width="12.73"/>
    <col collapsed="false" customWidth="true" hidden="false" outlineLevel="0" max="34" min="34" style="89" width="14.37"/>
    <col collapsed="false" customWidth="true" hidden="false" outlineLevel="0" max="35" min="35" style="89" width="13.92"/>
    <col collapsed="false" customWidth="true" hidden="false" outlineLevel="0" max="38" min="36" style="89" width="12.73"/>
    <col collapsed="false" customWidth="true" hidden="false" outlineLevel="0" max="39" min="39" style="90" width="12.73"/>
    <col collapsed="false" customWidth="true" hidden="false" outlineLevel="0" max="40" min="40" style="91" width="49.36"/>
    <col collapsed="false" customWidth="true" hidden="false" outlineLevel="0" max="41" min="41" style="91" width="11.73"/>
    <col collapsed="false" customWidth="true" hidden="false" outlineLevel="0" max="42" min="42" style="1" width="48"/>
    <col collapsed="false" customWidth="true" hidden="false" outlineLevel="0" max="43" min="43" style="1" width="35.27"/>
    <col collapsed="false" customWidth="true" hidden="false" outlineLevel="0" max="45" min="45" style="1" width="16.36"/>
    <col collapsed="false" customWidth="true" hidden="false" outlineLevel="0" max="46" min="46" style="1" width="15.82"/>
    <col collapsed="false" customWidth="true" hidden="false" outlineLevel="0" max="47" min="47" style="1" width="14.82"/>
    <col collapsed="false" customWidth="true" hidden="false" outlineLevel="0" max="48" min="48" style="1" width="15"/>
  </cols>
  <sheetData>
    <row r="1" customFormat="false" ht="14.25" hidden="false" customHeight="false" outlineLevel="0" collapsed="false">
      <c r="A1" s="87" t="s">
        <v>1721</v>
      </c>
      <c r="B1" s="92" t="s">
        <v>1722</v>
      </c>
      <c r="C1" s="92" t="s">
        <v>3</v>
      </c>
      <c r="D1" s="87" t="s">
        <v>1723</v>
      </c>
      <c r="E1" s="92" t="s">
        <v>1724</v>
      </c>
      <c r="F1" s="92" t="s">
        <v>1725</v>
      </c>
      <c r="G1" s="92" t="s">
        <v>15</v>
      </c>
      <c r="H1" s="93" t="s">
        <v>1695</v>
      </c>
      <c r="I1" s="93" t="s">
        <v>1726</v>
      </c>
      <c r="J1" s="94" t="s">
        <v>1691</v>
      </c>
      <c r="K1" s="95" t="s">
        <v>1727</v>
      </c>
      <c r="L1" s="93" t="s">
        <v>1728</v>
      </c>
      <c r="M1" s="94" t="s">
        <v>1729</v>
      </c>
      <c r="N1" s="93" t="s">
        <v>1730</v>
      </c>
      <c r="O1" s="93" t="s">
        <v>1731</v>
      </c>
      <c r="P1" s="93" t="s">
        <v>1732</v>
      </c>
      <c r="Q1" s="93" t="s">
        <v>1733</v>
      </c>
      <c r="R1" s="96" t="s">
        <v>1734</v>
      </c>
      <c r="S1" s="96" t="s">
        <v>1735</v>
      </c>
      <c r="T1" s="96" t="s">
        <v>1736</v>
      </c>
      <c r="U1" s="96" t="s">
        <v>1737</v>
      </c>
      <c r="V1" s="93" t="s">
        <v>1738</v>
      </c>
      <c r="W1" s="93" t="s">
        <v>1739</v>
      </c>
      <c r="X1" s="96" t="s">
        <v>1740</v>
      </c>
      <c r="Y1" s="93" t="s">
        <v>1741</v>
      </c>
      <c r="Z1" s="93" t="s">
        <v>1742</v>
      </c>
      <c r="AA1" s="96" t="s">
        <v>1743</v>
      </c>
      <c r="AB1" s="96" t="s">
        <v>1744</v>
      </c>
      <c r="AC1" s="96" t="s">
        <v>1745</v>
      </c>
      <c r="AD1" s="94" t="s">
        <v>1746</v>
      </c>
      <c r="AE1" s="93" t="s">
        <v>1747</v>
      </c>
      <c r="AF1" s="93" t="s">
        <v>1748</v>
      </c>
      <c r="AG1" s="93" t="s">
        <v>1749</v>
      </c>
      <c r="AH1" s="93" t="s">
        <v>1750</v>
      </c>
      <c r="AI1" s="93" t="s">
        <v>1751</v>
      </c>
      <c r="AJ1" s="93" t="s">
        <v>1752</v>
      </c>
      <c r="AK1" s="93" t="s">
        <v>1753</v>
      </c>
      <c r="AL1" s="93" t="s">
        <v>1754</v>
      </c>
      <c r="AM1" s="94" t="s">
        <v>1755</v>
      </c>
      <c r="AN1" s="97" t="s">
        <v>1756</v>
      </c>
      <c r="AO1" s="97" t="s">
        <v>1757</v>
      </c>
      <c r="AP1" s="87" t="s">
        <v>1758</v>
      </c>
      <c r="AQ1" s="98" t="s">
        <v>1759</v>
      </c>
      <c r="AR1" s="2"/>
    </row>
    <row r="2" customFormat="false" ht="14.25" hidden="false" customHeight="false" outlineLevel="0" collapsed="false">
      <c r="A2" s="99" t="s">
        <v>1760</v>
      </c>
      <c r="B2" s="1" t="n">
        <v>1</v>
      </c>
      <c r="C2" s="27" t="s">
        <v>4</v>
      </c>
      <c r="D2" s="1" t="n">
        <v>49</v>
      </c>
      <c r="E2" s="100" t="n">
        <v>132</v>
      </c>
      <c r="F2" s="27" t="s">
        <v>67</v>
      </c>
      <c r="G2" s="27" t="s">
        <v>16</v>
      </c>
      <c r="H2" s="101" t="s">
        <v>1761</v>
      </c>
      <c r="I2" s="89" t="s">
        <v>1762</v>
      </c>
      <c r="J2" s="90" t="s">
        <v>1763</v>
      </c>
      <c r="K2" s="102" t="s">
        <v>1764</v>
      </c>
      <c r="L2" s="89" t="s">
        <v>84</v>
      </c>
      <c r="M2" s="89" t="s">
        <v>84</v>
      </c>
      <c r="N2" s="103" t="s">
        <v>1765</v>
      </c>
      <c r="O2" s="89" t="s">
        <v>84</v>
      </c>
      <c r="P2" s="89" t="s">
        <v>84</v>
      </c>
      <c r="Q2" s="89" t="s">
        <v>84</v>
      </c>
      <c r="R2" s="89" t="s">
        <v>84</v>
      </c>
      <c r="S2" s="89" t="s">
        <v>84</v>
      </c>
      <c r="T2" s="89" t="s">
        <v>84</v>
      </c>
      <c r="U2" s="89" t="s">
        <v>84</v>
      </c>
      <c r="V2" s="89" t="s">
        <v>84</v>
      </c>
      <c r="W2" s="89" t="s">
        <v>84</v>
      </c>
      <c r="X2" s="89" t="s">
        <v>84</v>
      </c>
      <c r="Y2" s="89" t="s">
        <v>84</v>
      </c>
      <c r="Z2" s="89" t="s">
        <v>84</v>
      </c>
      <c r="AA2" s="89" t="s">
        <v>84</v>
      </c>
      <c r="AB2" s="89" t="s">
        <v>84</v>
      </c>
      <c r="AC2" s="89" t="s">
        <v>84</v>
      </c>
      <c r="AD2" s="89" t="s">
        <v>84</v>
      </c>
      <c r="AE2" s="89" t="s">
        <v>1766</v>
      </c>
      <c r="AF2" s="101" t="s">
        <v>1767</v>
      </c>
      <c r="AG2" s="89" t="s">
        <v>1768</v>
      </c>
      <c r="AH2" s="89" t="s">
        <v>1769</v>
      </c>
      <c r="AI2" s="89" t="s">
        <v>1770</v>
      </c>
      <c r="AJ2" s="101" t="s">
        <v>1771</v>
      </c>
      <c r="AK2" s="101" t="s">
        <v>1772</v>
      </c>
      <c r="AL2" s="101" t="s">
        <v>1773</v>
      </c>
      <c r="AM2" s="104" t="s">
        <v>1774</v>
      </c>
      <c r="AN2" s="91" t="s">
        <v>1775</v>
      </c>
      <c r="AO2" s="91" t="s">
        <v>1776</v>
      </c>
      <c r="AP2" s="1" t="s">
        <v>1777</v>
      </c>
      <c r="AQ2" s="9" t="s">
        <v>1778</v>
      </c>
      <c r="AR2" s="14"/>
    </row>
    <row r="3" s="1" customFormat="true" ht="14.25" hidden="false" customHeight="false" outlineLevel="0" collapsed="false">
      <c r="A3" s="99" t="s">
        <v>1779</v>
      </c>
      <c r="B3" s="1" t="n">
        <v>2</v>
      </c>
      <c r="C3" s="27" t="s">
        <v>84</v>
      </c>
      <c r="D3" s="27" t="n">
        <v>49</v>
      </c>
      <c r="E3" s="27" t="n">
        <v>49</v>
      </c>
      <c r="F3" s="27" t="s">
        <v>67</v>
      </c>
      <c r="G3" s="27" t="s">
        <v>16</v>
      </c>
      <c r="H3" s="101" t="s">
        <v>1761</v>
      </c>
      <c r="I3" s="89" t="s">
        <v>1762</v>
      </c>
      <c r="J3" s="90" t="s">
        <v>1763</v>
      </c>
      <c r="K3" s="102" t="s">
        <v>1764</v>
      </c>
      <c r="L3" s="89" t="s">
        <v>84</v>
      </c>
      <c r="M3" s="89" t="s">
        <v>84</v>
      </c>
      <c r="N3" s="89" t="s">
        <v>1780</v>
      </c>
      <c r="O3" s="89" t="s">
        <v>84</v>
      </c>
      <c r="P3" s="89" t="s">
        <v>84</v>
      </c>
      <c r="Q3" s="89" t="s">
        <v>84</v>
      </c>
      <c r="R3" s="89" t="s">
        <v>84</v>
      </c>
      <c r="S3" s="89" t="s">
        <v>84</v>
      </c>
      <c r="T3" s="89" t="s">
        <v>84</v>
      </c>
      <c r="U3" s="89" t="s">
        <v>84</v>
      </c>
      <c r="V3" s="89" t="s">
        <v>84</v>
      </c>
      <c r="W3" s="89" t="s">
        <v>84</v>
      </c>
      <c r="X3" s="89" t="s">
        <v>84</v>
      </c>
      <c r="Y3" s="89" t="s">
        <v>84</v>
      </c>
      <c r="Z3" s="89" t="s">
        <v>84</v>
      </c>
      <c r="AA3" s="89" t="s">
        <v>84</v>
      </c>
      <c r="AB3" s="89" t="s">
        <v>84</v>
      </c>
      <c r="AC3" s="89" t="s">
        <v>84</v>
      </c>
      <c r="AD3" s="89" t="s">
        <v>84</v>
      </c>
      <c r="AE3" s="89" t="s">
        <v>1781</v>
      </c>
      <c r="AF3" s="105" t="s">
        <v>1782</v>
      </c>
      <c r="AG3" s="89" t="s">
        <v>1783</v>
      </c>
      <c r="AH3" s="89" t="s">
        <v>1784</v>
      </c>
      <c r="AI3" s="89" t="s">
        <v>1785</v>
      </c>
      <c r="AJ3" s="105" t="s">
        <v>1786</v>
      </c>
      <c r="AK3" s="105" t="s">
        <v>1787</v>
      </c>
      <c r="AL3" s="105" t="s">
        <v>1788</v>
      </c>
      <c r="AM3" s="106" t="s">
        <v>1789</v>
      </c>
      <c r="AN3" s="91"/>
      <c r="AO3" s="91"/>
      <c r="AQ3" s="9"/>
      <c r="AR3" s="14"/>
    </row>
    <row r="4" s="1" customFormat="true" ht="14.25" hidden="false" customHeight="false" outlineLevel="0" collapsed="false">
      <c r="A4" s="99" t="s">
        <v>1790</v>
      </c>
      <c r="B4" s="1" t="n">
        <v>2</v>
      </c>
      <c r="C4" s="27" t="s">
        <v>84</v>
      </c>
      <c r="D4" s="1" t="n">
        <v>43</v>
      </c>
      <c r="E4" s="27" t="n">
        <v>43</v>
      </c>
      <c r="F4" s="27" t="s">
        <v>67</v>
      </c>
      <c r="G4" s="27" t="s">
        <v>84</v>
      </c>
      <c r="H4" s="105" t="s">
        <v>84</v>
      </c>
      <c r="I4" s="89" t="s">
        <v>84</v>
      </c>
      <c r="J4" s="90" t="s">
        <v>84</v>
      </c>
      <c r="K4" s="89" t="s">
        <v>84</v>
      </c>
      <c r="L4" s="89" t="s">
        <v>84</v>
      </c>
      <c r="M4" s="89" t="s">
        <v>84</v>
      </c>
      <c r="N4" s="89" t="s">
        <v>1791</v>
      </c>
      <c r="O4" s="89" t="s">
        <v>84</v>
      </c>
      <c r="P4" s="89" t="s">
        <v>84</v>
      </c>
      <c r="Q4" s="89" t="s">
        <v>84</v>
      </c>
      <c r="R4" s="89" t="s">
        <v>84</v>
      </c>
      <c r="S4" s="89" t="s">
        <v>84</v>
      </c>
      <c r="T4" s="89" t="s">
        <v>84</v>
      </c>
      <c r="U4" s="89" t="s">
        <v>84</v>
      </c>
      <c r="V4" s="89" t="s">
        <v>84</v>
      </c>
      <c r="W4" s="89" t="s">
        <v>84</v>
      </c>
      <c r="X4" s="89" t="s">
        <v>84</v>
      </c>
      <c r="Y4" s="89" t="s">
        <v>84</v>
      </c>
      <c r="Z4" s="89" t="s">
        <v>84</v>
      </c>
      <c r="AA4" s="89" t="s">
        <v>84</v>
      </c>
      <c r="AB4" s="89" t="s">
        <v>84</v>
      </c>
      <c r="AC4" s="89" t="s">
        <v>84</v>
      </c>
      <c r="AD4" s="89" t="s">
        <v>84</v>
      </c>
      <c r="AE4" s="89" t="s">
        <v>1792</v>
      </c>
      <c r="AF4" s="105" t="s">
        <v>1793</v>
      </c>
      <c r="AG4" s="89" t="s">
        <v>1794</v>
      </c>
      <c r="AH4" s="89" t="s">
        <v>1795</v>
      </c>
      <c r="AI4" s="89" t="s">
        <v>1796</v>
      </c>
      <c r="AJ4" s="105" t="s">
        <v>1797</v>
      </c>
      <c r="AK4" s="105" t="s">
        <v>1798</v>
      </c>
      <c r="AL4" s="105" t="s">
        <v>1799</v>
      </c>
      <c r="AM4" s="106" t="s">
        <v>1800</v>
      </c>
      <c r="AN4" s="91"/>
      <c r="AO4" s="91"/>
      <c r="AQ4" s="9"/>
      <c r="AR4" s="14"/>
    </row>
    <row r="5" s="1" customFormat="true" ht="14.25" hidden="false" customHeight="false" outlineLevel="0" collapsed="false">
      <c r="A5" s="99" t="s">
        <v>1801</v>
      </c>
      <c r="B5" s="1" t="n">
        <v>2</v>
      </c>
      <c r="C5" s="27" t="s">
        <v>84</v>
      </c>
      <c r="D5" s="1" t="n">
        <v>40</v>
      </c>
      <c r="E5" s="27" t="n">
        <v>40</v>
      </c>
      <c r="F5" s="27" t="s">
        <v>67</v>
      </c>
      <c r="G5" s="27" t="s">
        <v>84</v>
      </c>
      <c r="H5" s="105" t="s">
        <v>84</v>
      </c>
      <c r="I5" s="89" t="s">
        <v>84</v>
      </c>
      <c r="J5" s="90" t="s">
        <v>84</v>
      </c>
      <c r="K5" s="89" t="s">
        <v>84</v>
      </c>
      <c r="L5" s="89" t="s">
        <v>84</v>
      </c>
      <c r="M5" s="89" t="s">
        <v>84</v>
      </c>
      <c r="N5" s="89" t="s">
        <v>1802</v>
      </c>
      <c r="O5" s="89" t="s">
        <v>84</v>
      </c>
      <c r="P5" s="89" t="s">
        <v>84</v>
      </c>
      <c r="Q5" s="89" t="s">
        <v>84</v>
      </c>
      <c r="R5" s="89" t="s">
        <v>84</v>
      </c>
      <c r="S5" s="89" t="s">
        <v>84</v>
      </c>
      <c r="T5" s="89" t="s">
        <v>84</v>
      </c>
      <c r="U5" s="89" t="s">
        <v>84</v>
      </c>
      <c r="V5" s="89" t="s">
        <v>84</v>
      </c>
      <c r="W5" s="89" t="s">
        <v>84</v>
      </c>
      <c r="X5" s="89" t="s">
        <v>84</v>
      </c>
      <c r="Y5" s="89" t="s">
        <v>84</v>
      </c>
      <c r="Z5" s="89" t="s">
        <v>84</v>
      </c>
      <c r="AA5" s="89" t="s">
        <v>84</v>
      </c>
      <c r="AB5" s="89" t="s">
        <v>84</v>
      </c>
      <c r="AC5" s="89" t="s">
        <v>84</v>
      </c>
      <c r="AD5" s="89" t="s">
        <v>84</v>
      </c>
      <c r="AE5" s="89" t="s">
        <v>1803</v>
      </c>
      <c r="AF5" s="105" t="s">
        <v>1804</v>
      </c>
      <c r="AG5" s="89" t="s">
        <v>1805</v>
      </c>
      <c r="AH5" s="89" t="s">
        <v>1806</v>
      </c>
      <c r="AI5" s="89" t="s">
        <v>1807</v>
      </c>
      <c r="AJ5" s="105" t="s">
        <v>1808</v>
      </c>
      <c r="AK5" s="105" t="s">
        <v>1809</v>
      </c>
      <c r="AL5" s="105" t="s">
        <v>1810</v>
      </c>
      <c r="AM5" s="106" t="s">
        <v>1811</v>
      </c>
      <c r="AN5" s="91"/>
      <c r="AO5" s="91"/>
      <c r="AQ5" s="9"/>
      <c r="AR5" s="14"/>
    </row>
    <row r="6" s="1" customFormat="true" ht="14.25" hidden="false" customHeight="false" outlineLevel="0" collapsed="false">
      <c r="A6" s="87"/>
      <c r="C6" s="27"/>
      <c r="E6" s="27"/>
      <c r="F6" s="27"/>
      <c r="G6" s="27"/>
      <c r="H6" s="105"/>
      <c r="I6" s="89"/>
      <c r="J6" s="90"/>
      <c r="K6" s="89"/>
      <c r="L6" s="89"/>
      <c r="M6" s="90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73"/>
      <c r="AB6" s="73"/>
      <c r="AC6" s="73"/>
      <c r="AD6" s="90"/>
      <c r="AE6" s="89"/>
      <c r="AF6" s="105"/>
      <c r="AG6" s="89"/>
      <c r="AH6" s="89"/>
      <c r="AI6" s="89"/>
      <c r="AJ6" s="105"/>
      <c r="AK6" s="105"/>
      <c r="AL6" s="105"/>
      <c r="AM6" s="106"/>
      <c r="AN6" s="91"/>
      <c r="AO6" s="91"/>
      <c r="AQ6" s="9"/>
      <c r="AR6" s="14"/>
    </row>
    <row r="7" customFormat="false" ht="14.25" hidden="false" customHeight="false" outlineLevel="0" collapsed="false">
      <c r="A7" s="99" t="s">
        <v>81</v>
      </c>
      <c r="B7" s="1" t="n">
        <v>1</v>
      </c>
      <c r="C7" s="27" t="n">
        <v>2024</v>
      </c>
      <c r="D7" s="1" t="n">
        <v>29</v>
      </c>
      <c r="E7" s="100" t="n">
        <v>29</v>
      </c>
      <c r="F7" s="27" t="s">
        <v>67</v>
      </c>
      <c r="H7" s="89" t="s">
        <v>1812</v>
      </c>
      <c r="I7" s="89" t="s">
        <v>1813</v>
      </c>
      <c r="J7" s="90" t="s">
        <v>1814</v>
      </c>
      <c r="K7" s="89" t="s">
        <v>1815</v>
      </c>
      <c r="L7" s="89" t="s">
        <v>84</v>
      </c>
      <c r="M7" s="90" t="s">
        <v>84</v>
      </c>
      <c r="N7" s="89" t="s">
        <v>84</v>
      </c>
      <c r="O7" s="89" t="s">
        <v>84</v>
      </c>
      <c r="R7" s="89" t="s">
        <v>84</v>
      </c>
      <c r="S7" s="89" t="s">
        <v>84</v>
      </c>
      <c r="T7" s="89" t="s">
        <v>84</v>
      </c>
      <c r="U7" s="89" t="s">
        <v>84</v>
      </c>
      <c r="V7" s="89" t="s">
        <v>84</v>
      </c>
      <c r="Y7" s="89" t="s">
        <v>84</v>
      </c>
      <c r="AD7" s="90" t="s">
        <v>84</v>
      </c>
      <c r="AE7" s="101" t="s">
        <v>1816</v>
      </c>
      <c r="AF7" s="101" t="s">
        <v>1817</v>
      </c>
      <c r="AG7" s="101" t="s">
        <v>1818</v>
      </c>
      <c r="AH7" s="101" t="s">
        <v>1819</v>
      </c>
      <c r="AI7" s="101" t="s">
        <v>1820</v>
      </c>
      <c r="AJ7" s="101" t="s">
        <v>1821</v>
      </c>
      <c r="AK7" s="101" t="s">
        <v>1822</v>
      </c>
      <c r="AL7" s="101" t="s">
        <v>1823</v>
      </c>
      <c r="AM7" s="104" t="s">
        <v>1824</v>
      </c>
      <c r="AN7" s="91" t="s">
        <v>1825</v>
      </c>
      <c r="AO7" s="91" t="s">
        <v>1826</v>
      </c>
      <c r="AP7" s="1" t="s">
        <v>1827</v>
      </c>
      <c r="AQ7" s="9" t="s">
        <v>1828</v>
      </c>
      <c r="AR7" s="2"/>
    </row>
    <row r="8" s="1" customFormat="true" ht="14.25" hidden="false" customHeight="false" outlineLevel="0" collapsed="false">
      <c r="A8" s="87"/>
      <c r="C8" s="27"/>
      <c r="E8" s="27"/>
      <c r="F8" s="27"/>
      <c r="G8" s="27"/>
      <c r="H8" s="89"/>
      <c r="I8" s="89"/>
      <c r="J8" s="90"/>
      <c r="K8" s="89"/>
      <c r="L8" s="89"/>
      <c r="M8" s="90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90"/>
      <c r="AE8" s="105"/>
      <c r="AF8" s="105"/>
      <c r="AG8" s="105"/>
      <c r="AH8" s="105"/>
      <c r="AI8" s="105"/>
      <c r="AJ8" s="105"/>
      <c r="AK8" s="105"/>
      <c r="AL8" s="105"/>
      <c r="AM8" s="106"/>
      <c r="AN8" s="91"/>
      <c r="AO8" s="91"/>
      <c r="AQ8" s="9"/>
      <c r="AR8" s="2"/>
    </row>
    <row r="9" customFormat="false" ht="14.25" hidden="false" customHeight="false" outlineLevel="0" collapsed="false">
      <c r="A9" s="99" t="s">
        <v>1829</v>
      </c>
      <c r="B9" s="1" t="n">
        <v>1</v>
      </c>
      <c r="C9" s="27" t="s">
        <v>106</v>
      </c>
      <c r="D9" s="1" t="n">
        <v>712</v>
      </c>
      <c r="E9" s="100" t="n">
        <v>712</v>
      </c>
      <c r="F9" s="27" t="s">
        <v>114</v>
      </c>
      <c r="G9" s="27" t="s">
        <v>1830</v>
      </c>
      <c r="H9" s="101" t="s">
        <v>1831</v>
      </c>
      <c r="I9" s="89" t="s">
        <v>1832</v>
      </c>
      <c r="J9" s="90" t="s">
        <v>1833</v>
      </c>
      <c r="K9" s="89" t="s">
        <v>84</v>
      </c>
      <c r="N9" s="89" t="s">
        <v>84</v>
      </c>
      <c r="O9" s="89" t="s">
        <v>84</v>
      </c>
      <c r="R9" s="89" t="s">
        <v>84</v>
      </c>
      <c r="S9" s="89" t="s">
        <v>84</v>
      </c>
      <c r="T9" s="89" t="s">
        <v>84</v>
      </c>
      <c r="U9" s="89" t="s">
        <v>84</v>
      </c>
      <c r="V9" s="89" t="s">
        <v>84</v>
      </c>
      <c r="Y9" s="89" t="s">
        <v>84</v>
      </c>
      <c r="AD9" s="90" t="s">
        <v>84</v>
      </c>
      <c r="AE9" s="89" t="s">
        <v>1834</v>
      </c>
      <c r="AF9" s="101" t="s">
        <v>1835</v>
      </c>
      <c r="AG9" s="89" t="s">
        <v>1836</v>
      </c>
      <c r="AH9" s="89" t="s">
        <v>1837</v>
      </c>
      <c r="AI9" s="89" t="s">
        <v>1838</v>
      </c>
      <c r="AJ9" s="101" t="s">
        <v>1839</v>
      </c>
      <c r="AK9" s="101" t="s">
        <v>1840</v>
      </c>
      <c r="AL9" s="101" t="s">
        <v>1841</v>
      </c>
      <c r="AM9" s="104" t="s">
        <v>1842</v>
      </c>
      <c r="AN9" s="107" t="s">
        <v>1843</v>
      </c>
      <c r="AO9" s="91" t="s">
        <v>1776</v>
      </c>
      <c r="AP9" s="1" t="s">
        <v>1844</v>
      </c>
      <c r="AQ9" s="9" t="s">
        <v>1845</v>
      </c>
      <c r="AR9" s="2"/>
    </row>
    <row r="10" s="1" customFormat="true" ht="14.25" hidden="false" customHeight="false" outlineLevel="0" collapsed="false">
      <c r="A10" s="87"/>
      <c r="C10" s="27"/>
      <c r="E10" s="27"/>
      <c r="F10" s="27"/>
      <c r="G10" s="27"/>
      <c r="H10" s="105"/>
      <c r="I10" s="89"/>
      <c r="J10" s="90"/>
      <c r="K10" s="89"/>
      <c r="L10" s="89"/>
      <c r="M10" s="90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90"/>
      <c r="AE10" s="89"/>
      <c r="AF10" s="105"/>
      <c r="AG10" s="89"/>
      <c r="AH10" s="89"/>
      <c r="AI10" s="89"/>
      <c r="AJ10" s="105"/>
      <c r="AK10" s="105"/>
      <c r="AL10" s="105"/>
      <c r="AM10" s="106"/>
      <c r="AN10" s="107"/>
      <c r="AO10" s="91"/>
      <c r="AQ10" s="9"/>
      <c r="AR10" s="2"/>
    </row>
    <row r="11" customFormat="false" ht="14.25" hidden="false" customHeight="false" outlineLevel="0" collapsed="false">
      <c r="A11" s="99" t="s">
        <v>1846</v>
      </c>
      <c r="B11" s="1" t="n">
        <v>1</v>
      </c>
      <c r="C11" s="27" t="s">
        <v>121</v>
      </c>
      <c r="D11" s="1" t="n">
        <v>1516</v>
      </c>
      <c r="E11" s="100" t="n">
        <v>1104</v>
      </c>
      <c r="F11" s="27" t="s">
        <v>114</v>
      </c>
      <c r="G11" s="27" t="s">
        <v>127</v>
      </c>
      <c r="H11" s="101" t="s">
        <v>1847</v>
      </c>
      <c r="I11" s="89" t="s">
        <v>1848</v>
      </c>
      <c r="J11" s="90" t="s">
        <v>1849</v>
      </c>
      <c r="K11" s="89" t="s">
        <v>1850</v>
      </c>
      <c r="L11" s="89" t="s">
        <v>1851</v>
      </c>
      <c r="M11" s="90" t="s">
        <v>1852</v>
      </c>
      <c r="N11" s="89" t="s">
        <v>84</v>
      </c>
      <c r="O11" s="89" t="s">
        <v>84</v>
      </c>
      <c r="R11" s="89" t="s">
        <v>84</v>
      </c>
      <c r="S11" s="89" t="s">
        <v>1853</v>
      </c>
      <c r="T11" s="89" t="s">
        <v>84</v>
      </c>
      <c r="U11" s="89" t="s">
        <v>84</v>
      </c>
      <c r="V11" s="89" t="s">
        <v>84</v>
      </c>
      <c r="Y11" s="89" t="s">
        <v>1854</v>
      </c>
      <c r="AD11" s="90" t="s">
        <v>1855</v>
      </c>
      <c r="AE11" s="101" t="s">
        <v>1856</v>
      </c>
      <c r="AF11" s="101" t="s">
        <v>1857</v>
      </c>
      <c r="AG11" s="101" t="s">
        <v>1858</v>
      </c>
      <c r="AH11" s="101" t="s">
        <v>1859</v>
      </c>
      <c r="AI11" s="101" t="s">
        <v>1860</v>
      </c>
      <c r="AJ11" s="101" t="s">
        <v>1861</v>
      </c>
      <c r="AK11" s="101" t="s">
        <v>1862</v>
      </c>
      <c r="AL11" s="101" t="s">
        <v>1863</v>
      </c>
      <c r="AM11" s="104" t="s">
        <v>1864</v>
      </c>
      <c r="AN11" s="91" t="s">
        <v>1865</v>
      </c>
      <c r="AO11" s="91" t="s">
        <v>1776</v>
      </c>
      <c r="AP11" s="1" t="s">
        <v>1866</v>
      </c>
      <c r="AQ11" s="9" t="s">
        <v>1867</v>
      </c>
      <c r="AR11" s="2"/>
    </row>
    <row r="12" s="1" customFormat="true" ht="14.25" hidden="false" customHeight="false" outlineLevel="0" collapsed="false">
      <c r="A12" s="87"/>
      <c r="C12" s="27"/>
      <c r="E12" s="27"/>
      <c r="F12" s="27"/>
      <c r="G12" s="27"/>
      <c r="H12" s="105"/>
      <c r="I12" s="89"/>
      <c r="J12" s="90"/>
      <c r="K12" s="89"/>
      <c r="L12" s="89"/>
      <c r="M12" s="90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90"/>
      <c r="AE12" s="105"/>
      <c r="AF12" s="105"/>
      <c r="AG12" s="105"/>
      <c r="AH12" s="105"/>
      <c r="AI12" s="105"/>
      <c r="AJ12" s="105"/>
      <c r="AK12" s="105"/>
      <c r="AL12" s="105"/>
      <c r="AM12" s="106"/>
      <c r="AN12" s="91"/>
      <c r="AO12" s="91"/>
      <c r="AQ12" s="9"/>
      <c r="AR12" s="2"/>
    </row>
    <row r="13" customFormat="false" ht="14.25" hidden="false" customHeight="false" outlineLevel="0" collapsed="false">
      <c r="A13" s="99" t="s">
        <v>1868</v>
      </c>
      <c r="B13" s="1" t="n">
        <v>1</v>
      </c>
      <c r="C13" s="27" t="s">
        <v>4</v>
      </c>
      <c r="D13" s="1" t="n">
        <v>169</v>
      </c>
      <c r="E13" s="100" t="n">
        <v>518</v>
      </c>
      <c r="F13" s="27" t="s">
        <v>1869</v>
      </c>
      <c r="G13" s="27" t="s">
        <v>166</v>
      </c>
      <c r="H13" s="101" t="s">
        <v>1870</v>
      </c>
      <c r="I13" s="89" t="s">
        <v>1871</v>
      </c>
      <c r="J13" s="90" t="s">
        <v>1872</v>
      </c>
      <c r="K13" s="89" t="s">
        <v>1873</v>
      </c>
      <c r="L13" s="89" t="s">
        <v>84</v>
      </c>
      <c r="M13" s="90" t="s">
        <v>84</v>
      </c>
      <c r="N13" s="89" t="s">
        <v>1874</v>
      </c>
      <c r="O13" s="89" t="s">
        <v>1875</v>
      </c>
      <c r="R13" s="89" t="s">
        <v>84</v>
      </c>
      <c r="S13" s="89" t="s">
        <v>84</v>
      </c>
      <c r="T13" s="89" t="s">
        <v>84</v>
      </c>
      <c r="U13" s="89" t="s">
        <v>84</v>
      </c>
      <c r="V13" s="89" t="s">
        <v>84</v>
      </c>
      <c r="X13" s="89" t="s">
        <v>1876</v>
      </c>
      <c r="Y13" s="89" t="s">
        <v>84</v>
      </c>
      <c r="AA13" s="89" t="s">
        <v>1877</v>
      </c>
      <c r="AD13" s="90" t="s">
        <v>84</v>
      </c>
      <c r="AE13" s="89" t="s">
        <v>84</v>
      </c>
      <c r="AF13" s="89" t="s">
        <v>84</v>
      </c>
      <c r="AG13" s="89" t="s">
        <v>1878</v>
      </c>
      <c r="AH13" s="89" t="s">
        <v>84</v>
      </c>
      <c r="AI13" s="89" t="s">
        <v>1879</v>
      </c>
      <c r="AJ13" s="101" t="s">
        <v>84</v>
      </c>
      <c r="AK13" s="101" t="s">
        <v>84</v>
      </c>
      <c r="AL13" s="101" t="s">
        <v>84</v>
      </c>
      <c r="AM13" s="104" t="s">
        <v>84</v>
      </c>
      <c r="AN13" s="91" t="s">
        <v>1880</v>
      </c>
      <c r="AO13" s="91" t="s">
        <v>1776</v>
      </c>
      <c r="AP13" s="1" t="s">
        <v>1881</v>
      </c>
      <c r="AQ13" s="9" t="s">
        <v>1882</v>
      </c>
      <c r="AR13" s="2"/>
    </row>
    <row r="14" s="1" customFormat="true" ht="14.25" hidden="false" customHeight="false" outlineLevel="0" collapsed="false">
      <c r="A14" s="87" t="s">
        <v>1779</v>
      </c>
      <c r="C14" s="27"/>
      <c r="E14" s="27"/>
      <c r="F14" s="27"/>
      <c r="G14" s="27"/>
      <c r="H14" s="105"/>
      <c r="I14" s="89"/>
      <c r="J14" s="90"/>
      <c r="K14" s="89"/>
      <c r="L14" s="89"/>
      <c r="M14" s="90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90"/>
      <c r="AE14" s="89"/>
      <c r="AF14" s="89"/>
      <c r="AG14" s="89"/>
      <c r="AH14" s="89"/>
      <c r="AI14" s="89"/>
      <c r="AJ14" s="105"/>
      <c r="AK14" s="105"/>
      <c r="AL14" s="105"/>
      <c r="AM14" s="106"/>
      <c r="AN14" s="91"/>
      <c r="AO14" s="91"/>
      <c r="AQ14" s="9"/>
      <c r="AR14" s="2"/>
    </row>
    <row r="15" s="1" customFormat="true" ht="14.25" hidden="false" customHeight="false" outlineLevel="0" collapsed="false">
      <c r="A15" s="87" t="s">
        <v>1883</v>
      </c>
      <c r="C15" s="27"/>
      <c r="E15" s="27"/>
      <c r="F15" s="27"/>
      <c r="G15" s="27"/>
      <c r="H15" s="105"/>
      <c r="I15" s="89"/>
      <c r="J15" s="90"/>
      <c r="K15" s="89"/>
      <c r="L15" s="89"/>
      <c r="M15" s="90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90"/>
      <c r="AE15" s="89"/>
      <c r="AF15" s="89"/>
      <c r="AG15" s="89"/>
      <c r="AH15" s="89"/>
      <c r="AI15" s="89"/>
      <c r="AJ15" s="105"/>
      <c r="AK15" s="105"/>
      <c r="AL15" s="105"/>
      <c r="AM15" s="106"/>
      <c r="AN15" s="91"/>
      <c r="AO15" s="91"/>
      <c r="AQ15" s="9"/>
      <c r="AR15" s="2"/>
    </row>
    <row r="16" s="1" customFormat="true" ht="14.25" hidden="false" customHeight="false" outlineLevel="0" collapsed="false">
      <c r="A16" s="87" t="s">
        <v>1884</v>
      </c>
      <c r="C16" s="27"/>
      <c r="E16" s="27"/>
      <c r="F16" s="27"/>
      <c r="G16" s="27"/>
      <c r="H16" s="105"/>
      <c r="I16" s="89"/>
      <c r="J16" s="90"/>
      <c r="K16" s="89"/>
      <c r="L16" s="89"/>
      <c r="M16" s="90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90"/>
      <c r="AE16" s="89"/>
      <c r="AF16" s="89"/>
      <c r="AG16" s="89"/>
      <c r="AH16" s="89"/>
      <c r="AI16" s="89"/>
      <c r="AJ16" s="105"/>
      <c r="AK16" s="105"/>
      <c r="AL16" s="105"/>
      <c r="AM16" s="106"/>
      <c r="AN16" s="91"/>
      <c r="AO16" s="91"/>
      <c r="AQ16" s="9"/>
      <c r="AR16" s="2"/>
    </row>
    <row r="17" s="1" customFormat="true" ht="14.25" hidden="false" customHeight="false" outlineLevel="0" collapsed="false">
      <c r="A17" s="87"/>
      <c r="C17" s="27"/>
      <c r="E17" s="27"/>
      <c r="F17" s="27"/>
      <c r="G17" s="27"/>
      <c r="H17" s="105"/>
      <c r="I17" s="89"/>
      <c r="J17" s="90"/>
      <c r="K17" s="89"/>
      <c r="L17" s="89"/>
      <c r="M17" s="90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90"/>
      <c r="AE17" s="89"/>
      <c r="AF17" s="89"/>
      <c r="AG17" s="89"/>
      <c r="AH17" s="89"/>
      <c r="AI17" s="89"/>
      <c r="AJ17" s="105"/>
      <c r="AK17" s="105"/>
      <c r="AL17" s="105"/>
      <c r="AM17" s="106"/>
      <c r="AN17" s="91"/>
      <c r="AO17" s="91"/>
      <c r="AQ17" s="9"/>
      <c r="AR17" s="2"/>
    </row>
    <row r="18" s="1" customFormat="true" ht="16.25" hidden="false" customHeight="false" outlineLevel="0" collapsed="false">
      <c r="A18" s="99" t="s">
        <v>1885</v>
      </c>
      <c r="B18" s="1" t="n">
        <v>1</v>
      </c>
      <c r="C18" s="27" t="n">
        <v>2024</v>
      </c>
      <c r="D18" s="1" t="n">
        <v>128</v>
      </c>
      <c r="E18" s="27" t="n">
        <v>128</v>
      </c>
      <c r="F18" s="27" t="s">
        <v>67</v>
      </c>
      <c r="G18" s="27" t="s">
        <v>1886</v>
      </c>
      <c r="H18" s="105" t="s">
        <v>1887</v>
      </c>
      <c r="I18" s="89" t="s">
        <v>1888</v>
      </c>
      <c r="J18" s="90" t="s">
        <v>1889</v>
      </c>
      <c r="K18" s="89" t="s">
        <v>84</v>
      </c>
      <c r="L18" s="89" t="s">
        <v>84</v>
      </c>
      <c r="M18" s="90" t="s">
        <v>84</v>
      </c>
      <c r="N18" s="89" t="s">
        <v>84</v>
      </c>
      <c r="O18" s="89" t="s">
        <v>84</v>
      </c>
      <c r="P18" s="89" t="s">
        <v>84</v>
      </c>
      <c r="Q18" s="89" t="s">
        <v>84</v>
      </c>
      <c r="R18" s="89" t="s">
        <v>84</v>
      </c>
      <c r="S18" s="89" t="s">
        <v>84</v>
      </c>
      <c r="T18" s="89" t="s">
        <v>84</v>
      </c>
      <c r="U18" s="89" t="s">
        <v>84</v>
      </c>
      <c r="V18" s="89" t="s">
        <v>84</v>
      </c>
      <c r="W18" s="89" t="s">
        <v>84</v>
      </c>
      <c r="X18" s="89" t="s">
        <v>84</v>
      </c>
      <c r="Y18" s="89" t="s">
        <v>84</v>
      </c>
      <c r="Z18" s="89" t="s">
        <v>84</v>
      </c>
      <c r="AA18" s="89" t="s">
        <v>84</v>
      </c>
      <c r="AB18" s="89" t="s">
        <v>84</v>
      </c>
      <c r="AC18" s="89"/>
      <c r="AD18" s="90" t="s">
        <v>84</v>
      </c>
      <c r="AE18" s="89" t="s">
        <v>1890</v>
      </c>
      <c r="AF18" s="89" t="s">
        <v>1891</v>
      </c>
      <c r="AG18" s="89" t="s">
        <v>1892</v>
      </c>
      <c r="AH18" s="89" t="s">
        <v>1893</v>
      </c>
      <c r="AI18" s="89" t="s">
        <v>1894</v>
      </c>
      <c r="AJ18" s="105" t="s">
        <v>1895</v>
      </c>
      <c r="AK18" s="105" t="s">
        <v>1896</v>
      </c>
      <c r="AL18" s="105" t="s">
        <v>1897</v>
      </c>
      <c r="AM18" s="106" t="s">
        <v>1898</v>
      </c>
      <c r="AN18" s="108" t="s">
        <v>1899</v>
      </c>
      <c r="AO18" s="91" t="s">
        <v>1826</v>
      </c>
      <c r="AP18" s="1" t="s">
        <v>84</v>
      </c>
      <c r="AQ18" s="9" t="s">
        <v>1900</v>
      </c>
      <c r="AR18" s="2"/>
    </row>
    <row r="19" s="1" customFormat="true" ht="14.25" hidden="false" customHeight="false" outlineLevel="0" collapsed="false">
      <c r="A19" s="87"/>
      <c r="C19" s="27"/>
      <c r="E19" s="27"/>
      <c r="F19" s="27"/>
      <c r="G19" s="27"/>
      <c r="H19" s="105"/>
      <c r="I19" s="89"/>
      <c r="J19" s="90"/>
      <c r="K19" s="89"/>
      <c r="L19" s="89"/>
      <c r="M19" s="90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90"/>
      <c r="AE19" s="89"/>
      <c r="AF19" s="89"/>
      <c r="AG19" s="89"/>
      <c r="AH19" s="89"/>
      <c r="AI19" s="89"/>
      <c r="AJ19" s="105"/>
      <c r="AK19" s="105"/>
      <c r="AL19" s="105"/>
      <c r="AM19" s="106"/>
      <c r="AN19" s="91"/>
      <c r="AO19" s="91"/>
      <c r="AQ19" s="9"/>
      <c r="AR19" s="2"/>
    </row>
    <row r="20" customFormat="false" ht="14.25" hidden="false" customHeight="false" outlineLevel="0" collapsed="false">
      <c r="A20" s="99" t="s">
        <v>1677</v>
      </c>
      <c r="B20" s="1" t="n">
        <v>1</v>
      </c>
      <c r="C20" s="27" t="n">
        <v>2012</v>
      </c>
      <c r="D20" s="1" t="n">
        <v>108</v>
      </c>
      <c r="E20" s="100" t="n">
        <v>108</v>
      </c>
      <c r="F20" s="27" t="s">
        <v>114</v>
      </c>
      <c r="G20" s="27" t="s">
        <v>1901</v>
      </c>
      <c r="H20" s="101" t="s">
        <v>1902</v>
      </c>
      <c r="I20" s="89" t="s">
        <v>1903</v>
      </c>
      <c r="J20" s="90" t="s">
        <v>84</v>
      </c>
      <c r="K20" s="89" t="s">
        <v>84</v>
      </c>
      <c r="L20" s="89" t="s">
        <v>84</v>
      </c>
      <c r="M20" s="90" t="s">
        <v>84</v>
      </c>
      <c r="N20" s="89" t="s">
        <v>84</v>
      </c>
      <c r="O20" s="89" t="s">
        <v>84</v>
      </c>
      <c r="R20" s="89" t="s">
        <v>84</v>
      </c>
      <c r="S20" s="89" t="s">
        <v>84</v>
      </c>
      <c r="T20" s="89" t="s">
        <v>84</v>
      </c>
      <c r="U20" s="89" t="s">
        <v>84</v>
      </c>
      <c r="V20" s="89" t="s">
        <v>84</v>
      </c>
      <c r="X20" s="89" t="s">
        <v>84</v>
      </c>
      <c r="Y20" s="89" t="s">
        <v>84</v>
      </c>
      <c r="AA20" s="89" t="s">
        <v>84</v>
      </c>
      <c r="AD20" s="90" t="s">
        <v>84</v>
      </c>
      <c r="AE20" s="89" t="s">
        <v>1904</v>
      </c>
      <c r="AF20" s="89" t="s">
        <v>1905</v>
      </c>
      <c r="AG20" s="89" t="s">
        <v>1906</v>
      </c>
      <c r="AH20" s="89" t="s">
        <v>1907</v>
      </c>
      <c r="AI20" s="89" t="s">
        <v>1908</v>
      </c>
      <c r="AJ20" s="89" t="s">
        <v>1909</v>
      </c>
      <c r="AK20" s="89" t="s">
        <v>1910</v>
      </c>
      <c r="AL20" s="89" t="s">
        <v>1911</v>
      </c>
      <c r="AM20" s="90" t="s">
        <v>1912</v>
      </c>
      <c r="AN20" s="91" t="s">
        <v>1913</v>
      </c>
      <c r="AO20" s="91" t="s">
        <v>1826</v>
      </c>
      <c r="AP20" s="1" t="s">
        <v>1914</v>
      </c>
      <c r="AQ20" s="9" t="s">
        <v>1915</v>
      </c>
      <c r="AR20" s="2"/>
    </row>
    <row r="21" s="1" customFormat="true" ht="14.25" hidden="false" customHeight="false" outlineLevel="0" collapsed="false">
      <c r="A21" s="87"/>
      <c r="C21" s="27"/>
      <c r="E21" s="27"/>
      <c r="F21" s="27"/>
      <c r="G21" s="27"/>
      <c r="H21" s="105"/>
      <c r="I21" s="89"/>
      <c r="J21" s="90"/>
      <c r="K21" s="89"/>
      <c r="L21" s="89"/>
      <c r="M21" s="90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90"/>
      <c r="AE21" s="89"/>
      <c r="AF21" s="89"/>
      <c r="AG21" s="89"/>
      <c r="AH21" s="89"/>
      <c r="AI21" s="89"/>
      <c r="AJ21" s="89"/>
      <c r="AK21" s="89"/>
      <c r="AL21" s="89"/>
      <c r="AM21" s="90"/>
      <c r="AN21" s="91"/>
      <c r="AO21" s="91"/>
      <c r="AQ21" s="9"/>
      <c r="AR21" s="2"/>
    </row>
    <row r="22" customFormat="false" ht="14.25" hidden="false" customHeight="false" outlineLevel="0" collapsed="false">
      <c r="A22" s="99" t="s">
        <v>1916</v>
      </c>
      <c r="B22" s="1" t="n">
        <v>1</v>
      </c>
      <c r="C22" s="27" t="s">
        <v>1917</v>
      </c>
      <c r="D22" s="1" t="n">
        <v>517</v>
      </c>
      <c r="E22" s="100" t="n">
        <v>515</v>
      </c>
      <c r="F22" s="27" t="s">
        <v>67</v>
      </c>
      <c r="G22" s="27" t="s">
        <v>1918</v>
      </c>
      <c r="H22" s="101" t="s">
        <v>1919</v>
      </c>
      <c r="I22" s="89" t="s">
        <v>1920</v>
      </c>
      <c r="J22" s="90" t="s">
        <v>1921</v>
      </c>
      <c r="K22" s="89" t="s">
        <v>1922</v>
      </c>
      <c r="L22" s="89" t="s">
        <v>1923</v>
      </c>
      <c r="M22" s="90" t="s">
        <v>1924</v>
      </c>
      <c r="N22" s="89" t="s">
        <v>1925</v>
      </c>
      <c r="O22" s="89" t="s">
        <v>84</v>
      </c>
      <c r="R22" s="89" t="s">
        <v>84</v>
      </c>
      <c r="S22" s="89" t="s">
        <v>84</v>
      </c>
      <c r="T22" s="89" t="s">
        <v>84</v>
      </c>
      <c r="U22" s="89" t="s">
        <v>84</v>
      </c>
      <c r="V22" s="89" t="s">
        <v>84</v>
      </c>
      <c r="X22" s="89" t="s">
        <v>84</v>
      </c>
      <c r="Y22" s="89" t="s">
        <v>84</v>
      </c>
      <c r="AA22" s="89" t="s">
        <v>84</v>
      </c>
      <c r="AD22" s="90" t="s">
        <v>84</v>
      </c>
      <c r="AE22" s="89" t="s">
        <v>1926</v>
      </c>
      <c r="AF22" s="101" t="s">
        <v>1927</v>
      </c>
      <c r="AG22" s="89" t="s">
        <v>1928</v>
      </c>
      <c r="AH22" s="89" t="s">
        <v>1929</v>
      </c>
      <c r="AI22" s="89" t="s">
        <v>1930</v>
      </c>
      <c r="AJ22" s="101" t="s">
        <v>1931</v>
      </c>
      <c r="AK22" s="101" t="s">
        <v>1932</v>
      </c>
      <c r="AL22" s="101" t="s">
        <v>1933</v>
      </c>
      <c r="AM22" s="104" t="s">
        <v>1934</v>
      </c>
      <c r="AN22" s="91" t="s">
        <v>1935</v>
      </c>
      <c r="AO22" s="91" t="s">
        <v>1776</v>
      </c>
      <c r="AP22" s="1" t="s">
        <v>1936</v>
      </c>
      <c r="AQ22" s="9" t="s">
        <v>1937</v>
      </c>
      <c r="AR22" s="2"/>
    </row>
    <row r="23" s="1" customFormat="true" ht="14.25" hidden="false" customHeight="false" outlineLevel="0" collapsed="false">
      <c r="A23" s="87"/>
      <c r="C23" s="27"/>
      <c r="E23" s="27"/>
      <c r="F23" s="27"/>
      <c r="G23" s="27"/>
      <c r="H23" s="105"/>
      <c r="I23" s="89"/>
      <c r="J23" s="90"/>
      <c r="K23" s="89"/>
      <c r="L23" s="89"/>
      <c r="M23" s="90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90"/>
      <c r="AE23" s="89"/>
      <c r="AF23" s="105"/>
      <c r="AG23" s="89"/>
      <c r="AH23" s="89"/>
      <c r="AI23" s="89"/>
      <c r="AJ23" s="105"/>
      <c r="AK23" s="105"/>
      <c r="AL23" s="105"/>
      <c r="AM23" s="106"/>
      <c r="AN23" s="91"/>
      <c r="AO23" s="91"/>
      <c r="AQ23" s="9"/>
      <c r="AR23" s="2"/>
    </row>
    <row r="24" customFormat="false" ht="14.25" hidden="false" customHeight="false" outlineLevel="0" collapsed="false">
      <c r="A24" s="99" t="s">
        <v>1938</v>
      </c>
      <c r="B24" s="1" t="n">
        <v>1</v>
      </c>
      <c r="C24" s="27" t="s">
        <v>1939</v>
      </c>
      <c r="D24" s="1" t="n">
        <v>735</v>
      </c>
      <c r="E24" s="100" t="n">
        <v>730</v>
      </c>
      <c r="F24" s="27" t="s">
        <v>114</v>
      </c>
      <c r="G24" s="27" t="s">
        <v>1940</v>
      </c>
      <c r="H24" s="89" t="s">
        <v>1941</v>
      </c>
      <c r="I24" s="89" t="s">
        <v>1942</v>
      </c>
      <c r="J24" s="90" t="s">
        <v>1943</v>
      </c>
      <c r="K24" s="89" t="s">
        <v>1944</v>
      </c>
      <c r="L24" s="89" t="s">
        <v>1945</v>
      </c>
      <c r="M24" s="90" t="s">
        <v>1946</v>
      </c>
      <c r="N24" s="89" t="s">
        <v>1947</v>
      </c>
      <c r="O24" s="89" t="s">
        <v>84</v>
      </c>
      <c r="R24" s="89" t="s">
        <v>84</v>
      </c>
      <c r="S24" s="89" t="s">
        <v>84</v>
      </c>
      <c r="T24" s="89" t="s">
        <v>84</v>
      </c>
      <c r="U24" s="89" t="s">
        <v>1948</v>
      </c>
      <c r="V24" s="89" t="s">
        <v>84</v>
      </c>
      <c r="X24" s="89" t="s">
        <v>84</v>
      </c>
      <c r="Y24" s="89" t="s">
        <v>84</v>
      </c>
      <c r="AA24" s="89" t="s">
        <v>84</v>
      </c>
      <c r="AD24" s="90" t="s">
        <v>84</v>
      </c>
      <c r="AE24" s="89" t="s">
        <v>1949</v>
      </c>
      <c r="AF24" s="101" t="s">
        <v>1950</v>
      </c>
      <c r="AG24" s="89" t="s">
        <v>1951</v>
      </c>
      <c r="AH24" s="89" t="s">
        <v>1952</v>
      </c>
      <c r="AI24" s="101" t="s">
        <v>1953</v>
      </c>
      <c r="AJ24" s="101" t="s">
        <v>1954</v>
      </c>
      <c r="AK24" s="101" t="s">
        <v>1955</v>
      </c>
      <c r="AL24" s="101" t="s">
        <v>1956</v>
      </c>
      <c r="AM24" s="90" t="s">
        <v>1957</v>
      </c>
      <c r="AN24" s="91" t="s">
        <v>1958</v>
      </c>
      <c r="AO24" s="91" t="s">
        <v>1776</v>
      </c>
      <c r="AP24" s="1" t="s">
        <v>1959</v>
      </c>
      <c r="AQ24" s="9" t="s">
        <v>1960</v>
      </c>
      <c r="AR24" s="2"/>
    </row>
    <row r="25" s="1" customFormat="true" ht="14.25" hidden="false" customHeight="false" outlineLevel="0" collapsed="false">
      <c r="A25" s="87"/>
      <c r="C25" s="27"/>
      <c r="E25" s="27"/>
      <c r="F25" s="27"/>
      <c r="G25" s="27"/>
      <c r="H25" s="89"/>
      <c r="I25" s="89"/>
      <c r="J25" s="90"/>
      <c r="K25" s="89"/>
      <c r="L25" s="89"/>
      <c r="M25" s="90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90"/>
      <c r="AE25" s="89"/>
      <c r="AF25" s="105"/>
      <c r="AG25" s="89"/>
      <c r="AH25" s="89"/>
      <c r="AI25" s="105"/>
      <c r="AJ25" s="105"/>
      <c r="AK25" s="105"/>
      <c r="AL25" s="105"/>
      <c r="AM25" s="90"/>
      <c r="AN25" s="91"/>
      <c r="AO25" s="91"/>
      <c r="AQ25" s="9"/>
      <c r="AR25" s="2"/>
    </row>
    <row r="26" customFormat="false" ht="14.25" hidden="false" customHeight="false" outlineLevel="0" collapsed="false">
      <c r="A26" s="99" t="s">
        <v>1961</v>
      </c>
      <c r="B26" s="1" t="n">
        <v>1</v>
      </c>
      <c r="C26" s="27" t="s">
        <v>1962</v>
      </c>
      <c r="D26" s="1" t="n">
        <v>464</v>
      </c>
      <c r="E26" s="100" t="n">
        <v>1639</v>
      </c>
      <c r="F26" s="27" t="s">
        <v>67</v>
      </c>
      <c r="G26" s="27" t="s">
        <v>1963</v>
      </c>
      <c r="H26" s="89" t="s">
        <v>1964</v>
      </c>
      <c r="I26" s="1" t="n">
        <v>51.7</v>
      </c>
      <c r="J26" s="90" t="s">
        <v>1965</v>
      </c>
      <c r="K26" s="102" t="s">
        <v>1966</v>
      </c>
      <c r="L26" s="89" t="s">
        <v>1967</v>
      </c>
      <c r="M26" s="90" t="s">
        <v>1968</v>
      </c>
      <c r="N26" s="89" t="s">
        <v>1969</v>
      </c>
      <c r="O26" s="89" t="s">
        <v>84</v>
      </c>
      <c r="P26" s="89" t="s">
        <v>84</v>
      </c>
      <c r="Q26" s="89" t="s">
        <v>84</v>
      </c>
      <c r="R26" s="89" t="s">
        <v>84</v>
      </c>
      <c r="S26" s="89" t="s">
        <v>84</v>
      </c>
      <c r="T26" s="89" t="s">
        <v>84</v>
      </c>
      <c r="U26" s="89" t="s">
        <v>84</v>
      </c>
      <c r="V26" s="89" t="s">
        <v>84</v>
      </c>
      <c r="W26" s="89" t="s">
        <v>84</v>
      </c>
      <c r="X26" s="89" t="s">
        <v>84</v>
      </c>
      <c r="Y26" s="89" t="s">
        <v>84</v>
      </c>
      <c r="Z26" s="89" t="s">
        <v>84</v>
      </c>
      <c r="AA26" s="89" t="s">
        <v>84</v>
      </c>
      <c r="AB26" s="89" t="s">
        <v>84</v>
      </c>
      <c r="AC26" s="89" t="s">
        <v>1970</v>
      </c>
      <c r="AD26" s="90" t="s">
        <v>84</v>
      </c>
      <c r="AE26" s="89" t="s">
        <v>1971</v>
      </c>
      <c r="AF26" s="89" t="s">
        <v>1972</v>
      </c>
      <c r="AG26" s="89" t="s">
        <v>1973</v>
      </c>
      <c r="AH26" s="89" t="s">
        <v>1974</v>
      </c>
      <c r="AI26" s="89" t="s">
        <v>1975</v>
      </c>
      <c r="AJ26" s="89" t="s">
        <v>1976</v>
      </c>
      <c r="AK26" s="89" t="s">
        <v>1977</v>
      </c>
      <c r="AL26" s="89" t="s">
        <v>1978</v>
      </c>
      <c r="AM26" s="90" t="s">
        <v>1979</v>
      </c>
      <c r="AN26" s="91" t="s">
        <v>1980</v>
      </c>
      <c r="AO26" s="91" t="s">
        <v>1776</v>
      </c>
      <c r="AP26" s="1" t="s">
        <v>1981</v>
      </c>
      <c r="AQ26" s="9" t="s">
        <v>1982</v>
      </c>
      <c r="AR26" s="2"/>
    </row>
    <row r="27" customFormat="false" ht="14.25" hidden="false" customHeight="false" outlineLevel="0" collapsed="false">
      <c r="A27" s="99" t="s">
        <v>1779</v>
      </c>
      <c r="B27" s="1" t="n">
        <v>2</v>
      </c>
      <c r="D27" s="1"/>
      <c r="E27" s="100" t="n">
        <v>453</v>
      </c>
      <c r="F27" s="27" t="s">
        <v>67</v>
      </c>
      <c r="G27" s="27" t="s">
        <v>1983</v>
      </c>
      <c r="H27" s="89" t="s">
        <v>1984</v>
      </c>
      <c r="I27" s="1" t="n">
        <v>51.7</v>
      </c>
      <c r="J27" s="90" t="s">
        <v>1985</v>
      </c>
      <c r="K27" s="102" t="s">
        <v>1986</v>
      </c>
      <c r="L27" s="89" t="s">
        <v>1987</v>
      </c>
      <c r="M27" s="90" t="s">
        <v>1988</v>
      </c>
      <c r="N27" s="89" t="s">
        <v>1989</v>
      </c>
      <c r="O27" s="89" t="s">
        <v>84</v>
      </c>
      <c r="P27" s="89" t="s">
        <v>84</v>
      </c>
      <c r="Q27" s="89" t="s">
        <v>84</v>
      </c>
      <c r="R27" s="89" t="s">
        <v>84</v>
      </c>
      <c r="S27" s="89" t="s">
        <v>84</v>
      </c>
      <c r="T27" s="89" t="s">
        <v>84</v>
      </c>
      <c r="U27" s="89" t="s">
        <v>84</v>
      </c>
      <c r="V27" s="89" t="s">
        <v>84</v>
      </c>
      <c r="W27" s="89" t="s">
        <v>84</v>
      </c>
      <c r="X27" s="89" t="s">
        <v>84</v>
      </c>
      <c r="Y27" s="89" t="s">
        <v>84</v>
      </c>
      <c r="Z27" s="89" t="s">
        <v>84</v>
      </c>
      <c r="AA27" s="89" t="s">
        <v>84</v>
      </c>
      <c r="AB27" s="89" t="s">
        <v>84</v>
      </c>
      <c r="AC27" s="89" t="s">
        <v>1990</v>
      </c>
      <c r="AD27" s="90" t="s">
        <v>84</v>
      </c>
      <c r="AE27" s="89" t="s">
        <v>1991</v>
      </c>
      <c r="AF27" s="89" t="s">
        <v>1992</v>
      </c>
      <c r="AG27" s="89" t="s">
        <v>1993</v>
      </c>
      <c r="AH27" s="89" t="s">
        <v>1994</v>
      </c>
      <c r="AI27" s="89" t="s">
        <v>1995</v>
      </c>
      <c r="AJ27" s="89" t="s">
        <v>1996</v>
      </c>
      <c r="AK27" s="89" t="s">
        <v>1997</v>
      </c>
      <c r="AL27" s="89" t="s">
        <v>1998</v>
      </c>
      <c r="AM27" s="90" t="s">
        <v>1999</v>
      </c>
      <c r="AQ27" s="9"/>
      <c r="AR27" s="2"/>
    </row>
    <row r="28" customFormat="false" ht="14.25" hidden="false" customHeight="false" outlineLevel="0" collapsed="false">
      <c r="A28" s="99" t="s">
        <v>1883</v>
      </c>
      <c r="B28" s="1" t="n">
        <v>2</v>
      </c>
      <c r="D28" s="1"/>
      <c r="E28" s="100" t="n">
        <v>407</v>
      </c>
      <c r="F28" s="27" t="s">
        <v>67</v>
      </c>
      <c r="G28" s="27" t="s">
        <v>1963</v>
      </c>
      <c r="H28" s="89" t="s">
        <v>2000</v>
      </c>
      <c r="I28" s="1" t="n">
        <v>51.7</v>
      </c>
      <c r="J28" s="90" t="s">
        <v>2001</v>
      </c>
      <c r="K28" s="102" t="s">
        <v>2002</v>
      </c>
      <c r="L28" s="89" t="s">
        <v>2003</v>
      </c>
      <c r="M28" s="90" t="s">
        <v>2004</v>
      </c>
      <c r="N28" s="89" t="s">
        <v>2005</v>
      </c>
      <c r="O28" s="89" t="s">
        <v>84</v>
      </c>
      <c r="P28" s="89" t="s">
        <v>84</v>
      </c>
      <c r="Q28" s="89" t="s">
        <v>84</v>
      </c>
      <c r="R28" s="89" t="s">
        <v>84</v>
      </c>
      <c r="S28" s="89" t="s">
        <v>84</v>
      </c>
      <c r="T28" s="89" t="s">
        <v>84</v>
      </c>
      <c r="U28" s="89" t="s">
        <v>84</v>
      </c>
      <c r="V28" s="89" t="s">
        <v>84</v>
      </c>
      <c r="W28" s="89" t="s">
        <v>84</v>
      </c>
      <c r="X28" s="89" t="s">
        <v>84</v>
      </c>
      <c r="Y28" s="89" t="s">
        <v>84</v>
      </c>
      <c r="Z28" s="89" t="s">
        <v>84</v>
      </c>
      <c r="AA28" s="89" t="s">
        <v>84</v>
      </c>
      <c r="AB28" s="89" t="s">
        <v>84</v>
      </c>
      <c r="AC28" s="89" t="s">
        <v>2006</v>
      </c>
      <c r="AD28" s="90" t="s">
        <v>84</v>
      </c>
      <c r="AE28" s="89" t="s">
        <v>2007</v>
      </c>
      <c r="AF28" s="89" t="s">
        <v>2008</v>
      </c>
      <c r="AG28" s="89" t="s">
        <v>2009</v>
      </c>
      <c r="AH28" s="89" t="s">
        <v>2010</v>
      </c>
      <c r="AI28" s="89" t="s">
        <v>2011</v>
      </c>
      <c r="AJ28" s="89" t="s">
        <v>2012</v>
      </c>
      <c r="AK28" s="89" t="s">
        <v>2013</v>
      </c>
      <c r="AL28" s="89" t="s">
        <v>2014</v>
      </c>
      <c r="AM28" s="90" t="s">
        <v>2015</v>
      </c>
      <c r="AQ28" s="9"/>
      <c r="AR28" s="2"/>
    </row>
    <row r="29" customFormat="false" ht="14.25" hidden="false" customHeight="false" outlineLevel="0" collapsed="false">
      <c r="A29" s="99" t="s">
        <v>1884</v>
      </c>
      <c r="B29" s="1" t="n">
        <v>2</v>
      </c>
      <c r="D29" s="1"/>
      <c r="E29" s="100" t="n">
        <v>779</v>
      </c>
      <c r="F29" s="27" t="s">
        <v>67</v>
      </c>
      <c r="G29" s="27" t="s">
        <v>84</v>
      </c>
      <c r="H29" s="89" t="s">
        <v>84</v>
      </c>
      <c r="I29" s="89" t="s">
        <v>84</v>
      </c>
      <c r="J29" s="90" t="s">
        <v>84</v>
      </c>
      <c r="K29" s="89" t="s">
        <v>84</v>
      </c>
      <c r="L29" s="89" t="s">
        <v>84</v>
      </c>
      <c r="M29" s="90" t="s">
        <v>84</v>
      </c>
      <c r="N29" s="89" t="s">
        <v>84</v>
      </c>
      <c r="O29" s="89" t="s">
        <v>84</v>
      </c>
      <c r="P29" s="89" t="s">
        <v>84</v>
      </c>
      <c r="Q29" s="89" t="s">
        <v>84</v>
      </c>
      <c r="R29" s="89" t="s">
        <v>84</v>
      </c>
      <c r="S29" s="89" t="s">
        <v>84</v>
      </c>
      <c r="T29" s="89" t="s">
        <v>84</v>
      </c>
      <c r="U29" s="89" t="s">
        <v>84</v>
      </c>
      <c r="V29" s="89" t="s">
        <v>84</v>
      </c>
      <c r="W29" s="89" t="s">
        <v>84</v>
      </c>
      <c r="X29" s="89" t="s">
        <v>84</v>
      </c>
      <c r="Y29" s="89" t="s">
        <v>84</v>
      </c>
      <c r="Z29" s="89" t="s">
        <v>84</v>
      </c>
      <c r="AA29" s="89" t="s">
        <v>84</v>
      </c>
      <c r="AB29" s="89" t="s">
        <v>84</v>
      </c>
      <c r="AC29" s="89" t="s">
        <v>84</v>
      </c>
      <c r="AD29" s="90" t="s">
        <v>84</v>
      </c>
      <c r="AE29" s="89" t="s">
        <v>2016</v>
      </c>
      <c r="AF29" s="89" t="s">
        <v>2017</v>
      </c>
      <c r="AG29" s="89" t="s">
        <v>2018</v>
      </c>
      <c r="AH29" s="89" t="s">
        <v>2019</v>
      </c>
      <c r="AI29" s="89" t="s">
        <v>2020</v>
      </c>
      <c r="AJ29" s="89" t="s">
        <v>2021</v>
      </c>
      <c r="AK29" s="89" t="s">
        <v>2022</v>
      </c>
      <c r="AL29" s="89" t="s">
        <v>2023</v>
      </c>
      <c r="AM29" s="90" t="s">
        <v>2024</v>
      </c>
      <c r="AQ29" s="9"/>
      <c r="AR29" s="2"/>
    </row>
    <row r="30" s="1" customFormat="true" ht="14.25" hidden="false" customHeight="false" outlineLevel="0" collapsed="false">
      <c r="A30" s="87"/>
      <c r="C30" s="27"/>
      <c r="E30" s="27"/>
      <c r="F30" s="27"/>
      <c r="G30" s="27"/>
      <c r="H30" s="89"/>
      <c r="I30" s="89"/>
      <c r="J30" s="90"/>
      <c r="K30" s="89"/>
      <c r="L30" s="89"/>
      <c r="M30" s="90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90"/>
      <c r="AE30" s="89"/>
      <c r="AF30" s="89"/>
      <c r="AG30" s="89"/>
      <c r="AH30" s="89"/>
      <c r="AI30" s="89"/>
      <c r="AJ30" s="89"/>
      <c r="AK30" s="89"/>
      <c r="AL30" s="89"/>
      <c r="AM30" s="90"/>
      <c r="AN30" s="91"/>
      <c r="AO30" s="91"/>
      <c r="AQ30" s="9"/>
      <c r="AR30" s="2"/>
    </row>
    <row r="31" customFormat="false" ht="14.25" hidden="false" customHeight="false" outlineLevel="0" collapsed="false">
      <c r="A31" s="99" t="s">
        <v>2025</v>
      </c>
      <c r="B31" s="1" t="n">
        <v>1</v>
      </c>
      <c r="C31" s="27" t="s">
        <v>247</v>
      </c>
      <c r="D31" s="1" t="n">
        <v>113</v>
      </c>
      <c r="E31" s="100" t="n">
        <v>113</v>
      </c>
      <c r="F31" s="27" t="s">
        <v>67</v>
      </c>
      <c r="G31" s="27" t="s">
        <v>84</v>
      </c>
      <c r="H31" s="105" t="s">
        <v>2026</v>
      </c>
      <c r="I31" s="105" t="s">
        <v>2027</v>
      </c>
      <c r="J31" s="90" t="s">
        <v>2028</v>
      </c>
      <c r="K31" s="89" t="s">
        <v>2029</v>
      </c>
      <c r="L31" s="89" t="s">
        <v>2030</v>
      </c>
      <c r="M31" s="90" t="s">
        <v>84</v>
      </c>
      <c r="N31" s="89" t="s">
        <v>2031</v>
      </c>
      <c r="O31" s="89" t="s">
        <v>84</v>
      </c>
      <c r="R31" s="89" t="s">
        <v>84</v>
      </c>
      <c r="S31" s="89" t="s">
        <v>84</v>
      </c>
      <c r="T31" s="89" t="s">
        <v>84</v>
      </c>
      <c r="U31" s="89" t="s">
        <v>84</v>
      </c>
      <c r="V31" s="89" t="s">
        <v>84</v>
      </c>
      <c r="X31" s="89" t="s">
        <v>84</v>
      </c>
      <c r="Y31" s="89" t="s">
        <v>84</v>
      </c>
      <c r="AA31" s="89" t="s">
        <v>84</v>
      </c>
      <c r="AD31" s="90" t="s">
        <v>84</v>
      </c>
      <c r="AE31" s="101" t="s">
        <v>2032</v>
      </c>
      <c r="AF31" s="89" t="s">
        <v>2033</v>
      </c>
      <c r="AG31" s="101" t="s">
        <v>2034</v>
      </c>
      <c r="AH31" s="89" t="s">
        <v>2035</v>
      </c>
      <c r="AI31" s="101" t="s">
        <v>2036</v>
      </c>
      <c r="AJ31" s="101" t="s">
        <v>2037</v>
      </c>
      <c r="AK31" s="101" t="s">
        <v>2038</v>
      </c>
      <c r="AL31" s="101" t="s">
        <v>2039</v>
      </c>
      <c r="AM31" s="104" t="s">
        <v>2040</v>
      </c>
      <c r="AN31" s="91" t="s">
        <v>2041</v>
      </c>
      <c r="AO31" s="91" t="s">
        <v>1776</v>
      </c>
      <c r="AP31" s="1" t="s">
        <v>2042</v>
      </c>
      <c r="AQ31" s="9" t="s">
        <v>2043</v>
      </c>
      <c r="AR31" s="2"/>
      <c r="AS31" s="2"/>
      <c r="AT31" s="2"/>
      <c r="AU31" s="2"/>
      <c r="AV31" s="2"/>
      <c r="AX31" s="1"/>
    </row>
    <row r="32" s="1" customFormat="true" ht="14.25" hidden="false" customHeight="false" outlineLevel="0" collapsed="false">
      <c r="A32" s="87"/>
      <c r="C32" s="27"/>
      <c r="E32" s="27"/>
      <c r="F32" s="27"/>
      <c r="G32" s="27"/>
      <c r="H32" s="105"/>
      <c r="I32" s="73"/>
      <c r="J32" s="90"/>
      <c r="K32" s="89"/>
      <c r="L32" s="89"/>
      <c r="M32" s="90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90"/>
      <c r="AE32" s="105"/>
      <c r="AF32" s="89"/>
      <c r="AG32" s="105"/>
      <c r="AH32" s="89"/>
      <c r="AI32" s="105"/>
      <c r="AJ32" s="105"/>
      <c r="AK32" s="105"/>
      <c r="AL32" s="105"/>
      <c r="AM32" s="106"/>
      <c r="AN32" s="91"/>
      <c r="AO32" s="91"/>
      <c r="AQ32" s="9"/>
      <c r="AR32" s="2"/>
      <c r="AS32" s="2"/>
      <c r="AT32" s="2"/>
      <c r="AU32" s="2"/>
      <c r="AV32" s="2"/>
    </row>
    <row r="33" customFormat="false" ht="14.25" hidden="false" customHeight="false" outlineLevel="0" collapsed="false">
      <c r="A33" s="99" t="s">
        <v>2044</v>
      </c>
      <c r="B33" s="1" t="n">
        <v>1</v>
      </c>
      <c r="C33" s="27" t="s">
        <v>292</v>
      </c>
      <c r="D33" s="1" t="n">
        <v>255</v>
      </c>
      <c r="E33" s="27" t="n">
        <v>255</v>
      </c>
      <c r="F33" s="27" t="s">
        <v>67</v>
      </c>
      <c r="G33" s="27" t="s">
        <v>84</v>
      </c>
      <c r="H33" s="89" t="s">
        <v>84</v>
      </c>
      <c r="I33" s="89" t="s">
        <v>84</v>
      </c>
      <c r="J33" s="90" t="s">
        <v>84</v>
      </c>
      <c r="K33" s="89" t="s">
        <v>84</v>
      </c>
      <c r="L33" s="89" t="s">
        <v>84</v>
      </c>
      <c r="M33" s="90" t="s">
        <v>84</v>
      </c>
      <c r="N33" s="89" t="s">
        <v>84</v>
      </c>
      <c r="O33" s="89" t="s">
        <v>84</v>
      </c>
      <c r="P33" s="89" t="s">
        <v>84</v>
      </c>
      <c r="Q33" s="89" t="s">
        <v>84</v>
      </c>
      <c r="R33" s="89" t="s">
        <v>84</v>
      </c>
      <c r="S33" s="89" t="s">
        <v>84</v>
      </c>
      <c r="T33" s="89" t="s">
        <v>84</v>
      </c>
      <c r="U33" s="89" t="s">
        <v>84</v>
      </c>
      <c r="V33" s="89" t="s">
        <v>84</v>
      </c>
      <c r="X33" s="89" t="s">
        <v>84</v>
      </c>
      <c r="Y33" s="89" t="s">
        <v>84</v>
      </c>
      <c r="AA33" s="89" t="s">
        <v>84</v>
      </c>
      <c r="AD33" s="90" t="s">
        <v>84</v>
      </c>
      <c r="AE33" s="101" t="s">
        <v>2045</v>
      </c>
      <c r="AF33" s="89" t="s">
        <v>2046</v>
      </c>
      <c r="AG33" s="101" t="s">
        <v>2047</v>
      </c>
      <c r="AH33" s="101" t="s">
        <v>2048</v>
      </c>
      <c r="AI33" s="101" t="s">
        <v>2049</v>
      </c>
      <c r="AJ33" s="89" t="s">
        <v>2050</v>
      </c>
      <c r="AK33" s="89" t="s">
        <v>2051</v>
      </c>
      <c r="AL33" s="89" t="s">
        <v>2052</v>
      </c>
      <c r="AM33" s="90" t="s">
        <v>2053</v>
      </c>
      <c r="AN33" s="91" t="s">
        <v>2054</v>
      </c>
      <c r="AO33" s="91" t="s">
        <v>1826</v>
      </c>
      <c r="AP33" s="1" t="s">
        <v>2055</v>
      </c>
      <c r="AQ33" s="9" t="s">
        <v>2056</v>
      </c>
      <c r="AR33" s="2"/>
      <c r="AS33" s="2"/>
      <c r="AT33" s="2"/>
      <c r="AU33" s="2"/>
      <c r="AV33" s="2"/>
      <c r="AW33" s="2"/>
      <c r="AX33" s="2"/>
    </row>
    <row r="34" s="1" customFormat="true" ht="14.25" hidden="false" customHeight="false" outlineLevel="0" collapsed="false">
      <c r="A34" s="87"/>
      <c r="C34" s="27"/>
      <c r="E34" s="27"/>
      <c r="F34" s="27"/>
      <c r="G34" s="27"/>
      <c r="H34" s="89"/>
      <c r="I34" s="89"/>
      <c r="J34" s="90"/>
      <c r="K34" s="89"/>
      <c r="L34" s="89"/>
      <c r="M34" s="9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90"/>
      <c r="AE34" s="105"/>
      <c r="AF34" s="89"/>
      <c r="AG34" s="105"/>
      <c r="AH34" s="105"/>
      <c r="AI34" s="105"/>
      <c r="AJ34" s="89"/>
      <c r="AK34" s="89"/>
      <c r="AL34" s="89"/>
      <c r="AM34" s="90"/>
      <c r="AN34" s="91"/>
      <c r="AO34" s="91"/>
      <c r="AQ34" s="9"/>
      <c r="AR34" s="2"/>
      <c r="AS34" s="2"/>
      <c r="AT34" s="2"/>
      <c r="AU34" s="2"/>
      <c r="AV34" s="2"/>
      <c r="AW34" s="2"/>
      <c r="AX34" s="2"/>
    </row>
    <row r="35" customFormat="false" ht="14.25" hidden="false" customHeight="false" outlineLevel="0" collapsed="false">
      <c r="A35" s="99" t="s">
        <v>2057</v>
      </c>
      <c r="B35" s="1" t="n">
        <v>1</v>
      </c>
      <c r="C35" s="27" t="n">
        <v>2020</v>
      </c>
      <c r="D35" s="1" t="n">
        <v>25</v>
      </c>
      <c r="E35" s="100" t="n">
        <v>25</v>
      </c>
      <c r="F35" s="27" t="s">
        <v>67</v>
      </c>
      <c r="G35" s="27" t="s">
        <v>84</v>
      </c>
      <c r="H35" s="89" t="s">
        <v>2058</v>
      </c>
      <c r="I35" s="89" t="s">
        <v>2059</v>
      </c>
      <c r="J35" s="90" t="s">
        <v>2060</v>
      </c>
      <c r="K35" s="89" t="s">
        <v>84</v>
      </c>
      <c r="L35" s="89" t="s">
        <v>84</v>
      </c>
      <c r="M35" s="90" t="s">
        <v>84</v>
      </c>
      <c r="N35" s="89" t="s">
        <v>84</v>
      </c>
      <c r="O35" s="89" t="s">
        <v>84</v>
      </c>
      <c r="P35" s="89" t="s">
        <v>84</v>
      </c>
      <c r="Q35" s="89" t="s">
        <v>84</v>
      </c>
      <c r="R35" s="89" t="s">
        <v>84</v>
      </c>
      <c r="S35" s="89" t="s">
        <v>84</v>
      </c>
      <c r="T35" s="89" t="s">
        <v>84</v>
      </c>
      <c r="U35" s="89" t="s">
        <v>84</v>
      </c>
      <c r="V35" s="89" t="s">
        <v>84</v>
      </c>
      <c r="X35" s="89" t="s">
        <v>84</v>
      </c>
      <c r="Y35" s="89" t="s">
        <v>84</v>
      </c>
      <c r="AA35" s="89" t="s">
        <v>84</v>
      </c>
      <c r="AD35" s="90" t="s">
        <v>84</v>
      </c>
      <c r="AE35" s="89" t="s">
        <v>2061</v>
      </c>
      <c r="AF35" s="101" t="s">
        <v>2062</v>
      </c>
      <c r="AG35" s="101" t="s">
        <v>2063</v>
      </c>
      <c r="AH35" s="89" t="s">
        <v>2064</v>
      </c>
      <c r="AI35" s="89" t="s">
        <v>2065</v>
      </c>
      <c r="AJ35" s="101" t="s">
        <v>2066</v>
      </c>
      <c r="AK35" s="101" t="s">
        <v>2067</v>
      </c>
      <c r="AL35" s="101" t="s">
        <v>2068</v>
      </c>
      <c r="AM35" s="104" t="s">
        <v>2069</v>
      </c>
      <c r="AN35" s="107" t="s">
        <v>2070</v>
      </c>
      <c r="AO35" s="91" t="s">
        <v>1826</v>
      </c>
      <c r="AP35" s="1" t="s">
        <v>339</v>
      </c>
      <c r="AQ35" s="1" t="s">
        <v>2071</v>
      </c>
      <c r="AR35" s="2"/>
      <c r="BB35" s="32"/>
    </row>
    <row r="36" s="1" customFormat="true" ht="14.25" hidden="false" customHeight="false" outlineLevel="0" collapsed="false">
      <c r="A36" s="87"/>
      <c r="C36" s="27"/>
      <c r="E36" s="27"/>
      <c r="F36" s="27"/>
      <c r="G36" s="27"/>
      <c r="H36" s="89"/>
      <c r="I36" s="89"/>
      <c r="J36" s="90"/>
      <c r="K36" s="89"/>
      <c r="L36" s="89"/>
      <c r="M36" s="90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90"/>
      <c r="AE36" s="89"/>
      <c r="AF36" s="105"/>
      <c r="AG36" s="105"/>
      <c r="AH36" s="89"/>
      <c r="AI36" s="89"/>
      <c r="AJ36" s="105"/>
      <c r="AK36" s="105"/>
      <c r="AL36" s="105"/>
      <c r="AM36" s="106"/>
      <c r="AN36" s="107"/>
      <c r="AO36" s="91"/>
      <c r="AR36" s="2"/>
      <c r="BB36" s="32"/>
    </row>
    <row r="37" customFormat="false" ht="14.25" hidden="false" customHeight="false" outlineLevel="0" collapsed="false">
      <c r="A37" s="99" t="s">
        <v>2072</v>
      </c>
      <c r="B37" s="1" t="n">
        <v>1</v>
      </c>
      <c r="C37" s="27" t="n">
        <v>2020</v>
      </c>
      <c r="D37" s="1" t="n">
        <v>55</v>
      </c>
      <c r="E37" s="100" t="n">
        <v>56</v>
      </c>
      <c r="F37" s="27" t="s">
        <v>67</v>
      </c>
      <c r="G37" s="27" t="s">
        <v>84</v>
      </c>
      <c r="H37" s="89" t="s">
        <v>2073</v>
      </c>
      <c r="I37" s="89" t="s">
        <v>2074</v>
      </c>
      <c r="J37" s="90" t="s">
        <v>2075</v>
      </c>
      <c r="K37" s="89" t="s">
        <v>2076</v>
      </c>
      <c r="L37" s="89" t="s">
        <v>84</v>
      </c>
      <c r="M37" s="90" t="s">
        <v>84</v>
      </c>
      <c r="N37" s="89" t="s">
        <v>84</v>
      </c>
      <c r="O37" s="89" t="s">
        <v>84</v>
      </c>
      <c r="P37" s="89" t="s">
        <v>84</v>
      </c>
      <c r="Q37" s="89" t="s">
        <v>84</v>
      </c>
      <c r="R37" s="89" t="s">
        <v>84</v>
      </c>
      <c r="S37" s="89" t="s">
        <v>84</v>
      </c>
      <c r="T37" s="89" t="s">
        <v>84</v>
      </c>
      <c r="U37" s="89" t="s">
        <v>84</v>
      </c>
      <c r="V37" s="89" t="s">
        <v>84</v>
      </c>
      <c r="X37" s="89" t="s">
        <v>84</v>
      </c>
      <c r="Y37" s="89" t="s">
        <v>84</v>
      </c>
      <c r="AA37" s="89" t="s">
        <v>84</v>
      </c>
      <c r="AD37" s="90" t="s">
        <v>84</v>
      </c>
      <c r="AE37" s="89" t="s">
        <v>2077</v>
      </c>
      <c r="AF37" s="101" t="s">
        <v>2078</v>
      </c>
      <c r="AG37" s="101" t="s">
        <v>2079</v>
      </c>
      <c r="AH37" s="101" t="s">
        <v>2080</v>
      </c>
      <c r="AI37" s="89" t="s">
        <v>2081</v>
      </c>
      <c r="AJ37" s="101" t="s">
        <v>2082</v>
      </c>
      <c r="AK37" s="101" t="s">
        <v>2083</v>
      </c>
      <c r="AL37" s="101" t="s">
        <v>2084</v>
      </c>
      <c r="AM37" s="104" t="s">
        <v>2085</v>
      </c>
      <c r="AN37" s="107" t="s">
        <v>2086</v>
      </c>
      <c r="AO37" s="91" t="s">
        <v>1826</v>
      </c>
      <c r="AP37" s="1" t="s">
        <v>339</v>
      </c>
      <c r="AQ37" s="1" t="s">
        <v>2071</v>
      </c>
      <c r="AR37" s="2"/>
    </row>
    <row r="38" s="1" customFormat="true" ht="14.25" hidden="false" customHeight="false" outlineLevel="0" collapsed="false">
      <c r="A38" s="87"/>
      <c r="C38" s="27"/>
      <c r="E38" s="27"/>
      <c r="F38" s="27"/>
      <c r="G38" s="27"/>
      <c r="H38" s="89"/>
      <c r="I38" s="89"/>
      <c r="J38" s="90"/>
      <c r="K38" s="89"/>
      <c r="L38" s="89"/>
      <c r="M38" s="90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90"/>
      <c r="AE38" s="89"/>
      <c r="AF38" s="105"/>
      <c r="AG38" s="105"/>
      <c r="AH38" s="105"/>
      <c r="AI38" s="89"/>
      <c r="AJ38" s="105"/>
      <c r="AK38" s="105"/>
      <c r="AL38" s="105"/>
      <c r="AM38" s="106"/>
      <c r="AN38" s="107"/>
      <c r="AO38" s="91"/>
      <c r="AR38" s="2"/>
    </row>
    <row r="39" customFormat="false" ht="14.25" hidden="false" customHeight="false" outlineLevel="0" collapsed="false">
      <c r="A39" s="99" t="s">
        <v>2087</v>
      </c>
      <c r="B39" s="1" t="n">
        <v>1</v>
      </c>
      <c r="C39" s="27" t="n">
        <v>2022</v>
      </c>
      <c r="D39" s="1" t="n">
        <v>100</v>
      </c>
      <c r="E39" s="27" t="n">
        <v>100</v>
      </c>
      <c r="F39" s="27" t="s">
        <v>67</v>
      </c>
      <c r="G39" s="27" t="s">
        <v>2088</v>
      </c>
      <c r="H39" s="89" t="s">
        <v>2089</v>
      </c>
      <c r="I39" s="89" t="s">
        <v>2090</v>
      </c>
      <c r="J39" s="90" t="s">
        <v>2091</v>
      </c>
      <c r="K39" s="89" t="s">
        <v>2092</v>
      </c>
      <c r="L39" s="89" t="s">
        <v>2093</v>
      </c>
      <c r="M39" s="90" t="s">
        <v>84</v>
      </c>
      <c r="AE39" s="89" t="s">
        <v>2094</v>
      </c>
      <c r="AF39" s="89" t="s">
        <v>2095</v>
      </c>
      <c r="AG39" s="89" t="s">
        <v>2096</v>
      </c>
      <c r="AH39" s="89" t="s">
        <v>2097</v>
      </c>
      <c r="AI39" s="89" t="s">
        <v>2098</v>
      </c>
      <c r="AJ39" s="89" t="s">
        <v>2099</v>
      </c>
      <c r="AK39" s="89" t="s">
        <v>2100</v>
      </c>
      <c r="AL39" s="89" t="s">
        <v>2101</v>
      </c>
      <c r="AM39" s="90" t="s">
        <v>2102</v>
      </c>
      <c r="AN39" s="91" t="s">
        <v>2103</v>
      </c>
      <c r="AO39" s="91" t="s">
        <v>1776</v>
      </c>
      <c r="AP39" s="1" t="s">
        <v>2104</v>
      </c>
      <c r="AQ39" s="1" t="s">
        <v>2105</v>
      </c>
      <c r="AR39" s="2"/>
    </row>
    <row r="40" s="1" customFormat="true" ht="14.25" hidden="false" customHeight="false" outlineLevel="0" collapsed="false">
      <c r="A40" s="87"/>
      <c r="C40" s="27"/>
      <c r="E40" s="27"/>
      <c r="F40" s="27"/>
      <c r="G40" s="27"/>
      <c r="H40" s="89"/>
      <c r="I40" s="89"/>
      <c r="J40" s="90"/>
      <c r="K40" s="89"/>
      <c r="L40" s="89"/>
      <c r="M40" s="90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90"/>
      <c r="AE40" s="89"/>
      <c r="AF40" s="89"/>
      <c r="AG40" s="89"/>
      <c r="AH40" s="89"/>
      <c r="AI40" s="89"/>
      <c r="AJ40" s="89"/>
      <c r="AK40" s="89"/>
      <c r="AL40" s="89"/>
      <c r="AM40" s="90"/>
      <c r="AN40" s="91"/>
      <c r="AO40" s="91"/>
      <c r="AR40" s="2"/>
    </row>
    <row r="41" customFormat="false" ht="14.25" hidden="false" customHeight="false" outlineLevel="0" collapsed="false">
      <c r="A41" s="99" t="s">
        <v>2106</v>
      </c>
      <c r="B41" s="1" t="n">
        <v>1</v>
      </c>
      <c r="C41" s="27" t="n">
        <v>2017</v>
      </c>
      <c r="D41" s="1" t="n">
        <v>9</v>
      </c>
      <c r="E41" s="27" t="n">
        <v>9</v>
      </c>
      <c r="F41" s="27" t="s">
        <v>67</v>
      </c>
      <c r="G41" s="89" t="s">
        <v>2107</v>
      </c>
      <c r="H41" s="109" t="s">
        <v>84</v>
      </c>
      <c r="I41" s="89" t="s">
        <v>2108</v>
      </c>
      <c r="J41" s="90" t="s">
        <v>84</v>
      </c>
      <c r="K41" s="89" t="s">
        <v>2109</v>
      </c>
      <c r="L41" s="89" t="s">
        <v>2110</v>
      </c>
      <c r="M41" s="90" t="s">
        <v>84</v>
      </c>
      <c r="N41" s="89" t="s">
        <v>84</v>
      </c>
      <c r="O41" s="89" t="s">
        <v>84</v>
      </c>
      <c r="P41" s="89" t="s">
        <v>84</v>
      </c>
      <c r="Q41" s="89" t="s">
        <v>84</v>
      </c>
      <c r="R41" s="89" t="s">
        <v>84</v>
      </c>
      <c r="S41" s="89" t="s">
        <v>84</v>
      </c>
      <c r="T41" s="89" t="s">
        <v>84</v>
      </c>
      <c r="U41" s="89" t="s">
        <v>84</v>
      </c>
      <c r="V41" s="89" t="s">
        <v>84</v>
      </c>
      <c r="X41" s="89" t="s">
        <v>84</v>
      </c>
      <c r="Y41" s="89" t="s">
        <v>84</v>
      </c>
      <c r="AA41" s="89" t="s">
        <v>84</v>
      </c>
      <c r="AD41" s="90" t="s">
        <v>84</v>
      </c>
      <c r="AE41" s="101" t="s">
        <v>2111</v>
      </c>
      <c r="AF41" s="89" t="s">
        <v>2112</v>
      </c>
      <c r="AG41" s="89" t="s">
        <v>2113</v>
      </c>
      <c r="AH41" s="89" t="s">
        <v>2114</v>
      </c>
      <c r="AI41" s="89" t="s">
        <v>2115</v>
      </c>
      <c r="AJ41" s="89" t="s">
        <v>2116</v>
      </c>
      <c r="AK41" s="89" t="s">
        <v>2117</v>
      </c>
      <c r="AL41" s="89" t="s">
        <v>2118</v>
      </c>
      <c r="AM41" s="90" t="s">
        <v>2119</v>
      </c>
      <c r="AN41" s="91" t="s">
        <v>2120</v>
      </c>
      <c r="AO41" s="91" t="s">
        <v>1826</v>
      </c>
      <c r="AP41" s="1" t="s">
        <v>2121</v>
      </c>
      <c r="AQ41" s="1" t="s">
        <v>2122</v>
      </c>
      <c r="AR41" s="2"/>
    </row>
    <row r="42" s="1" customFormat="true" ht="14.25" hidden="false" customHeight="false" outlineLevel="0" collapsed="false">
      <c r="A42" s="87"/>
      <c r="C42" s="27"/>
      <c r="E42" s="27"/>
      <c r="F42" s="27"/>
      <c r="G42" s="27"/>
      <c r="H42" s="89"/>
      <c r="I42" s="89"/>
      <c r="J42" s="90"/>
      <c r="K42" s="89"/>
      <c r="L42" s="89"/>
      <c r="M42" s="90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90"/>
      <c r="AE42" s="105"/>
      <c r="AF42" s="89"/>
      <c r="AG42" s="89"/>
      <c r="AH42" s="89"/>
      <c r="AI42" s="89"/>
      <c r="AJ42" s="89"/>
      <c r="AK42" s="89"/>
      <c r="AL42" s="89"/>
      <c r="AM42" s="90"/>
      <c r="AN42" s="91"/>
      <c r="AO42" s="91"/>
      <c r="AR42" s="2"/>
    </row>
    <row r="43" customFormat="false" ht="14.25" hidden="false" customHeight="false" outlineLevel="0" collapsed="false">
      <c r="A43" s="99" t="s">
        <v>2123</v>
      </c>
      <c r="B43" s="1" t="n">
        <v>1</v>
      </c>
      <c r="C43" s="27" t="n">
        <v>2019</v>
      </c>
      <c r="D43" s="1" t="n">
        <v>20</v>
      </c>
      <c r="E43" s="110" t="n">
        <v>80</v>
      </c>
      <c r="F43" s="111" t="s">
        <v>2124</v>
      </c>
      <c r="G43" s="109" t="s">
        <v>2125</v>
      </c>
      <c r="H43" s="89" t="s">
        <v>2126</v>
      </c>
      <c r="I43" s="89" t="s">
        <v>2127</v>
      </c>
      <c r="J43" s="90" t="s">
        <v>84</v>
      </c>
      <c r="K43" s="89" t="s">
        <v>84</v>
      </c>
      <c r="L43" s="89" t="s">
        <v>84</v>
      </c>
      <c r="M43" s="90" t="s">
        <v>84</v>
      </c>
      <c r="N43" s="89" t="s">
        <v>84</v>
      </c>
      <c r="O43" s="89" t="s">
        <v>84</v>
      </c>
      <c r="P43" s="89" t="s">
        <v>84</v>
      </c>
      <c r="Q43" s="89" t="s">
        <v>84</v>
      </c>
      <c r="R43" s="89" t="s">
        <v>84</v>
      </c>
      <c r="S43" s="89" t="s">
        <v>84</v>
      </c>
      <c r="T43" s="89" t="s">
        <v>84</v>
      </c>
      <c r="U43" s="89" t="s">
        <v>84</v>
      </c>
      <c r="V43" s="89" t="s">
        <v>84</v>
      </c>
      <c r="X43" s="89" t="s">
        <v>84</v>
      </c>
      <c r="Y43" s="89" t="s">
        <v>84</v>
      </c>
      <c r="Z43" s="89" t="s">
        <v>2128</v>
      </c>
      <c r="AA43" s="89" t="s">
        <v>84</v>
      </c>
      <c r="AD43" s="90" t="s">
        <v>84</v>
      </c>
      <c r="AE43" s="89" t="s">
        <v>2129</v>
      </c>
      <c r="AF43" s="89" t="s">
        <v>2130</v>
      </c>
      <c r="AG43" s="89" t="s">
        <v>2131</v>
      </c>
      <c r="AH43" s="89" t="s">
        <v>2132</v>
      </c>
      <c r="AI43" s="89" t="s">
        <v>2133</v>
      </c>
      <c r="AJ43" s="89" t="s">
        <v>2134</v>
      </c>
      <c r="AK43" s="89" t="s">
        <v>2135</v>
      </c>
      <c r="AL43" s="89" t="s">
        <v>2136</v>
      </c>
      <c r="AM43" s="90" t="s">
        <v>2137</v>
      </c>
      <c r="AN43" s="91" t="s">
        <v>2120</v>
      </c>
      <c r="AO43" s="91" t="s">
        <v>1826</v>
      </c>
      <c r="AP43" s="1" t="s">
        <v>2138</v>
      </c>
      <c r="AQ43" s="9" t="s">
        <v>2139</v>
      </c>
      <c r="AR43" s="2"/>
    </row>
    <row r="44" s="1" customFormat="true" ht="14.25" hidden="false" customHeight="false" outlineLevel="0" collapsed="false">
      <c r="A44" s="87"/>
      <c r="C44" s="27"/>
      <c r="E44" s="27"/>
      <c r="F44" s="27"/>
      <c r="G44" s="27"/>
      <c r="H44" s="89"/>
      <c r="I44" s="89"/>
      <c r="J44" s="90"/>
      <c r="K44" s="89"/>
      <c r="L44" s="89"/>
      <c r="M44" s="90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90"/>
      <c r="AE44" s="89"/>
      <c r="AF44" s="89"/>
      <c r="AG44" s="89"/>
      <c r="AH44" s="89"/>
      <c r="AI44" s="89"/>
      <c r="AJ44" s="89"/>
      <c r="AK44" s="89"/>
      <c r="AL44" s="89"/>
      <c r="AM44" s="90"/>
      <c r="AN44" s="91"/>
      <c r="AO44" s="91"/>
      <c r="AQ44" s="9"/>
      <c r="AR44" s="2"/>
    </row>
    <row r="45" customFormat="false" ht="14.25" hidden="false" customHeight="false" outlineLevel="0" collapsed="false">
      <c r="A45" s="99" t="s">
        <v>2140</v>
      </c>
      <c r="B45" s="1" t="n">
        <v>1</v>
      </c>
      <c r="C45" s="27" t="n">
        <v>2023</v>
      </c>
      <c r="D45" s="1" t="n">
        <v>10</v>
      </c>
      <c r="E45" s="100" t="n">
        <v>120</v>
      </c>
      <c r="F45" s="111" t="s">
        <v>2141</v>
      </c>
      <c r="G45" s="109" t="s">
        <v>2142</v>
      </c>
      <c r="H45" s="89" t="s">
        <v>2143</v>
      </c>
      <c r="I45" s="89" t="s">
        <v>2144</v>
      </c>
      <c r="J45" s="90" t="s">
        <v>84</v>
      </c>
      <c r="K45" s="89" t="s">
        <v>84</v>
      </c>
      <c r="L45" s="89" t="s">
        <v>84</v>
      </c>
      <c r="M45" s="90" t="s">
        <v>84</v>
      </c>
      <c r="N45" s="89" t="s">
        <v>84</v>
      </c>
      <c r="O45" s="89" t="s">
        <v>84</v>
      </c>
      <c r="P45" s="89" t="s">
        <v>84</v>
      </c>
      <c r="Q45" s="89" t="s">
        <v>84</v>
      </c>
      <c r="R45" s="89" t="s">
        <v>84</v>
      </c>
      <c r="S45" s="89" t="s">
        <v>84</v>
      </c>
      <c r="T45" s="89" t="s">
        <v>84</v>
      </c>
      <c r="U45" s="89" t="s">
        <v>84</v>
      </c>
      <c r="V45" s="89" t="s">
        <v>84</v>
      </c>
      <c r="X45" s="89" t="s">
        <v>84</v>
      </c>
      <c r="Y45" s="89" t="s">
        <v>84</v>
      </c>
      <c r="Z45" s="89" t="s">
        <v>84</v>
      </c>
      <c r="AA45" s="89" t="s">
        <v>84</v>
      </c>
      <c r="AD45" s="90" t="s">
        <v>84</v>
      </c>
      <c r="AE45" s="89" t="s">
        <v>2145</v>
      </c>
      <c r="AF45" s="89" t="s">
        <v>2146</v>
      </c>
      <c r="AG45" s="89" t="s">
        <v>2147</v>
      </c>
      <c r="AH45" s="89" t="s">
        <v>2148</v>
      </c>
      <c r="AI45" s="89" t="s">
        <v>2149</v>
      </c>
      <c r="AJ45" s="89" t="s">
        <v>2150</v>
      </c>
      <c r="AK45" s="89" t="s">
        <v>2151</v>
      </c>
      <c r="AL45" s="89" t="s">
        <v>2152</v>
      </c>
      <c r="AM45" s="90" t="s">
        <v>2153</v>
      </c>
      <c r="AN45" s="91" t="s">
        <v>2120</v>
      </c>
      <c r="AO45" s="91" t="s">
        <v>1826</v>
      </c>
      <c r="AP45" s="1" t="s">
        <v>2154</v>
      </c>
      <c r="AQ45" s="9" t="s">
        <v>2155</v>
      </c>
      <c r="AR45" s="21"/>
    </row>
    <row r="46" s="1" customFormat="true" ht="14.25" hidden="false" customHeight="false" outlineLevel="0" collapsed="false">
      <c r="A46" s="87"/>
      <c r="C46" s="27"/>
      <c r="E46" s="27"/>
      <c r="F46" s="27"/>
      <c r="G46" s="27"/>
      <c r="H46" s="89"/>
      <c r="I46" s="89"/>
      <c r="J46" s="90"/>
      <c r="K46" s="89"/>
      <c r="L46" s="89"/>
      <c r="M46" s="90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90"/>
      <c r="AE46" s="89"/>
      <c r="AF46" s="89"/>
      <c r="AG46" s="89"/>
      <c r="AH46" s="89"/>
      <c r="AI46" s="89"/>
      <c r="AJ46" s="89"/>
      <c r="AK46" s="89"/>
      <c r="AL46" s="89"/>
      <c r="AM46" s="90"/>
      <c r="AN46" s="91"/>
      <c r="AO46" s="91"/>
      <c r="AQ46" s="9"/>
      <c r="AR46" s="21"/>
    </row>
    <row r="47" customFormat="false" ht="14.25" hidden="false" customHeight="false" outlineLevel="0" collapsed="false">
      <c r="A47" s="99" t="s">
        <v>2156</v>
      </c>
      <c r="B47" s="1" t="n">
        <v>1</v>
      </c>
      <c r="C47" s="27" t="s">
        <v>366</v>
      </c>
      <c r="D47" s="1" t="n">
        <v>28</v>
      </c>
      <c r="E47" s="109" t="n">
        <v>1906</v>
      </c>
      <c r="F47" s="109" t="s">
        <v>114</v>
      </c>
      <c r="G47" s="89" t="s">
        <v>370</v>
      </c>
      <c r="H47" s="109" t="s">
        <v>84</v>
      </c>
      <c r="I47" s="89" t="s">
        <v>2157</v>
      </c>
      <c r="J47" s="90" t="s">
        <v>84</v>
      </c>
      <c r="K47" s="89" t="s">
        <v>84</v>
      </c>
      <c r="L47" s="89" t="s">
        <v>84</v>
      </c>
      <c r="M47" s="90" t="s">
        <v>84</v>
      </c>
      <c r="N47" s="89" t="s">
        <v>84</v>
      </c>
      <c r="O47" s="89" t="s">
        <v>84</v>
      </c>
      <c r="P47" s="89" t="s">
        <v>84</v>
      </c>
      <c r="Q47" s="89" t="s">
        <v>84</v>
      </c>
      <c r="R47" s="89" t="s">
        <v>84</v>
      </c>
      <c r="S47" s="89" t="s">
        <v>84</v>
      </c>
      <c r="T47" s="89" t="s">
        <v>84</v>
      </c>
      <c r="U47" s="89" t="s">
        <v>84</v>
      </c>
      <c r="V47" s="89" t="s">
        <v>84</v>
      </c>
      <c r="X47" s="89" t="s">
        <v>84</v>
      </c>
      <c r="Y47" s="89" t="s">
        <v>84</v>
      </c>
      <c r="Z47" s="89" t="s">
        <v>84</v>
      </c>
      <c r="AA47" s="89" t="s">
        <v>84</v>
      </c>
      <c r="AD47" s="90" t="s">
        <v>84</v>
      </c>
      <c r="AE47" s="89" t="s">
        <v>2158</v>
      </c>
      <c r="AF47" s="89" t="s">
        <v>2159</v>
      </c>
      <c r="AG47" s="89" t="s">
        <v>2160</v>
      </c>
      <c r="AH47" s="89" t="s">
        <v>2161</v>
      </c>
      <c r="AI47" s="105" t="s">
        <v>2162</v>
      </c>
      <c r="AJ47" s="105" t="s">
        <v>2163</v>
      </c>
      <c r="AK47" s="89" t="s">
        <v>2164</v>
      </c>
      <c r="AL47" s="89" t="s">
        <v>2165</v>
      </c>
      <c r="AM47" s="90" t="s">
        <v>2166</v>
      </c>
      <c r="AN47" s="4" t="s">
        <v>2167</v>
      </c>
      <c r="AO47" s="91" t="s">
        <v>1776</v>
      </c>
      <c r="AP47" s="1" t="s">
        <v>2168</v>
      </c>
      <c r="AQ47" s="78" t="s">
        <v>2169</v>
      </c>
      <c r="AR47" s="9"/>
      <c r="AS47" s="35"/>
    </row>
    <row r="48" s="1" customFormat="true" ht="14.25" hidden="false" customHeight="false" outlineLevel="0" collapsed="false">
      <c r="A48" s="87"/>
      <c r="C48" s="27"/>
      <c r="E48" s="27"/>
      <c r="F48" s="27"/>
      <c r="G48" s="27"/>
      <c r="H48" s="89"/>
      <c r="I48" s="89"/>
      <c r="J48" s="90"/>
      <c r="K48" s="89"/>
      <c r="L48" s="89"/>
      <c r="M48" s="90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90"/>
      <c r="AE48" s="89"/>
      <c r="AF48" s="89"/>
      <c r="AG48" s="89"/>
      <c r="AH48" s="89"/>
      <c r="AI48" s="105"/>
      <c r="AJ48" s="105"/>
      <c r="AK48" s="89"/>
      <c r="AL48" s="89"/>
      <c r="AM48" s="90"/>
      <c r="AN48" s="4"/>
      <c r="AO48" s="91"/>
      <c r="AQ48" s="112"/>
      <c r="AR48" s="9"/>
      <c r="AS48" s="35"/>
    </row>
    <row r="49" customFormat="false" ht="14.25" hidden="false" customHeight="false" outlineLevel="0" collapsed="false">
      <c r="A49" s="99" t="s">
        <v>2170</v>
      </c>
      <c r="B49" s="1" t="n">
        <v>1</v>
      </c>
      <c r="C49" s="27" t="s">
        <v>401</v>
      </c>
      <c r="D49" s="1" t="n">
        <v>318</v>
      </c>
      <c r="E49" s="27" t="n">
        <v>591</v>
      </c>
      <c r="F49" s="27" t="s">
        <v>84</v>
      </c>
      <c r="G49" s="27" t="s">
        <v>405</v>
      </c>
      <c r="H49" s="89" t="s">
        <v>2171</v>
      </c>
      <c r="I49" s="89" t="s">
        <v>2172</v>
      </c>
      <c r="J49" s="90" t="s">
        <v>2173</v>
      </c>
      <c r="K49" s="89" t="s">
        <v>2174</v>
      </c>
      <c r="L49" s="89" t="s">
        <v>84</v>
      </c>
      <c r="M49" s="90" t="s">
        <v>84</v>
      </c>
      <c r="N49" s="89" t="s">
        <v>2175</v>
      </c>
      <c r="O49" s="89" t="s">
        <v>2176</v>
      </c>
      <c r="P49" s="89" t="s">
        <v>2177</v>
      </c>
      <c r="Q49" s="89" t="s">
        <v>2178</v>
      </c>
      <c r="R49" s="89" t="s">
        <v>84</v>
      </c>
      <c r="S49" s="89" t="s">
        <v>84</v>
      </c>
      <c r="T49" s="89" t="s">
        <v>84</v>
      </c>
      <c r="U49" s="89" t="s">
        <v>84</v>
      </c>
      <c r="V49" s="89" t="s">
        <v>84</v>
      </c>
      <c r="X49" s="89" t="s">
        <v>84</v>
      </c>
      <c r="Y49" s="89" t="s">
        <v>84</v>
      </c>
      <c r="Z49" s="89" t="s">
        <v>84</v>
      </c>
      <c r="AA49" s="89" t="s">
        <v>84</v>
      </c>
      <c r="AD49" s="90" t="s">
        <v>84</v>
      </c>
      <c r="AE49" s="89" t="s">
        <v>84</v>
      </c>
      <c r="AF49" s="89" t="s">
        <v>84</v>
      </c>
      <c r="AG49" s="89" t="s">
        <v>84</v>
      </c>
      <c r="AH49" s="89" t="s">
        <v>84</v>
      </c>
      <c r="AI49" s="89" t="s">
        <v>84</v>
      </c>
      <c r="AJ49" s="89" t="s">
        <v>84</v>
      </c>
      <c r="AK49" s="89" t="s">
        <v>84</v>
      </c>
      <c r="AL49" s="89" t="s">
        <v>84</v>
      </c>
      <c r="AM49" s="90" t="s">
        <v>84</v>
      </c>
      <c r="AN49" s="91" t="s">
        <v>2179</v>
      </c>
      <c r="AO49" s="91" t="s">
        <v>1776</v>
      </c>
      <c r="AP49" s="1" t="s">
        <v>2180</v>
      </c>
      <c r="AQ49" s="78" t="s">
        <v>2181</v>
      </c>
      <c r="AR49" s="9"/>
      <c r="AS49" s="35"/>
    </row>
    <row r="50" s="1" customFormat="true" ht="14.25" hidden="false" customHeight="false" outlineLevel="0" collapsed="false">
      <c r="A50" s="87" t="s">
        <v>1779</v>
      </c>
      <c r="B50" s="1" t="n">
        <v>2</v>
      </c>
      <c r="C50" s="27"/>
      <c r="E50" s="27"/>
      <c r="F50" s="27"/>
      <c r="G50" s="27"/>
      <c r="H50" s="89"/>
      <c r="I50" s="89"/>
      <c r="J50" s="90"/>
      <c r="K50" s="89"/>
      <c r="L50" s="89"/>
      <c r="M50" s="90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90"/>
      <c r="AE50" s="89"/>
      <c r="AF50" s="89"/>
      <c r="AG50" s="89"/>
      <c r="AH50" s="89"/>
      <c r="AI50" s="89"/>
      <c r="AJ50" s="89"/>
      <c r="AK50" s="89"/>
      <c r="AL50" s="89"/>
      <c r="AM50" s="90"/>
      <c r="AN50" s="91"/>
      <c r="AO50" s="91"/>
      <c r="AQ50" s="112"/>
      <c r="AR50" s="9"/>
      <c r="AS50" s="35"/>
    </row>
    <row r="51" s="1" customFormat="true" ht="14.25" hidden="false" customHeight="false" outlineLevel="0" collapsed="false">
      <c r="A51" s="87" t="s">
        <v>1883</v>
      </c>
      <c r="B51" s="1" t="n">
        <v>2</v>
      </c>
      <c r="C51" s="27"/>
      <c r="E51" s="27"/>
      <c r="F51" s="27"/>
      <c r="G51" s="27"/>
      <c r="H51" s="89"/>
      <c r="I51" s="89"/>
      <c r="J51" s="90"/>
      <c r="K51" s="89"/>
      <c r="L51" s="89"/>
      <c r="M51" s="90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90"/>
      <c r="AE51" s="89"/>
      <c r="AF51" s="89"/>
      <c r="AG51" s="89"/>
      <c r="AH51" s="89"/>
      <c r="AI51" s="89"/>
      <c r="AJ51" s="89"/>
      <c r="AK51" s="89"/>
      <c r="AL51" s="89"/>
      <c r="AM51" s="90"/>
      <c r="AN51" s="91"/>
      <c r="AO51" s="91"/>
      <c r="AQ51" s="112"/>
      <c r="AR51" s="9"/>
      <c r="AS51" s="35"/>
    </row>
    <row r="52" s="1" customFormat="true" ht="14.25" hidden="false" customHeight="false" outlineLevel="0" collapsed="false">
      <c r="A52" s="87"/>
      <c r="C52" s="27"/>
      <c r="E52" s="27"/>
      <c r="F52" s="27"/>
      <c r="G52" s="27"/>
      <c r="H52" s="89"/>
      <c r="I52" s="89"/>
      <c r="J52" s="90"/>
      <c r="K52" s="89"/>
      <c r="L52" s="89"/>
      <c r="M52" s="90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90"/>
      <c r="AE52" s="89"/>
      <c r="AF52" s="89"/>
      <c r="AG52" s="89"/>
      <c r="AH52" s="89"/>
      <c r="AI52" s="89"/>
      <c r="AJ52" s="89"/>
      <c r="AK52" s="89"/>
      <c r="AL52" s="89"/>
      <c r="AM52" s="90"/>
      <c r="AN52" s="91"/>
      <c r="AO52" s="91"/>
      <c r="AQ52" s="112"/>
      <c r="AR52" s="9"/>
      <c r="AS52" s="35"/>
    </row>
    <row r="53" s="1" customFormat="true" ht="14.25" hidden="false" customHeight="false" outlineLevel="0" collapsed="false">
      <c r="A53" s="87" t="s">
        <v>2182</v>
      </c>
      <c r="B53" s="1" t="n">
        <v>1</v>
      </c>
      <c r="C53" s="27"/>
      <c r="E53" s="27"/>
      <c r="F53" s="27"/>
      <c r="G53" s="27"/>
      <c r="H53" s="89"/>
      <c r="I53" s="89"/>
      <c r="J53" s="90"/>
      <c r="K53" s="89"/>
      <c r="L53" s="89"/>
      <c r="M53" s="90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90"/>
      <c r="AE53" s="89"/>
      <c r="AF53" s="89"/>
      <c r="AG53" s="89"/>
      <c r="AH53" s="89"/>
      <c r="AI53" s="89"/>
      <c r="AJ53" s="89"/>
      <c r="AK53" s="89"/>
      <c r="AL53" s="89"/>
      <c r="AM53" s="90"/>
      <c r="AN53" s="91"/>
      <c r="AO53" s="91"/>
      <c r="AQ53" s="112"/>
      <c r="AR53" s="9"/>
      <c r="AS53" s="35"/>
    </row>
    <row r="54" s="1" customFormat="true" ht="14.25" hidden="false" customHeight="false" outlineLevel="0" collapsed="false">
      <c r="A54" s="87"/>
      <c r="C54" s="27"/>
      <c r="E54" s="27"/>
      <c r="F54" s="27"/>
      <c r="G54" s="27"/>
      <c r="H54" s="89"/>
      <c r="I54" s="89"/>
      <c r="J54" s="90"/>
      <c r="K54" s="89"/>
      <c r="L54" s="89"/>
      <c r="M54" s="90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90"/>
      <c r="AE54" s="89"/>
      <c r="AF54" s="89"/>
      <c r="AG54" s="89"/>
      <c r="AH54" s="89"/>
      <c r="AI54" s="89"/>
      <c r="AJ54" s="89"/>
      <c r="AK54" s="89"/>
      <c r="AL54" s="89"/>
      <c r="AM54" s="90"/>
      <c r="AN54" s="91"/>
      <c r="AO54" s="91"/>
      <c r="AQ54" s="112"/>
      <c r="AR54" s="9"/>
      <c r="AS54" s="35"/>
    </row>
    <row r="55" customFormat="false" ht="14.25" hidden="false" customHeight="false" outlineLevel="0" collapsed="false">
      <c r="A55" s="99" t="s">
        <v>2183</v>
      </c>
      <c r="B55" s="1" t="n">
        <v>1</v>
      </c>
      <c r="C55" s="27" t="n">
        <v>2018</v>
      </c>
      <c r="D55" s="1" t="n">
        <v>151</v>
      </c>
      <c r="E55" s="100" t="n">
        <v>151</v>
      </c>
      <c r="F55" s="27" t="s">
        <v>67</v>
      </c>
      <c r="G55" s="27" t="s">
        <v>84</v>
      </c>
      <c r="H55" s="89" t="s">
        <v>2184</v>
      </c>
      <c r="I55" s="89" t="s">
        <v>2185</v>
      </c>
      <c r="J55" s="90" t="s">
        <v>84</v>
      </c>
      <c r="K55" s="89" t="s">
        <v>2186</v>
      </c>
      <c r="L55" s="89" t="s">
        <v>2187</v>
      </c>
      <c r="M55" s="90" t="s">
        <v>84</v>
      </c>
      <c r="N55" s="89" t="s">
        <v>84</v>
      </c>
      <c r="O55" s="89" t="s">
        <v>84</v>
      </c>
      <c r="P55" s="89" t="s">
        <v>84</v>
      </c>
      <c r="Q55" s="89" t="s">
        <v>84</v>
      </c>
      <c r="R55" s="89" t="s">
        <v>84</v>
      </c>
      <c r="S55" s="89" t="s">
        <v>84</v>
      </c>
      <c r="T55" s="89" t="s">
        <v>84</v>
      </c>
      <c r="U55" s="89" t="s">
        <v>84</v>
      </c>
      <c r="V55" s="89" t="s">
        <v>84</v>
      </c>
      <c r="X55" s="89" t="s">
        <v>84</v>
      </c>
      <c r="Y55" s="89" t="s">
        <v>84</v>
      </c>
      <c r="Z55" s="89" t="s">
        <v>84</v>
      </c>
      <c r="AA55" s="89" t="s">
        <v>84</v>
      </c>
      <c r="AD55" s="90" t="s">
        <v>84</v>
      </c>
      <c r="AE55" s="101" t="s">
        <v>2188</v>
      </c>
      <c r="AF55" s="101" t="s">
        <v>2189</v>
      </c>
      <c r="AG55" s="101" t="s">
        <v>2190</v>
      </c>
      <c r="AH55" s="89" t="s">
        <v>2191</v>
      </c>
      <c r="AI55" s="89" t="s">
        <v>2192</v>
      </c>
      <c r="AJ55" s="89" t="s">
        <v>2193</v>
      </c>
      <c r="AK55" s="89" t="s">
        <v>2194</v>
      </c>
      <c r="AL55" s="89" t="s">
        <v>2195</v>
      </c>
      <c r="AM55" s="90" t="s">
        <v>2196</v>
      </c>
      <c r="AN55" s="4" t="s">
        <v>2197</v>
      </c>
      <c r="AO55" s="91" t="s">
        <v>1826</v>
      </c>
      <c r="AP55" s="1" t="s">
        <v>2198</v>
      </c>
      <c r="AQ55" s="1" t="s">
        <v>2199</v>
      </c>
      <c r="AR55" s="9"/>
      <c r="AS55" s="14"/>
    </row>
    <row r="56" customFormat="false" ht="14.25" hidden="false" customHeight="false" outlineLevel="0" collapsed="false">
      <c r="A56" s="87"/>
      <c r="D56" s="1"/>
      <c r="AE56" s="105"/>
      <c r="AF56" s="105"/>
      <c r="AG56" s="105"/>
      <c r="AN56" s="4"/>
      <c r="AR56" s="9"/>
      <c r="AS56" s="14"/>
    </row>
    <row r="57" customFormat="false" ht="14.25" hidden="false" customHeight="false" outlineLevel="0" collapsed="false">
      <c r="A57" s="113" t="s">
        <v>2200</v>
      </c>
      <c r="B57" s="1" t="n">
        <v>1</v>
      </c>
      <c r="C57" s="27" t="s">
        <v>468</v>
      </c>
      <c r="D57" s="1" t="n">
        <v>197</v>
      </c>
      <c r="E57" s="100" t="n">
        <v>411</v>
      </c>
      <c r="F57" s="27" t="s">
        <v>1869</v>
      </c>
      <c r="G57" s="27" t="s">
        <v>84</v>
      </c>
      <c r="H57" s="89" t="s">
        <v>2201</v>
      </c>
      <c r="I57" s="89" t="s">
        <v>2202</v>
      </c>
      <c r="J57" s="90" t="s">
        <v>2203</v>
      </c>
      <c r="K57" s="89" t="s">
        <v>2204</v>
      </c>
      <c r="L57" s="89" t="s">
        <v>84</v>
      </c>
      <c r="M57" s="90" t="s">
        <v>84</v>
      </c>
      <c r="N57" s="89" t="s">
        <v>2205</v>
      </c>
      <c r="O57" s="89" t="s">
        <v>84</v>
      </c>
      <c r="P57" s="89" t="s">
        <v>2206</v>
      </c>
      <c r="Q57" s="89" t="s">
        <v>2207</v>
      </c>
      <c r="R57" s="89" t="s">
        <v>84</v>
      </c>
      <c r="S57" s="89" t="s">
        <v>84</v>
      </c>
      <c r="T57" s="89" t="s">
        <v>84</v>
      </c>
      <c r="U57" s="89" t="s">
        <v>2208</v>
      </c>
      <c r="V57" s="89" t="s">
        <v>84</v>
      </c>
      <c r="X57" s="89" t="s">
        <v>84</v>
      </c>
      <c r="Y57" s="89" t="s">
        <v>84</v>
      </c>
      <c r="Z57" s="89" t="s">
        <v>84</v>
      </c>
      <c r="AA57" s="89" t="s">
        <v>2209</v>
      </c>
      <c r="AD57" s="90" t="s">
        <v>84</v>
      </c>
      <c r="AE57" s="89" t="s">
        <v>2210</v>
      </c>
      <c r="AF57" s="101" t="s">
        <v>2211</v>
      </c>
      <c r="AG57" s="89" t="s">
        <v>2212</v>
      </c>
      <c r="AH57" s="89" t="s">
        <v>2213</v>
      </c>
      <c r="AI57" s="89" t="s">
        <v>2214</v>
      </c>
      <c r="AJ57" s="101" t="s">
        <v>2215</v>
      </c>
      <c r="AK57" s="89" t="s">
        <v>2216</v>
      </c>
      <c r="AL57" s="89" t="s">
        <v>2217</v>
      </c>
      <c r="AM57" s="101" t="s">
        <v>2218</v>
      </c>
      <c r="AN57" s="91" t="s">
        <v>2219</v>
      </c>
      <c r="AO57" s="91" t="s">
        <v>1776</v>
      </c>
      <c r="AP57" s="1" t="s">
        <v>2220</v>
      </c>
      <c r="AQ57" s="1" t="s">
        <v>2221</v>
      </c>
      <c r="AR57" s="9"/>
      <c r="AS57" s="35"/>
    </row>
    <row r="58" customFormat="false" ht="14.25" hidden="false" customHeight="false" outlineLevel="0" collapsed="false">
      <c r="A58" s="87" t="s">
        <v>2222</v>
      </c>
      <c r="B58" s="1" t="n">
        <v>2</v>
      </c>
      <c r="D58" s="1"/>
      <c r="AR58" s="9"/>
      <c r="AS58" s="35"/>
    </row>
    <row r="59" customFormat="false" ht="14.25" hidden="false" customHeight="false" outlineLevel="0" collapsed="false">
      <c r="A59" s="87" t="s">
        <v>2223</v>
      </c>
      <c r="B59" s="1" t="n">
        <v>2</v>
      </c>
      <c r="D59" s="1"/>
      <c r="AR59" s="9"/>
      <c r="AS59" s="35"/>
    </row>
    <row r="60" customFormat="false" ht="14.25" hidden="false" customHeight="false" outlineLevel="0" collapsed="false">
      <c r="A60" s="87"/>
      <c r="D60" s="1"/>
      <c r="AR60" s="9"/>
      <c r="AS60" s="35"/>
    </row>
    <row r="61" customFormat="false" ht="16.25" hidden="false" customHeight="false" outlineLevel="0" collapsed="false">
      <c r="A61" s="99" t="s">
        <v>481</v>
      </c>
      <c r="B61" s="1" t="n">
        <v>1</v>
      </c>
      <c r="C61" s="27" t="s">
        <v>482</v>
      </c>
      <c r="D61" s="1" t="n">
        <v>118</v>
      </c>
      <c r="E61" s="101" t="s">
        <v>2224</v>
      </c>
      <c r="F61" s="27" t="s">
        <v>67</v>
      </c>
      <c r="G61" s="27" t="s">
        <v>2225</v>
      </c>
      <c r="H61" s="89" t="s">
        <v>2226</v>
      </c>
      <c r="I61" s="114" t="n">
        <v>40.7</v>
      </c>
      <c r="J61" s="115" t="s">
        <v>2227</v>
      </c>
      <c r="K61" s="27" t="s">
        <v>2228</v>
      </c>
      <c r="L61" s="27" t="s">
        <v>2229</v>
      </c>
      <c r="M61" s="115" t="s">
        <v>2230</v>
      </c>
      <c r="N61" s="27" t="s">
        <v>84</v>
      </c>
      <c r="O61" s="27" t="s">
        <v>84</v>
      </c>
      <c r="P61" s="27" t="s">
        <v>84</v>
      </c>
      <c r="Q61" s="27" t="s">
        <v>84</v>
      </c>
      <c r="R61" s="27" t="s">
        <v>84</v>
      </c>
      <c r="S61" s="27" t="s">
        <v>84</v>
      </c>
      <c r="T61" s="27" t="s">
        <v>84</v>
      </c>
      <c r="U61" s="27" t="s">
        <v>84</v>
      </c>
      <c r="V61" s="27" t="s">
        <v>84</v>
      </c>
      <c r="W61" s="27"/>
      <c r="X61" s="27" t="s">
        <v>84</v>
      </c>
      <c r="Y61" s="27" t="s">
        <v>84</v>
      </c>
      <c r="Z61" s="27" t="s">
        <v>84</v>
      </c>
      <c r="AA61" s="27" t="s">
        <v>84</v>
      </c>
      <c r="AB61" s="27"/>
      <c r="AC61" s="27"/>
      <c r="AD61" s="115" t="s">
        <v>84</v>
      </c>
      <c r="AE61" s="101" t="s">
        <v>2231</v>
      </c>
      <c r="AF61" s="101" t="s">
        <v>2232</v>
      </c>
      <c r="AG61" s="27" t="s">
        <v>2233</v>
      </c>
      <c r="AH61" s="27" t="s">
        <v>2234</v>
      </c>
      <c r="AI61" s="27" t="s">
        <v>2235</v>
      </c>
      <c r="AJ61" s="27" t="s">
        <v>2236</v>
      </c>
      <c r="AK61" s="27" t="s">
        <v>2237</v>
      </c>
      <c r="AL61" s="27" t="s">
        <v>2238</v>
      </c>
      <c r="AM61" s="115" t="s">
        <v>2239</v>
      </c>
      <c r="AN61" s="107" t="s">
        <v>2240</v>
      </c>
      <c r="AO61" s="107" t="s">
        <v>1826</v>
      </c>
      <c r="AP61" s="1" t="s">
        <v>2241</v>
      </c>
      <c r="AQ61" s="1" t="s">
        <v>2242</v>
      </c>
      <c r="AR61" s="9"/>
      <c r="AS61" s="35"/>
    </row>
    <row r="62" customFormat="false" ht="14.25" hidden="false" customHeight="false" outlineLevel="0" collapsed="false">
      <c r="A62" s="99" t="s">
        <v>1686</v>
      </c>
      <c r="B62" s="1" t="n">
        <v>2</v>
      </c>
      <c r="D62" s="1" t="n">
        <v>100</v>
      </c>
      <c r="E62" s="105" t="s">
        <v>2243</v>
      </c>
      <c r="F62" s="27" t="s">
        <v>67</v>
      </c>
      <c r="G62" s="27" t="s">
        <v>2225</v>
      </c>
      <c r="H62" s="105" t="s">
        <v>2244</v>
      </c>
      <c r="I62" s="116" t="n">
        <v>45</v>
      </c>
      <c r="J62" s="115" t="s">
        <v>2245</v>
      </c>
      <c r="K62" s="27" t="s">
        <v>2246</v>
      </c>
      <c r="L62" s="27" t="s">
        <v>2247</v>
      </c>
      <c r="M62" s="115" t="s">
        <v>2248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115"/>
      <c r="AE62" s="27" t="s">
        <v>2249</v>
      </c>
      <c r="AF62" s="89" t="s">
        <v>2250</v>
      </c>
      <c r="AG62" s="27" t="s">
        <v>2251</v>
      </c>
      <c r="AH62" s="27" t="s">
        <v>2252</v>
      </c>
      <c r="AI62" s="27" t="s">
        <v>2253</v>
      </c>
      <c r="AJ62" s="101" t="s">
        <v>2254</v>
      </c>
      <c r="AK62" s="101" t="s">
        <v>2255</v>
      </c>
      <c r="AL62" s="101" t="s">
        <v>2256</v>
      </c>
      <c r="AM62" s="101" t="s">
        <v>2257</v>
      </c>
      <c r="AN62" s="107" t="s">
        <v>2258</v>
      </c>
      <c r="AO62" s="107"/>
      <c r="AR62" s="9"/>
      <c r="AS62" s="35"/>
    </row>
    <row r="63" customFormat="false" ht="14.25" hidden="false" customHeight="false" outlineLevel="0" collapsed="false">
      <c r="A63" s="99" t="s">
        <v>1687</v>
      </c>
      <c r="B63" s="1" t="n">
        <v>2</v>
      </c>
      <c r="D63" s="1" t="n">
        <v>8</v>
      </c>
      <c r="E63" s="105" t="s">
        <v>2259</v>
      </c>
      <c r="F63" s="27" t="s">
        <v>67</v>
      </c>
      <c r="G63" s="27" t="s">
        <v>2260</v>
      </c>
      <c r="H63" s="105" t="s">
        <v>2261</v>
      </c>
      <c r="I63" s="117" t="n">
        <v>25</v>
      </c>
      <c r="J63" s="115" t="s">
        <v>2262</v>
      </c>
      <c r="K63" s="27" t="s">
        <v>2263</v>
      </c>
      <c r="L63" s="27" t="s">
        <v>2264</v>
      </c>
      <c r="M63" s="115" t="s">
        <v>2265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115"/>
      <c r="AE63" s="27" t="s">
        <v>2266</v>
      </c>
      <c r="AF63" s="89" t="s">
        <v>2267</v>
      </c>
      <c r="AG63" s="27" t="s">
        <v>2268</v>
      </c>
      <c r="AH63" s="27" t="s">
        <v>2269</v>
      </c>
      <c r="AI63" s="27" t="s">
        <v>2270</v>
      </c>
      <c r="AJ63" s="101" t="s">
        <v>2271</v>
      </c>
      <c r="AK63" s="101" t="s">
        <v>2272</v>
      </c>
      <c r="AL63" s="101" t="s">
        <v>2273</v>
      </c>
      <c r="AM63" s="101" t="s">
        <v>2274</v>
      </c>
      <c r="AN63" s="107" t="s">
        <v>2275</v>
      </c>
      <c r="AO63" s="107"/>
      <c r="AR63" s="9"/>
      <c r="AS63" s="35"/>
    </row>
    <row r="64" customFormat="false" ht="14.25" hidden="false" customHeight="false" outlineLevel="0" collapsed="false">
      <c r="A64" s="99" t="s">
        <v>1688</v>
      </c>
      <c r="B64" s="1" t="n">
        <v>2</v>
      </c>
      <c r="D64" s="1" t="n">
        <v>10</v>
      </c>
      <c r="E64" s="105" t="s">
        <v>2276</v>
      </c>
      <c r="F64" s="27" t="s">
        <v>67</v>
      </c>
      <c r="G64" s="27" t="s">
        <v>2277</v>
      </c>
      <c r="H64" s="105" t="s">
        <v>2278</v>
      </c>
      <c r="I64" s="117" t="n">
        <v>10</v>
      </c>
      <c r="J64" s="115" t="s">
        <v>2279</v>
      </c>
      <c r="K64" s="27" t="s">
        <v>2280</v>
      </c>
      <c r="L64" s="27" t="s">
        <v>2281</v>
      </c>
      <c r="M64" s="115" t="s">
        <v>2282</v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115"/>
      <c r="AE64" s="27" t="s">
        <v>2283</v>
      </c>
      <c r="AF64" s="89" t="s">
        <v>2284</v>
      </c>
      <c r="AG64" s="27" t="s">
        <v>2285</v>
      </c>
      <c r="AH64" s="27" t="s">
        <v>2286</v>
      </c>
      <c r="AI64" s="27" t="s">
        <v>2287</v>
      </c>
      <c r="AJ64" s="101" t="s">
        <v>2288</v>
      </c>
      <c r="AK64" s="101" t="s">
        <v>2289</v>
      </c>
      <c r="AL64" s="101" t="s">
        <v>2290</v>
      </c>
      <c r="AM64" s="101" t="s">
        <v>2291</v>
      </c>
      <c r="AN64" s="107" t="s">
        <v>87</v>
      </c>
      <c r="AO64" s="107"/>
      <c r="AR64" s="9"/>
      <c r="AS64" s="35"/>
    </row>
    <row r="65" customFormat="false" ht="14.25" hidden="false" customHeight="false" outlineLevel="0" collapsed="false">
      <c r="A65" s="87"/>
      <c r="D65" s="1"/>
      <c r="E65" s="105"/>
      <c r="I65" s="116"/>
      <c r="J65" s="118"/>
      <c r="K65" s="27"/>
      <c r="L65" s="27"/>
      <c r="M65" s="115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115"/>
      <c r="AE65" s="27"/>
      <c r="AG65" s="27"/>
      <c r="AH65" s="27"/>
      <c r="AI65" s="27"/>
      <c r="AJ65" s="27"/>
      <c r="AK65" s="27"/>
      <c r="AL65" s="27"/>
      <c r="AM65" s="115"/>
      <c r="AN65" s="107"/>
      <c r="AO65" s="107"/>
      <c r="AR65" s="9"/>
      <c r="AS65" s="35"/>
    </row>
    <row r="66" customFormat="false" ht="14.25" hidden="false" customHeight="false" outlineLevel="0" collapsed="false">
      <c r="A66" s="99" t="s">
        <v>2292</v>
      </c>
      <c r="B66" s="1" t="n">
        <v>1</v>
      </c>
      <c r="C66" s="27" t="s">
        <v>401</v>
      </c>
      <c r="D66" s="1" t="n">
        <v>2237</v>
      </c>
      <c r="E66" s="27" t="n">
        <v>2237</v>
      </c>
      <c r="F66" s="27" t="s">
        <v>67</v>
      </c>
      <c r="G66" s="27" t="s">
        <v>2293</v>
      </c>
      <c r="H66" s="89" t="s">
        <v>2294</v>
      </c>
      <c r="I66" s="89" t="s">
        <v>2157</v>
      </c>
      <c r="J66" s="90" t="s">
        <v>2295</v>
      </c>
      <c r="K66" s="89" t="s">
        <v>2296</v>
      </c>
      <c r="L66" s="89" t="s">
        <v>2297</v>
      </c>
      <c r="M66" s="90" t="s">
        <v>2298</v>
      </c>
      <c r="N66" s="89" t="s">
        <v>2299</v>
      </c>
      <c r="O66" s="27" t="s">
        <v>84</v>
      </c>
      <c r="P66" s="27" t="s">
        <v>84</v>
      </c>
      <c r="Q66" s="27" t="s">
        <v>84</v>
      </c>
      <c r="R66" s="27" t="s">
        <v>84</v>
      </c>
      <c r="S66" s="73" t="s">
        <v>2300</v>
      </c>
      <c r="T66" s="27" t="s">
        <v>84</v>
      </c>
      <c r="U66" s="27" t="s">
        <v>84</v>
      </c>
      <c r="V66" s="27" t="s">
        <v>84</v>
      </c>
      <c r="W66" s="27"/>
      <c r="X66" s="89" t="s">
        <v>2301</v>
      </c>
      <c r="Y66" s="27" t="s">
        <v>84</v>
      </c>
      <c r="Z66" s="27" t="s">
        <v>84</v>
      </c>
      <c r="AA66" s="27" t="s">
        <v>84</v>
      </c>
      <c r="AB66" s="27"/>
      <c r="AC66" s="27"/>
      <c r="AD66" s="115" t="s">
        <v>84</v>
      </c>
      <c r="AE66" s="89" t="s">
        <v>2302</v>
      </c>
      <c r="AF66" s="89" t="s">
        <v>2303</v>
      </c>
      <c r="AG66" s="89" t="s">
        <v>2304</v>
      </c>
      <c r="AH66" s="89" t="s">
        <v>2305</v>
      </c>
      <c r="AI66" s="89" t="s">
        <v>2306</v>
      </c>
      <c r="AJ66" s="89" t="s">
        <v>2307</v>
      </c>
      <c r="AK66" s="89" t="s">
        <v>2308</v>
      </c>
      <c r="AL66" s="89" t="s">
        <v>2309</v>
      </c>
      <c r="AM66" s="90" t="s">
        <v>2310</v>
      </c>
      <c r="AN66" s="91" t="s">
        <v>2311</v>
      </c>
      <c r="AO66" s="91" t="s">
        <v>1776</v>
      </c>
      <c r="AP66" s="1" t="s">
        <v>2312</v>
      </c>
      <c r="AQ66" s="1" t="s">
        <v>2313</v>
      </c>
    </row>
    <row r="67" customFormat="false" ht="14.25" hidden="false" customHeight="false" outlineLevel="0" collapsed="false">
      <c r="A67" s="87"/>
      <c r="D67" s="1"/>
      <c r="O67" s="27"/>
      <c r="P67" s="27"/>
      <c r="Q67" s="27"/>
      <c r="R67" s="27"/>
      <c r="S67" s="73"/>
      <c r="T67" s="27"/>
      <c r="U67" s="27"/>
      <c r="V67" s="27"/>
      <c r="W67" s="27"/>
      <c r="Y67" s="27"/>
      <c r="Z67" s="27"/>
      <c r="AA67" s="27"/>
      <c r="AB67" s="27"/>
      <c r="AC67" s="27"/>
      <c r="AD67" s="115"/>
    </row>
    <row r="68" customFormat="false" ht="14.25" hidden="false" customHeight="false" outlineLevel="0" collapsed="false">
      <c r="A68" s="87" t="s">
        <v>2314</v>
      </c>
      <c r="B68" s="1" t="n">
        <v>1</v>
      </c>
      <c r="D68" s="1"/>
      <c r="O68" s="27"/>
      <c r="P68" s="27"/>
      <c r="Q68" s="27"/>
      <c r="R68" s="27"/>
      <c r="S68" s="73"/>
      <c r="T68" s="27"/>
      <c r="U68" s="27"/>
      <c r="V68" s="27"/>
      <c r="W68" s="27"/>
      <c r="Y68" s="27"/>
      <c r="Z68" s="27"/>
      <c r="AA68" s="27"/>
      <c r="AB68" s="27"/>
      <c r="AC68" s="27"/>
      <c r="AD68" s="115"/>
    </row>
    <row r="69" customFormat="false" ht="14.25" hidden="false" customHeight="false" outlineLevel="0" collapsed="false">
      <c r="A69" s="87"/>
      <c r="D69" s="1"/>
      <c r="O69" s="27"/>
      <c r="P69" s="27"/>
      <c r="Q69" s="27"/>
      <c r="R69" s="27"/>
      <c r="S69" s="73"/>
      <c r="T69" s="27"/>
      <c r="U69" s="27"/>
      <c r="V69" s="27"/>
      <c r="W69" s="27"/>
      <c r="Y69" s="27"/>
      <c r="Z69" s="27"/>
      <c r="AA69" s="27"/>
      <c r="AB69" s="27"/>
      <c r="AC69" s="27"/>
      <c r="AD69" s="115"/>
    </row>
    <row r="70" customFormat="false" ht="14.25" hidden="false" customHeight="false" outlineLevel="0" collapsed="false">
      <c r="A70" s="99" t="s">
        <v>2315</v>
      </c>
      <c r="B70" s="1" t="n">
        <v>1</v>
      </c>
      <c r="C70" s="27" t="n">
        <v>1999</v>
      </c>
      <c r="D70" s="1" t="n">
        <v>16</v>
      </c>
      <c r="E70" s="27" t="n">
        <v>19</v>
      </c>
      <c r="F70" s="27" t="s">
        <v>114</v>
      </c>
      <c r="G70" s="27" t="s">
        <v>2316</v>
      </c>
      <c r="H70" s="89" t="s">
        <v>2317</v>
      </c>
      <c r="I70" s="89" t="s">
        <v>2318</v>
      </c>
      <c r="J70" s="90" t="s">
        <v>2319</v>
      </c>
      <c r="K70" s="89" t="s">
        <v>2320</v>
      </c>
      <c r="L70" s="89" t="s">
        <v>84</v>
      </c>
      <c r="M70" s="90" t="s">
        <v>84</v>
      </c>
      <c r="N70" s="89" t="s">
        <v>84</v>
      </c>
      <c r="O70" s="89" t="s">
        <v>84</v>
      </c>
      <c r="P70" s="89" t="s">
        <v>84</v>
      </c>
      <c r="Q70" s="89" t="s">
        <v>84</v>
      </c>
      <c r="R70" s="89" t="s">
        <v>84</v>
      </c>
      <c r="S70" s="89" t="s">
        <v>84</v>
      </c>
      <c r="T70" s="89" t="s">
        <v>84</v>
      </c>
      <c r="U70" s="89" t="s">
        <v>84</v>
      </c>
      <c r="V70" s="89" t="s">
        <v>84</v>
      </c>
      <c r="X70" s="89" t="s">
        <v>84</v>
      </c>
      <c r="Y70" s="89" t="s">
        <v>84</v>
      </c>
      <c r="Z70" s="89" t="s">
        <v>84</v>
      </c>
      <c r="AA70" s="89" t="s">
        <v>84</v>
      </c>
      <c r="AD70" s="90" t="s">
        <v>84</v>
      </c>
      <c r="AE70" s="89" t="s">
        <v>2321</v>
      </c>
      <c r="AF70" s="101" t="s">
        <v>2322</v>
      </c>
      <c r="AG70" s="101" t="s">
        <v>2323</v>
      </c>
      <c r="AH70" s="101" t="s">
        <v>2324</v>
      </c>
      <c r="AI70" s="101" t="s">
        <v>2325</v>
      </c>
      <c r="AJ70" s="101" t="s">
        <v>2326</v>
      </c>
      <c r="AK70" s="101" t="s">
        <v>2327</v>
      </c>
      <c r="AL70" s="101" t="s">
        <v>2328</v>
      </c>
      <c r="AM70" s="104" t="s">
        <v>2329</v>
      </c>
      <c r="AN70" s="91" t="s">
        <v>2330</v>
      </c>
      <c r="AO70" s="91" t="s">
        <v>1776</v>
      </c>
      <c r="AP70" s="1" t="s">
        <v>2331</v>
      </c>
      <c r="AQ70" s="1" t="s">
        <v>2332</v>
      </c>
    </row>
    <row r="71" customFormat="false" ht="14.25" hidden="false" customHeight="false" outlineLevel="0" collapsed="false">
      <c r="I71" s="1"/>
    </row>
    <row r="72" customFormat="false" ht="14.25" hidden="false" customHeight="false" outlineLevel="0" collapsed="false">
      <c r="A72" s="1" t="s">
        <v>2333</v>
      </c>
      <c r="B72" s="1" t="n">
        <v>1</v>
      </c>
    </row>
    <row r="74" customFormat="false" ht="14.25" hidden="false" customHeight="false" outlineLevel="0" collapsed="false">
      <c r="A74" s="87" t="s">
        <v>2334</v>
      </c>
      <c r="B74" s="1" t="n">
        <v>1</v>
      </c>
      <c r="C74" s="27" t="s">
        <v>571</v>
      </c>
      <c r="E74" s="100" t="n">
        <v>1438</v>
      </c>
      <c r="F74" s="27" t="s">
        <v>1869</v>
      </c>
      <c r="N74" s="27"/>
      <c r="O74" s="1"/>
      <c r="P74" s="1"/>
      <c r="Q74" s="1"/>
      <c r="AE74" s="89" t="s">
        <v>2335</v>
      </c>
      <c r="AF74" s="89" t="s">
        <v>2336</v>
      </c>
      <c r="AG74" s="89" t="s">
        <v>2337</v>
      </c>
      <c r="AH74" s="89" t="s">
        <v>2338</v>
      </c>
      <c r="AI74" s="89" t="s">
        <v>2339</v>
      </c>
      <c r="AJ74" s="89" t="s">
        <v>2340</v>
      </c>
      <c r="AK74" s="89" t="s">
        <v>2341</v>
      </c>
      <c r="AL74" s="89" t="s">
        <v>2342</v>
      </c>
      <c r="AM74" s="90" t="s">
        <v>2343</v>
      </c>
      <c r="AO74" s="91" t="s">
        <v>1776</v>
      </c>
      <c r="AP74" s="1" t="s">
        <v>2344</v>
      </c>
    </row>
    <row r="75" customFormat="false" ht="14.25" hidden="false" customHeight="false" outlineLevel="0" collapsed="false">
      <c r="A75" s="1" t="s">
        <v>2345</v>
      </c>
      <c r="B75" s="1" t="n">
        <v>2</v>
      </c>
      <c r="C75" s="27" t="n">
        <v>2012</v>
      </c>
      <c r="D75" s="1" t="n">
        <v>199</v>
      </c>
      <c r="E75" s="27" t="n">
        <v>139</v>
      </c>
      <c r="F75" s="27" t="s">
        <v>1869</v>
      </c>
      <c r="G75" s="27" t="s">
        <v>84</v>
      </c>
      <c r="H75" s="89" t="s">
        <v>2346</v>
      </c>
      <c r="I75" s="89" t="s">
        <v>2347</v>
      </c>
      <c r="J75" s="90" t="s">
        <v>2348</v>
      </c>
      <c r="N75" s="27"/>
      <c r="O75" s="1"/>
      <c r="P75" s="1"/>
      <c r="Q75" s="1"/>
      <c r="AE75" s="89" t="s">
        <v>2349</v>
      </c>
      <c r="AF75" s="89" t="s">
        <v>2350</v>
      </c>
      <c r="AG75" s="89" t="s">
        <v>2351</v>
      </c>
      <c r="AH75" s="89" t="s">
        <v>2352</v>
      </c>
      <c r="AI75" s="89" t="s">
        <v>2353</v>
      </c>
      <c r="AJ75" s="89" t="s">
        <v>2354</v>
      </c>
      <c r="AK75" s="89" t="s">
        <v>2355</v>
      </c>
      <c r="AL75" s="89" t="s">
        <v>2356</v>
      </c>
      <c r="AM75" s="90" t="s">
        <v>2357</v>
      </c>
      <c r="AN75" s="1" t="s">
        <v>2358</v>
      </c>
      <c r="AO75" s="91" t="s">
        <v>1776</v>
      </c>
      <c r="AP75" s="1" t="s">
        <v>2359</v>
      </c>
    </row>
    <row r="76" customFormat="false" ht="14.25" hidden="false" customHeight="false" outlineLevel="0" collapsed="false">
      <c r="A76" s="1" t="s">
        <v>576</v>
      </c>
      <c r="B76" s="1" t="n">
        <v>2</v>
      </c>
      <c r="D76" s="1" t="n">
        <v>79</v>
      </c>
      <c r="E76" s="27" t="n">
        <v>83</v>
      </c>
      <c r="F76" s="27" t="s">
        <v>1869</v>
      </c>
      <c r="G76" s="27" t="s">
        <v>84</v>
      </c>
      <c r="H76" s="89" t="s">
        <v>2360</v>
      </c>
      <c r="I76" s="89" t="s">
        <v>2361</v>
      </c>
      <c r="J76" s="90" t="s">
        <v>2360</v>
      </c>
      <c r="N76" s="27"/>
      <c r="O76" s="1"/>
      <c r="P76" s="1"/>
      <c r="Q76" s="1"/>
      <c r="AE76" s="89" t="s">
        <v>2362</v>
      </c>
      <c r="AF76" s="89" t="s">
        <v>2363</v>
      </c>
      <c r="AG76" s="89" t="s">
        <v>2364</v>
      </c>
      <c r="AH76" s="89" t="s">
        <v>2365</v>
      </c>
      <c r="AI76" s="89" t="s">
        <v>2366</v>
      </c>
      <c r="AJ76" s="89" t="s">
        <v>2367</v>
      </c>
      <c r="AK76" s="89" t="s">
        <v>2368</v>
      </c>
      <c r="AL76" s="89" t="s">
        <v>2369</v>
      </c>
      <c r="AM76" s="90" t="s">
        <v>2370</v>
      </c>
      <c r="AN76" s="91" t="s">
        <v>2371</v>
      </c>
      <c r="AO76" s="91" t="s">
        <v>1776</v>
      </c>
      <c r="AP76" s="1" t="s">
        <v>2372</v>
      </c>
    </row>
    <row r="77" customFormat="false" ht="14.25" hidden="false" customHeight="false" outlineLevel="0" collapsed="false">
      <c r="A77" s="1" t="s">
        <v>2373</v>
      </c>
      <c r="B77" s="1" t="n">
        <v>2</v>
      </c>
      <c r="E77" s="27" t="n">
        <v>68</v>
      </c>
      <c r="F77" s="27" t="s">
        <v>84</v>
      </c>
      <c r="G77" s="27" t="s">
        <v>84</v>
      </c>
      <c r="H77" s="89" t="s">
        <v>2374</v>
      </c>
      <c r="I77" s="89" t="s">
        <v>2375</v>
      </c>
      <c r="J77" s="90" t="s">
        <v>2374</v>
      </c>
      <c r="N77" s="27"/>
      <c r="O77" s="1"/>
      <c r="P77" s="1"/>
      <c r="Q77" s="1"/>
      <c r="AE77" s="89" t="s">
        <v>84</v>
      </c>
      <c r="AF77" s="89" t="s">
        <v>84</v>
      </c>
      <c r="AG77" s="89" t="s">
        <v>84</v>
      </c>
      <c r="AH77" s="89" t="s">
        <v>84</v>
      </c>
      <c r="AI77" s="89" t="s">
        <v>84</v>
      </c>
      <c r="AJ77" s="89" t="s">
        <v>84</v>
      </c>
      <c r="AK77" s="89" t="s">
        <v>84</v>
      </c>
      <c r="AL77" s="89" t="s">
        <v>84</v>
      </c>
      <c r="AM77" s="90" t="s">
        <v>84</v>
      </c>
      <c r="AO77" s="91" t="s">
        <v>1776</v>
      </c>
    </row>
    <row r="78" customFormat="false" ht="14.25" hidden="false" customHeight="false" outlineLevel="0" collapsed="false">
      <c r="A78" s="1" t="s">
        <v>2376</v>
      </c>
      <c r="B78" s="1" t="n">
        <v>2</v>
      </c>
      <c r="E78" s="27" t="n">
        <v>148</v>
      </c>
      <c r="F78" s="27" t="s">
        <v>84</v>
      </c>
      <c r="G78" s="27" t="s">
        <v>84</v>
      </c>
      <c r="H78" s="89" t="s">
        <v>2377</v>
      </c>
      <c r="I78" s="89" t="s">
        <v>2378</v>
      </c>
      <c r="J78" s="90" t="s">
        <v>84</v>
      </c>
      <c r="N78" s="27"/>
      <c r="O78" s="1"/>
      <c r="P78" s="1"/>
      <c r="Q78" s="1"/>
      <c r="AE78" s="89" t="s">
        <v>84</v>
      </c>
      <c r="AF78" s="89" t="s">
        <v>84</v>
      </c>
      <c r="AG78" s="89" t="s">
        <v>84</v>
      </c>
      <c r="AH78" s="89" t="s">
        <v>84</v>
      </c>
      <c r="AI78" s="89" t="s">
        <v>84</v>
      </c>
      <c r="AJ78" s="89" t="s">
        <v>84</v>
      </c>
      <c r="AK78" s="89" t="s">
        <v>84</v>
      </c>
      <c r="AL78" s="89" t="s">
        <v>84</v>
      </c>
      <c r="AM78" s="90" t="s">
        <v>84</v>
      </c>
      <c r="AO78" s="91" t="s">
        <v>1776</v>
      </c>
      <c r="AQ78" s="108"/>
    </row>
    <row r="79" customFormat="false" ht="14.25" hidden="false" customHeight="false" outlineLevel="0" collapsed="false">
      <c r="A79" s="1" t="s">
        <v>2379</v>
      </c>
      <c r="B79" s="1" t="n">
        <v>2</v>
      </c>
      <c r="E79" s="27" t="n">
        <v>70</v>
      </c>
      <c r="F79" s="27" t="s">
        <v>84</v>
      </c>
      <c r="G79" s="27" t="s">
        <v>84</v>
      </c>
      <c r="H79" s="89" t="s">
        <v>2380</v>
      </c>
      <c r="I79" s="89" t="s">
        <v>2243</v>
      </c>
      <c r="J79" s="90" t="s">
        <v>2380</v>
      </c>
      <c r="N79" s="27"/>
      <c r="O79" s="1"/>
      <c r="P79" s="1"/>
      <c r="Q79" s="1"/>
      <c r="AE79" s="89" t="s">
        <v>84</v>
      </c>
      <c r="AF79" s="89" t="s">
        <v>84</v>
      </c>
      <c r="AG79" s="89" t="s">
        <v>84</v>
      </c>
      <c r="AH79" s="89" t="s">
        <v>84</v>
      </c>
      <c r="AI79" s="89" t="s">
        <v>84</v>
      </c>
      <c r="AJ79" s="89" t="s">
        <v>84</v>
      </c>
      <c r="AK79" s="89" t="s">
        <v>84</v>
      </c>
      <c r="AL79" s="89" t="s">
        <v>84</v>
      </c>
      <c r="AM79" s="90" t="s">
        <v>84</v>
      </c>
      <c r="AO79" s="91" t="s">
        <v>1776</v>
      </c>
    </row>
    <row r="80" customFormat="false" ht="14.25" hidden="false" customHeight="false" outlineLevel="0" collapsed="false">
      <c r="A80" s="1" t="s">
        <v>2381</v>
      </c>
      <c r="B80" s="1" t="n">
        <v>2</v>
      </c>
      <c r="E80" s="27" t="n">
        <v>158</v>
      </c>
      <c r="F80" s="27" t="s">
        <v>84</v>
      </c>
      <c r="G80" s="27" t="s">
        <v>84</v>
      </c>
      <c r="H80" s="89" t="s">
        <v>2382</v>
      </c>
      <c r="I80" s="89" t="s">
        <v>2383</v>
      </c>
      <c r="J80" s="90" t="s">
        <v>2382</v>
      </c>
      <c r="AE80" s="89" t="s">
        <v>84</v>
      </c>
      <c r="AF80" s="89" t="s">
        <v>84</v>
      </c>
      <c r="AG80" s="89" t="s">
        <v>84</v>
      </c>
      <c r="AH80" s="89" t="s">
        <v>84</v>
      </c>
      <c r="AI80" s="89" t="s">
        <v>84</v>
      </c>
      <c r="AJ80" s="89" t="s">
        <v>84</v>
      </c>
      <c r="AK80" s="89" t="s">
        <v>84</v>
      </c>
      <c r="AL80" s="89" t="s">
        <v>84</v>
      </c>
      <c r="AM80" s="90" t="s">
        <v>84</v>
      </c>
      <c r="AO80" s="91" t="s">
        <v>1776</v>
      </c>
    </row>
    <row r="81" customFormat="false" ht="14.25" hidden="false" customHeight="false" outlineLevel="0" collapsed="false">
      <c r="A81" s="1" t="s">
        <v>575</v>
      </c>
      <c r="B81" s="1" t="n">
        <v>2</v>
      </c>
      <c r="E81" s="27" t="n">
        <v>772</v>
      </c>
      <c r="F81" s="27" t="s">
        <v>1869</v>
      </c>
      <c r="G81" s="27" t="s">
        <v>84</v>
      </c>
      <c r="H81" s="89" t="s">
        <v>2384</v>
      </c>
      <c r="I81" s="89" t="s">
        <v>2385</v>
      </c>
      <c r="J81" s="90" t="s">
        <v>2384</v>
      </c>
      <c r="AE81" s="89" t="s">
        <v>2386</v>
      </c>
      <c r="AF81" s="89" t="s">
        <v>2387</v>
      </c>
      <c r="AG81" s="89" t="s">
        <v>2388</v>
      </c>
      <c r="AH81" s="89" t="s">
        <v>2389</v>
      </c>
      <c r="AI81" s="89" t="s">
        <v>2390</v>
      </c>
      <c r="AJ81" s="89" t="s">
        <v>2391</v>
      </c>
      <c r="AK81" s="89" t="s">
        <v>2392</v>
      </c>
      <c r="AL81" s="89" t="s">
        <v>2393</v>
      </c>
      <c r="AM81" s="90" t="s">
        <v>2394</v>
      </c>
      <c r="AO81" s="91" t="s">
        <v>1776</v>
      </c>
    </row>
    <row r="83" customFormat="false" ht="14.25" hidden="false" customHeight="false" outlineLevel="0" collapsed="false">
      <c r="A83" s="87" t="s">
        <v>2395</v>
      </c>
      <c r="B83" s="1" t="n">
        <v>1</v>
      </c>
    </row>
    <row r="85" customFormat="false" ht="14.25" hidden="false" customHeight="false" outlineLevel="0" collapsed="false">
      <c r="A85" s="99" t="s">
        <v>2396</v>
      </c>
      <c r="B85" s="1" t="n">
        <v>1</v>
      </c>
      <c r="C85" s="27" t="s">
        <v>605</v>
      </c>
      <c r="D85" s="1" t="n">
        <v>2911</v>
      </c>
      <c r="E85" s="27" t="n">
        <v>3930</v>
      </c>
      <c r="F85" s="27" t="s">
        <v>67</v>
      </c>
      <c r="G85" s="27" t="s">
        <v>2397</v>
      </c>
      <c r="H85" s="89" t="s">
        <v>2398</v>
      </c>
      <c r="I85" s="89" t="s">
        <v>2318</v>
      </c>
      <c r="J85" s="90" t="s">
        <v>2399</v>
      </c>
      <c r="K85" s="102" t="s">
        <v>2400</v>
      </c>
      <c r="L85" s="89" t="s">
        <v>2401</v>
      </c>
      <c r="M85" s="90" t="s">
        <v>2402</v>
      </c>
      <c r="N85" s="103" t="s">
        <v>2403</v>
      </c>
      <c r="O85" s="89" t="s">
        <v>84</v>
      </c>
      <c r="P85" s="89" t="s">
        <v>84</v>
      </c>
      <c r="Q85" s="89" t="s">
        <v>84</v>
      </c>
      <c r="R85" s="89" t="s">
        <v>84</v>
      </c>
      <c r="S85" s="89" t="s">
        <v>84</v>
      </c>
      <c r="T85" s="89" t="s">
        <v>84</v>
      </c>
      <c r="U85" s="89" t="s">
        <v>2404</v>
      </c>
      <c r="V85" s="89" t="s">
        <v>2405</v>
      </c>
      <c r="W85" s="89" t="s">
        <v>2406</v>
      </c>
      <c r="X85" s="89" t="s">
        <v>84</v>
      </c>
      <c r="Y85" s="89" t="s">
        <v>84</v>
      </c>
      <c r="Z85" s="89" t="s">
        <v>84</v>
      </c>
      <c r="AA85" s="89" t="s">
        <v>84</v>
      </c>
      <c r="AB85" s="89" t="s">
        <v>84</v>
      </c>
      <c r="AC85" s="89" t="s">
        <v>84</v>
      </c>
      <c r="AD85" s="90" t="s">
        <v>84</v>
      </c>
      <c r="AE85" s="89" t="s">
        <v>2407</v>
      </c>
      <c r="AF85" s="89" t="s">
        <v>2408</v>
      </c>
      <c r="AG85" s="89" t="s">
        <v>2409</v>
      </c>
      <c r="AH85" s="89" t="s">
        <v>2410</v>
      </c>
      <c r="AI85" s="89" t="s">
        <v>2411</v>
      </c>
      <c r="AJ85" s="89" t="s">
        <v>2412</v>
      </c>
      <c r="AK85" s="89" t="s">
        <v>2413</v>
      </c>
      <c r="AL85" s="89" t="s">
        <v>2414</v>
      </c>
      <c r="AM85" s="90" t="s">
        <v>2415</v>
      </c>
      <c r="AN85" s="4" t="s">
        <v>2416</v>
      </c>
      <c r="AO85" s="91" t="s">
        <v>1776</v>
      </c>
      <c r="AP85" s="1" t="s">
        <v>2417</v>
      </c>
      <c r="AQ85" s="1" t="s">
        <v>2418</v>
      </c>
      <c r="AR85" s="9"/>
      <c r="AS85" s="2"/>
    </row>
    <row r="86" customFormat="false" ht="14.25" hidden="false" customHeight="false" outlineLevel="0" collapsed="false">
      <c r="A86" s="99" t="s">
        <v>2419</v>
      </c>
      <c r="B86" s="1" t="n">
        <v>2</v>
      </c>
      <c r="C86" s="119" t="s">
        <v>2420</v>
      </c>
      <c r="D86" s="1" t="n">
        <v>2911</v>
      </c>
      <c r="E86" s="27" t="n">
        <v>2904</v>
      </c>
      <c r="F86" s="27" t="s">
        <v>67</v>
      </c>
      <c r="G86" s="27" t="s">
        <v>2397</v>
      </c>
      <c r="H86" s="89" t="s">
        <v>2421</v>
      </c>
      <c r="I86" s="89" t="s">
        <v>2318</v>
      </c>
      <c r="J86" s="90" t="s">
        <v>2399</v>
      </c>
      <c r="K86" s="102" t="s">
        <v>2400</v>
      </c>
      <c r="L86" s="89" t="s">
        <v>2401</v>
      </c>
      <c r="M86" s="90" t="s">
        <v>2402</v>
      </c>
      <c r="N86" s="89" t="s">
        <v>2422</v>
      </c>
      <c r="O86" s="89" t="s">
        <v>84</v>
      </c>
      <c r="P86" s="89" t="s">
        <v>84</v>
      </c>
      <c r="Q86" s="89" t="s">
        <v>84</v>
      </c>
      <c r="R86" s="89" t="s">
        <v>84</v>
      </c>
      <c r="S86" s="89" t="s">
        <v>84</v>
      </c>
      <c r="T86" s="89" t="s">
        <v>84</v>
      </c>
      <c r="U86" s="89" t="s">
        <v>2404</v>
      </c>
      <c r="V86" s="89" t="s">
        <v>84</v>
      </c>
      <c r="W86" s="89" t="s">
        <v>2423</v>
      </c>
      <c r="X86" s="89" t="s">
        <v>84</v>
      </c>
      <c r="Y86" s="89" t="s">
        <v>84</v>
      </c>
      <c r="Z86" s="89" t="s">
        <v>84</v>
      </c>
      <c r="AA86" s="89" t="s">
        <v>84</v>
      </c>
      <c r="AB86" s="89" t="s">
        <v>84</v>
      </c>
      <c r="AC86" s="89" t="s">
        <v>84</v>
      </c>
      <c r="AD86" s="90" t="s">
        <v>84</v>
      </c>
      <c r="AE86" s="89" t="s">
        <v>2424</v>
      </c>
      <c r="AF86" s="89" t="s">
        <v>2425</v>
      </c>
      <c r="AG86" s="89" t="s">
        <v>2426</v>
      </c>
      <c r="AH86" s="89" t="s">
        <v>2427</v>
      </c>
      <c r="AI86" s="89" t="s">
        <v>2428</v>
      </c>
      <c r="AJ86" s="89" t="s">
        <v>2429</v>
      </c>
      <c r="AK86" s="89" t="s">
        <v>2430</v>
      </c>
      <c r="AL86" s="89" t="s">
        <v>2431</v>
      </c>
      <c r="AM86" s="90" t="s">
        <v>2432</v>
      </c>
      <c r="AN86" s="4"/>
      <c r="AR86" s="9"/>
      <c r="AS86" s="2"/>
    </row>
    <row r="87" customFormat="false" ht="14.25" hidden="false" customHeight="false" outlineLevel="0" collapsed="false">
      <c r="A87" s="99" t="s">
        <v>2433</v>
      </c>
      <c r="B87" s="1" t="n">
        <v>2</v>
      </c>
      <c r="C87" s="27" t="s">
        <v>2434</v>
      </c>
      <c r="D87" s="1" t="n">
        <v>1026</v>
      </c>
      <c r="E87" s="1" t="n">
        <v>1026</v>
      </c>
      <c r="F87" s="27" t="s">
        <v>67</v>
      </c>
      <c r="G87" s="27" t="s">
        <v>2435</v>
      </c>
      <c r="H87" s="89" t="s">
        <v>2436</v>
      </c>
      <c r="I87" s="89" t="s">
        <v>2318</v>
      </c>
      <c r="J87" s="90" t="s">
        <v>84</v>
      </c>
      <c r="K87" s="89" t="s">
        <v>84</v>
      </c>
      <c r="L87" s="89" t="s">
        <v>84</v>
      </c>
      <c r="M87" s="90" t="s">
        <v>84</v>
      </c>
      <c r="N87" s="89" t="s">
        <v>2437</v>
      </c>
      <c r="O87" s="89" t="s">
        <v>84</v>
      </c>
      <c r="P87" s="89" t="s">
        <v>84</v>
      </c>
      <c r="Q87" s="89" t="s">
        <v>84</v>
      </c>
      <c r="R87" s="89" t="s">
        <v>84</v>
      </c>
      <c r="S87" s="89" t="s">
        <v>84</v>
      </c>
      <c r="T87" s="89" t="s">
        <v>84</v>
      </c>
      <c r="U87" s="89" t="s">
        <v>84</v>
      </c>
      <c r="V87" s="89" t="s">
        <v>2405</v>
      </c>
      <c r="W87" s="89" t="s">
        <v>2438</v>
      </c>
      <c r="X87" s="89" t="s">
        <v>84</v>
      </c>
      <c r="Y87" s="89" t="s">
        <v>84</v>
      </c>
      <c r="Z87" s="89" t="s">
        <v>84</v>
      </c>
      <c r="AA87" s="89" t="s">
        <v>84</v>
      </c>
      <c r="AB87" s="89" t="s">
        <v>84</v>
      </c>
      <c r="AC87" s="89" t="s">
        <v>84</v>
      </c>
      <c r="AD87" s="90" t="s">
        <v>84</v>
      </c>
      <c r="AE87" s="89" t="s">
        <v>2439</v>
      </c>
      <c r="AF87" s="89" t="s">
        <v>2440</v>
      </c>
      <c r="AG87" s="89" t="s">
        <v>2441</v>
      </c>
      <c r="AH87" s="89" t="s">
        <v>2442</v>
      </c>
      <c r="AI87" s="89" t="s">
        <v>2443</v>
      </c>
      <c r="AJ87" s="89" t="s">
        <v>2444</v>
      </c>
      <c r="AK87" s="89" t="s">
        <v>2445</v>
      </c>
      <c r="AL87" s="89" t="s">
        <v>2446</v>
      </c>
      <c r="AM87" s="90" t="s">
        <v>2447</v>
      </c>
      <c r="AN87" s="4"/>
      <c r="AR87" s="9"/>
      <c r="AS87" s="2"/>
    </row>
    <row r="88" customFormat="false" ht="14.25" hidden="false" customHeight="false" outlineLevel="0" collapsed="false">
      <c r="A88" s="87"/>
      <c r="D88" s="1"/>
      <c r="AN88" s="4"/>
      <c r="AR88" s="9"/>
      <c r="AS88" s="2"/>
    </row>
    <row r="89" customFormat="false" ht="14.25" hidden="false" customHeight="false" outlineLevel="0" collapsed="false">
      <c r="A89" s="99" t="s">
        <v>2448</v>
      </c>
      <c r="B89" s="1" t="n">
        <v>1</v>
      </c>
      <c r="C89" s="27" t="n">
        <v>2021</v>
      </c>
      <c r="D89" s="1" t="n">
        <v>106</v>
      </c>
      <c r="E89" s="100" t="n">
        <v>106</v>
      </c>
      <c r="F89" s="27" t="s">
        <v>67</v>
      </c>
      <c r="G89" s="27" t="s">
        <v>2449</v>
      </c>
      <c r="H89" s="89" t="s">
        <v>2450</v>
      </c>
      <c r="I89" s="89" t="s">
        <v>2243</v>
      </c>
      <c r="J89" s="90" t="s">
        <v>2451</v>
      </c>
      <c r="K89" s="89" t="s">
        <v>2452</v>
      </c>
      <c r="L89" s="89" t="s">
        <v>84</v>
      </c>
      <c r="M89" s="90" t="s">
        <v>84</v>
      </c>
      <c r="N89" s="89" t="s">
        <v>84</v>
      </c>
      <c r="O89" s="89" t="s">
        <v>84</v>
      </c>
      <c r="P89" s="89" t="s">
        <v>84</v>
      </c>
      <c r="Q89" s="89" t="s">
        <v>84</v>
      </c>
      <c r="R89" s="89" t="s">
        <v>84</v>
      </c>
      <c r="S89" s="89" t="s">
        <v>84</v>
      </c>
      <c r="T89" s="89" t="s">
        <v>84</v>
      </c>
      <c r="U89" s="89" t="s">
        <v>84</v>
      </c>
      <c r="V89" s="89" t="s">
        <v>84</v>
      </c>
      <c r="W89" s="89" t="s">
        <v>84</v>
      </c>
      <c r="X89" s="89" t="s">
        <v>84</v>
      </c>
      <c r="Y89" s="89" t="s">
        <v>84</v>
      </c>
      <c r="Z89" s="89" t="s">
        <v>84</v>
      </c>
      <c r="AA89" s="89" t="s">
        <v>84</v>
      </c>
      <c r="AD89" s="90" t="s">
        <v>84</v>
      </c>
      <c r="AE89" s="89" t="s">
        <v>2453</v>
      </c>
      <c r="AF89" s="101" t="s">
        <v>2454</v>
      </c>
      <c r="AG89" s="101" t="s">
        <v>2455</v>
      </c>
      <c r="AH89" s="89" t="s">
        <v>2456</v>
      </c>
      <c r="AI89" s="89" t="s">
        <v>2457</v>
      </c>
      <c r="AJ89" s="89" t="s">
        <v>2458</v>
      </c>
      <c r="AK89" s="89" t="s">
        <v>2459</v>
      </c>
      <c r="AL89" s="101" t="s">
        <v>2460</v>
      </c>
      <c r="AM89" s="104" t="s">
        <v>2461</v>
      </c>
      <c r="AN89" s="4" t="s">
        <v>2462</v>
      </c>
      <c r="AO89" s="91" t="s">
        <v>1776</v>
      </c>
      <c r="AP89" s="1" t="s">
        <v>2463</v>
      </c>
      <c r="AQ89" s="57" t="s">
        <v>2464</v>
      </c>
      <c r="AR89" s="2"/>
    </row>
    <row r="90" customFormat="false" ht="14.25" hidden="false" customHeight="false" outlineLevel="0" collapsed="false">
      <c r="A90" s="87"/>
      <c r="D90" s="1"/>
      <c r="AF90" s="105"/>
      <c r="AG90" s="105"/>
      <c r="AL90" s="105"/>
      <c r="AM90" s="106"/>
      <c r="AN90" s="4"/>
      <c r="AQ90" s="57"/>
      <c r="AR90" s="2"/>
    </row>
    <row r="91" customFormat="false" ht="14.25" hidden="false" customHeight="false" outlineLevel="0" collapsed="false">
      <c r="A91" s="99" t="s">
        <v>1679</v>
      </c>
      <c r="B91" s="1" t="n">
        <v>1</v>
      </c>
      <c r="C91" s="27" t="n">
        <v>2019</v>
      </c>
      <c r="D91" s="1" t="n">
        <v>76</v>
      </c>
      <c r="E91" s="100" t="n">
        <v>76</v>
      </c>
      <c r="F91" s="27" t="s">
        <v>2465</v>
      </c>
      <c r="G91" s="27" t="s">
        <v>2466</v>
      </c>
      <c r="H91" s="89" t="s">
        <v>2467</v>
      </c>
      <c r="I91" s="89" t="s">
        <v>2468</v>
      </c>
      <c r="J91" s="90" t="s">
        <v>84</v>
      </c>
      <c r="K91" s="89" t="s">
        <v>84</v>
      </c>
      <c r="L91" s="89" t="s">
        <v>84</v>
      </c>
      <c r="M91" s="90" t="s">
        <v>84</v>
      </c>
      <c r="N91" s="89" t="s">
        <v>84</v>
      </c>
      <c r="O91" s="89" t="s">
        <v>84</v>
      </c>
      <c r="P91" s="89" t="s">
        <v>84</v>
      </c>
      <c r="Q91" s="89" t="s">
        <v>84</v>
      </c>
      <c r="R91" s="89" t="s">
        <v>84</v>
      </c>
      <c r="S91" s="89" t="s">
        <v>84</v>
      </c>
      <c r="T91" s="89" t="s">
        <v>84</v>
      </c>
      <c r="U91" s="89" t="s">
        <v>84</v>
      </c>
      <c r="V91" s="89" t="s">
        <v>84</v>
      </c>
      <c r="W91" s="89" t="s">
        <v>84</v>
      </c>
      <c r="X91" s="89" t="s">
        <v>84</v>
      </c>
      <c r="Y91" s="89" t="s">
        <v>84</v>
      </c>
      <c r="Z91" s="89" t="s">
        <v>84</v>
      </c>
      <c r="AA91" s="89" t="s">
        <v>84</v>
      </c>
      <c r="AD91" s="90" t="s">
        <v>84</v>
      </c>
      <c r="AE91" s="89" t="s">
        <v>2469</v>
      </c>
      <c r="AF91" s="89" t="s">
        <v>2470</v>
      </c>
      <c r="AG91" s="89" t="s">
        <v>2471</v>
      </c>
      <c r="AH91" s="89" t="s">
        <v>2472</v>
      </c>
      <c r="AI91" s="89" t="s">
        <v>2473</v>
      </c>
      <c r="AJ91" s="89" t="s">
        <v>84</v>
      </c>
      <c r="AK91" s="89" t="s">
        <v>84</v>
      </c>
      <c r="AL91" s="89" t="s">
        <v>84</v>
      </c>
      <c r="AM91" s="90" t="s">
        <v>84</v>
      </c>
      <c r="AN91" s="91" t="s">
        <v>2474</v>
      </c>
      <c r="AO91" s="91" t="s">
        <v>1826</v>
      </c>
      <c r="AP91" s="1" t="s">
        <v>2475</v>
      </c>
      <c r="AQ91" s="57" t="s">
        <v>2476</v>
      </c>
      <c r="AR91" s="2"/>
    </row>
    <row r="92" customFormat="false" ht="14.25" hidden="false" customHeight="false" outlineLevel="0" collapsed="false">
      <c r="A92" s="87"/>
      <c r="D92" s="1"/>
      <c r="AQ92" s="57"/>
      <c r="AR92" s="2"/>
    </row>
    <row r="93" customFormat="false" ht="14.25" hidden="false" customHeight="false" outlineLevel="0" collapsed="false">
      <c r="A93" s="99" t="s">
        <v>1680</v>
      </c>
      <c r="B93" s="1" t="n">
        <v>1</v>
      </c>
      <c r="C93" s="27" t="s">
        <v>674</v>
      </c>
      <c r="D93" s="1" t="n">
        <v>3672</v>
      </c>
      <c r="E93" s="100" t="n">
        <v>3982</v>
      </c>
      <c r="F93" s="27" t="s">
        <v>67</v>
      </c>
      <c r="G93" s="27" t="s">
        <v>2477</v>
      </c>
      <c r="H93" s="89" t="s">
        <v>2478</v>
      </c>
      <c r="I93" s="105" t="s">
        <v>2185</v>
      </c>
      <c r="J93" s="90" t="s">
        <v>2479</v>
      </c>
      <c r="K93" s="105" t="s">
        <v>84</v>
      </c>
      <c r="L93" s="105" t="s">
        <v>84</v>
      </c>
      <c r="M93" s="106" t="s">
        <v>84</v>
      </c>
      <c r="N93" s="89" t="s">
        <v>84</v>
      </c>
      <c r="O93" s="89" t="s">
        <v>84</v>
      </c>
      <c r="P93" s="89" t="s">
        <v>84</v>
      </c>
      <c r="Q93" s="89" t="s">
        <v>84</v>
      </c>
      <c r="R93" s="89" t="s">
        <v>84</v>
      </c>
      <c r="S93" s="89" t="s">
        <v>84</v>
      </c>
      <c r="T93" s="89" t="s">
        <v>84</v>
      </c>
      <c r="U93" s="89" t="s">
        <v>84</v>
      </c>
      <c r="V93" s="89" t="s">
        <v>84</v>
      </c>
      <c r="W93" s="89" t="s">
        <v>84</v>
      </c>
      <c r="X93" s="89" t="s">
        <v>84</v>
      </c>
      <c r="Y93" s="89" t="s">
        <v>84</v>
      </c>
      <c r="Z93" s="89" t="s">
        <v>84</v>
      </c>
      <c r="AA93" s="89" t="s">
        <v>84</v>
      </c>
      <c r="AB93" s="89" t="s">
        <v>84</v>
      </c>
      <c r="AC93" s="89" t="s">
        <v>84</v>
      </c>
      <c r="AD93" s="90" t="s">
        <v>84</v>
      </c>
      <c r="AE93" s="89" t="s">
        <v>2480</v>
      </c>
      <c r="AF93" s="89" t="s">
        <v>2481</v>
      </c>
      <c r="AG93" s="89" t="s">
        <v>2482</v>
      </c>
      <c r="AH93" s="89" t="s">
        <v>2483</v>
      </c>
      <c r="AI93" s="89" t="s">
        <v>2484</v>
      </c>
      <c r="AJ93" s="89" t="s">
        <v>2485</v>
      </c>
      <c r="AK93" s="89" t="s">
        <v>2486</v>
      </c>
      <c r="AL93" s="89" t="s">
        <v>2487</v>
      </c>
      <c r="AM93" s="90" t="s">
        <v>2488</v>
      </c>
      <c r="AN93" s="91" t="s">
        <v>2489</v>
      </c>
      <c r="AO93" s="91" t="s">
        <v>1776</v>
      </c>
      <c r="AP93" s="1" t="s">
        <v>2490</v>
      </c>
      <c r="AQ93" s="9" t="s">
        <v>2491</v>
      </c>
      <c r="AR93" s="2"/>
    </row>
    <row r="94" customFormat="false" ht="14.25" hidden="false" customHeight="false" outlineLevel="0" collapsed="false">
      <c r="A94" s="87"/>
      <c r="D94" s="1"/>
      <c r="K94" s="105"/>
      <c r="L94" s="105"/>
      <c r="M94" s="106"/>
      <c r="AQ94" s="9"/>
      <c r="AR94" s="2"/>
    </row>
    <row r="95" customFormat="false" ht="14.25" hidden="false" customHeight="false" outlineLevel="0" collapsed="false">
      <c r="A95" s="99" t="s">
        <v>1681</v>
      </c>
      <c r="B95" s="1" t="n">
        <v>1</v>
      </c>
      <c r="C95" s="27" t="n">
        <v>2018</v>
      </c>
      <c r="D95" s="1" t="n">
        <v>1983</v>
      </c>
      <c r="E95" s="100" t="n">
        <v>1983</v>
      </c>
      <c r="F95" s="27" t="s">
        <v>1869</v>
      </c>
      <c r="G95" s="27" t="s">
        <v>84</v>
      </c>
      <c r="H95" s="89" t="s">
        <v>2492</v>
      </c>
      <c r="I95" s="89" t="s">
        <v>2493</v>
      </c>
      <c r="J95" s="90" t="s">
        <v>2494</v>
      </c>
      <c r="K95" s="89" t="s">
        <v>2495</v>
      </c>
      <c r="L95" s="27" t="s">
        <v>84</v>
      </c>
      <c r="M95" s="27" t="s">
        <v>84</v>
      </c>
      <c r="N95" s="89" t="s">
        <v>2496</v>
      </c>
      <c r="O95" s="27" t="s">
        <v>84</v>
      </c>
      <c r="P95" s="27" t="s">
        <v>84</v>
      </c>
      <c r="Q95" s="27" t="s">
        <v>84</v>
      </c>
      <c r="R95" s="27" t="s">
        <v>84</v>
      </c>
      <c r="S95" s="27" t="s">
        <v>84</v>
      </c>
      <c r="T95" s="27" t="s">
        <v>84</v>
      </c>
      <c r="U95" s="27" t="s">
        <v>84</v>
      </c>
      <c r="V95" s="27" t="s">
        <v>84</v>
      </c>
      <c r="W95" s="27" t="s">
        <v>84</v>
      </c>
      <c r="X95" s="27" t="s">
        <v>84</v>
      </c>
      <c r="Y95" s="27" t="s">
        <v>84</v>
      </c>
      <c r="Z95" s="27" t="s">
        <v>84</v>
      </c>
      <c r="AA95" s="27" t="s">
        <v>84</v>
      </c>
      <c r="AB95" s="27" t="s">
        <v>84</v>
      </c>
      <c r="AC95" s="27" t="s">
        <v>84</v>
      </c>
      <c r="AD95" s="27" t="s">
        <v>84</v>
      </c>
      <c r="AE95" s="101" t="s">
        <v>2497</v>
      </c>
      <c r="AF95" s="101" t="s">
        <v>2498</v>
      </c>
      <c r="AG95" s="89" t="s">
        <v>2499</v>
      </c>
      <c r="AH95" s="89" t="s">
        <v>2500</v>
      </c>
      <c r="AI95" s="89" t="s">
        <v>2501</v>
      </c>
      <c r="AJ95" s="101" t="s">
        <v>2502</v>
      </c>
      <c r="AK95" s="101" t="s">
        <v>2503</v>
      </c>
      <c r="AL95" s="101" t="s">
        <v>2504</v>
      </c>
      <c r="AM95" s="104" t="s">
        <v>2505</v>
      </c>
      <c r="AN95" s="91" t="s">
        <v>2489</v>
      </c>
      <c r="AO95" s="91" t="s">
        <v>1826</v>
      </c>
      <c r="AP95" s="1" t="s">
        <v>2506</v>
      </c>
      <c r="AQ95" s="2" t="s">
        <v>2507</v>
      </c>
    </row>
    <row r="96" customFormat="false" ht="14.25" hidden="false" customHeight="false" outlineLevel="0" collapsed="false">
      <c r="A96" s="99" t="s">
        <v>2508</v>
      </c>
      <c r="B96" s="1" t="n">
        <v>2</v>
      </c>
      <c r="C96" s="27" t="n">
        <v>2018</v>
      </c>
      <c r="D96" s="1" t="n">
        <v>989</v>
      </c>
      <c r="E96" s="1" t="n">
        <v>989</v>
      </c>
      <c r="F96" s="27" t="s">
        <v>84</v>
      </c>
      <c r="G96" s="27" t="s">
        <v>84</v>
      </c>
      <c r="H96" s="89" t="s">
        <v>2509</v>
      </c>
      <c r="I96" s="89" t="s">
        <v>2510</v>
      </c>
      <c r="J96" s="90" t="s">
        <v>2511</v>
      </c>
      <c r="K96" s="89" t="s">
        <v>2512</v>
      </c>
      <c r="L96" s="27" t="s">
        <v>84</v>
      </c>
      <c r="M96" s="27" t="s">
        <v>84</v>
      </c>
      <c r="N96" s="89" t="s">
        <v>2513</v>
      </c>
      <c r="O96" s="27" t="s">
        <v>84</v>
      </c>
      <c r="P96" s="27" t="s">
        <v>84</v>
      </c>
      <c r="Q96" s="27" t="s">
        <v>84</v>
      </c>
      <c r="R96" s="27" t="s">
        <v>84</v>
      </c>
      <c r="S96" s="27" t="s">
        <v>84</v>
      </c>
      <c r="T96" s="27" t="s">
        <v>84</v>
      </c>
      <c r="U96" s="27" t="s">
        <v>84</v>
      </c>
      <c r="V96" s="27" t="s">
        <v>84</v>
      </c>
      <c r="W96" s="27" t="s">
        <v>84</v>
      </c>
      <c r="X96" s="27" t="s">
        <v>84</v>
      </c>
      <c r="Y96" s="27" t="s">
        <v>84</v>
      </c>
      <c r="Z96" s="27" t="s">
        <v>84</v>
      </c>
      <c r="AA96" s="27" t="s">
        <v>84</v>
      </c>
      <c r="AB96" s="27" t="s">
        <v>84</v>
      </c>
      <c r="AC96" s="27" t="s">
        <v>84</v>
      </c>
      <c r="AD96" s="27" t="s">
        <v>84</v>
      </c>
      <c r="AE96" s="105" t="s">
        <v>84</v>
      </c>
      <c r="AF96" s="105" t="s">
        <v>84</v>
      </c>
      <c r="AG96" s="105" t="s">
        <v>84</v>
      </c>
      <c r="AH96" s="105" t="s">
        <v>84</v>
      </c>
      <c r="AI96" s="105" t="s">
        <v>84</v>
      </c>
      <c r="AJ96" s="105" t="s">
        <v>84</v>
      </c>
      <c r="AK96" s="105" t="s">
        <v>84</v>
      </c>
      <c r="AL96" s="105" t="s">
        <v>84</v>
      </c>
      <c r="AM96" s="105" t="s">
        <v>84</v>
      </c>
      <c r="AQ96" s="2"/>
    </row>
    <row r="97" customFormat="false" ht="14.25" hidden="false" customHeight="false" outlineLevel="0" collapsed="false">
      <c r="A97" s="99" t="s">
        <v>2514</v>
      </c>
      <c r="B97" s="1" t="n">
        <v>2</v>
      </c>
      <c r="C97" s="27" t="n">
        <v>2018</v>
      </c>
      <c r="D97" s="1" t="n">
        <v>994</v>
      </c>
      <c r="E97" s="1" t="n">
        <v>994</v>
      </c>
      <c r="F97" s="27" t="s">
        <v>67</v>
      </c>
      <c r="G97" s="27" t="s">
        <v>84</v>
      </c>
      <c r="H97" s="89" t="s">
        <v>2492</v>
      </c>
      <c r="I97" s="89" t="s">
        <v>2515</v>
      </c>
      <c r="J97" s="90" t="s">
        <v>2516</v>
      </c>
      <c r="K97" s="89" t="s">
        <v>2517</v>
      </c>
      <c r="L97" s="27" t="s">
        <v>84</v>
      </c>
      <c r="M97" s="27" t="s">
        <v>84</v>
      </c>
      <c r="N97" s="89" t="s">
        <v>2518</v>
      </c>
      <c r="O97" s="27" t="s">
        <v>84</v>
      </c>
      <c r="P97" s="27" t="s">
        <v>84</v>
      </c>
      <c r="Q97" s="27" t="s">
        <v>84</v>
      </c>
      <c r="R97" s="27" t="s">
        <v>84</v>
      </c>
      <c r="S97" s="27" t="s">
        <v>84</v>
      </c>
      <c r="T97" s="27" t="s">
        <v>84</v>
      </c>
      <c r="U97" s="27" t="s">
        <v>84</v>
      </c>
      <c r="V97" s="27" t="s">
        <v>84</v>
      </c>
      <c r="W97" s="27" t="s">
        <v>84</v>
      </c>
      <c r="X97" s="27" t="s">
        <v>84</v>
      </c>
      <c r="Y97" s="27" t="s">
        <v>84</v>
      </c>
      <c r="Z97" s="27" t="s">
        <v>84</v>
      </c>
      <c r="AA97" s="27" t="s">
        <v>84</v>
      </c>
      <c r="AB97" s="27" t="s">
        <v>84</v>
      </c>
      <c r="AC97" s="27" t="s">
        <v>84</v>
      </c>
      <c r="AD97" s="27" t="s">
        <v>84</v>
      </c>
      <c r="AE97" s="101" t="s">
        <v>2497</v>
      </c>
      <c r="AF97" s="101" t="s">
        <v>2498</v>
      </c>
      <c r="AG97" s="89" t="s">
        <v>2499</v>
      </c>
      <c r="AH97" s="89" t="s">
        <v>2500</v>
      </c>
      <c r="AI97" s="89" t="s">
        <v>2501</v>
      </c>
      <c r="AJ97" s="101" t="s">
        <v>2502</v>
      </c>
      <c r="AK97" s="101" t="s">
        <v>2503</v>
      </c>
      <c r="AL97" s="101" t="s">
        <v>2504</v>
      </c>
      <c r="AM97" s="104" t="s">
        <v>2505</v>
      </c>
      <c r="AQ97" s="2"/>
    </row>
    <row r="98" customFormat="false" ht="14.25" hidden="false" customHeight="false" outlineLevel="0" collapsed="false">
      <c r="A98" s="87"/>
      <c r="D98" s="1"/>
      <c r="L98" s="73"/>
      <c r="AE98" s="105"/>
      <c r="AF98" s="105"/>
      <c r="AJ98" s="105"/>
      <c r="AK98" s="105"/>
      <c r="AL98" s="105"/>
      <c r="AM98" s="106"/>
      <c r="AQ98" s="2"/>
    </row>
    <row r="99" customFormat="false" ht="14.25" hidden="false" customHeight="false" outlineLevel="0" collapsed="false">
      <c r="A99" s="99" t="s">
        <v>2519</v>
      </c>
      <c r="B99" s="1" t="n">
        <v>1</v>
      </c>
      <c r="C99" s="27" t="n">
        <v>2019</v>
      </c>
      <c r="D99" s="1" t="n">
        <v>20</v>
      </c>
      <c r="E99" s="27" t="n">
        <v>20</v>
      </c>
      <c r="F99" s="120"/>
      <c r="G99" s="27" t="s">
        <v>84</v>
      </c>
      <c r="H99" s="89" t="s">
        <v>2520</v>
      </c>
      <c r="I99" s="89" t="s">
        <v>2144</v>
      </c>
      <c r="J99" s="90" t="s">
        <v>84</v>
      </c>
      <c r="K99" s="89" t="s">
        <v>2521</v>
      </c>
      <c r="L99" s="105" t="s">
        <v>2522</v>
      </c>
      <c r="M99" s="90" t="s">
        <v>2522</v>
      </c>
      <c r="N99" s="89" t="s">
        <v>84</v>
      </c>
      <c r="O99" s="89" t="s">
        <v>84</v>
      </c>
      <c r="P99" s="89" t="s">
        <v>84</v>
      </c>
      <c r="Q99" s="89" t="s">
        <v>84</v>
      </c>
      <c r="R99" s="89" t="s">
        <v>84</v>
      </c>
      <c r="S99" s="89" t="s">
        <v>84</v>
      </c>
      <c r="T99" s="89" t="s">
        <v>84</v>
      </c>
      <c r="U99" s="89" t="s">
        <v>84</v>
      </c>
      <c r="V99" s="89" t="s">
        <v>84</v>
      </c>
      <c r="W99" s="89" t="s">
        <v>84</v>
      </c>
      <c r="X99" s="89" t="s">
        <v>84</v>
      </c>
      <c r="Y99" s="89" t="s">
        <v>84</v>
      </c>
      <c r="Z99" s="89" t="s">
        <v>84</v>
      </c>
      <c r="AA99" s="89" t="s">
        <v>84</v>
      </c>
      <c r="AB99" s="89" t="s">
        <v>84</v>
      </c>
      <c r="AD99" s="90" t="s">
        <v>84</v>
      </c>
      <c r="AE99" s="105" t="s">
        <v>2523</v>
      </c>
      <c r="AF99" s="105" t="s">
        <v>2524</v>
      </c>
      <c r="AG99" s="89" t="s">
        <v>2525</v>
      </c>
      <c r="AH99" s="89" t="s">
        <v>2526</v>
      </c>
      <c r="AI99" s="89" t="s">
        <v>2527</v>
      </c>
      <c r="AJ99" s="105" t="s">
        <v>2528</v>
      </c>
      <c r="AK99" s="105" t="s">
        <v>2529</v>
      </c>
      <c r="AL99" s="105" t="s">
        <v>2530</v>
      </c>
      <c r="AM99" s="106" t="s">
        <v>2531</v>
      </c>
      <c r="AN99" s="91" t="s">
        <v>2532</v>
      </c>
      <c r="AO99" s="91" t="s">
        <v>1826</v>
      </c>
      <c r="AP99" s="1" t="s">
        <v>2533</v>
      </c>
      <c r="AQ99" s="2" t="s">
        <v>2534</v>
      </c>
    </row>
    <row r="100" customFormat="false" ht="14.25" hidden="false" customHeight="false" outlineLevel="0" collapsed="false">
      <c r="A100" s="87"/>
      <c r="D100" s="1"/>
      <c r="L100" s="73"/>
      <c r="AE100" s="105"/>
      <c r="AF100" s="105"/>
      <c r="AJ100" s="105"/>
      <c r="AK100" s="105"/>
      <c r="AL100" s="105"/>
      <c r="AM100" s="106"/>
      <c r="AQ100" s="2"/>
    </row>
    <row r="101" customFormat="false" ht="14.25" hidden="false" customHeight="false" outlineLevel="0" collapsed="false">
      <c r="A101" s="99" t="s">
        <v>2535</v>
      </c>
      <c r="B101" s="1" t="n">
        <v>1</v>
      </c>
      <c r="C101" s="27" t="s">
        <v>2536</v>
      </c>
      <c r="D101" s="1" t="n">
        <v>71</v>
      </c>
      <c r="E101" s="27" t="n">
        <v>212</v>
      </c>
      <c r="F101" s="27" t="s">
        <v>84</v>
      </c>
      <c r="G101" s="27" t="s">
        <v>2537</v>
      </c>
      <c r="H101" s="89" t="s">
        <v>2538</v>
      </c>
      <c r="I101" s="89" t="s">
        <v>2539</v>
      </c>
      <c r="J101" s="90" t="s">
        <v>84</v>
      </c>
      <c r="K101" s="89" t="s">
        <v>84</v>
      </c>
      <c r="L101" s="73" t="s">
        <v>84</v>
      </c>
      <c r="M101" s="90" t="s">
        <v>84</v>
      </c>
      <c r="N101" s="89" t="s">
        <v>84</v>
      </c>
      <c r="O101" s="89" t="s">
        <v>84</v>
      </c>
      <c r="P101" s="89" t="s">
        <v>84</v>
      </c>
      <c r="Q101" s="89" t="s">
        <v>84</v>
      </c>
      <c r="R101" s="89" t="s">
        <v>84</v>
      </c>
      <c r="S101" s="89" t="s">
        <v>84</v>
      </c>
      <c r="T101" s="89" t="s">
        <v>84</v>
      </c>
      <c r="U101" s="89" t="s">
        <v>84</v>
      </c>
      <c r="V101" s="89" t="s">
        <v>84</v>
      </c>
      <c r="W101" s="89" t="s">
        <v>2540</v>
      </c>
      <c r="X101" s="89" t="s">
        <v>84</v>
      </c>
      <c r="Y101" s="89" t="s">
        <v>84</v>
      </c>
      <c r="Z101" s="89" t="s">
        <v>84</v>
      </c>
      <c r="AA101" s="89" t="s">
        <v>84</v>
      </c>
      <c r="AB101" s="89" t="s">
        <v>84</v>
      </c>
      <c r="AD101" s="90" t="s">
        <v>84</v>
      </c>
      <c r="AE101" s="105" t="s">
        <v>84</v>
      </c>
      <c r="AF101" s="105" t="s">
        <v>84</v>
      </c>
      <c r="AG101" s="89" t="s">
        <v>84</v>
      </c>
      <c r="AH101" s="89" t="s">
        <v>84</v>
      </c>
      <c r="AI101" s="89" t="s">
        <v>84</v>
      </c>
      <c r="AJ101" s="105" t="s">
        <v>84</v>
      </c>
      <c r="AK101" s="105" t="s">
        <v>84</v>
      </c>
      <c r="AL101" s="105" t="s">
        <v>84</v>
      </c>
      <c r="AM101" s="106" t="s">
        <v>84</v>
      </c>
      <c r="AN101" s="91" t="s">
        <v>2541</v>
      </c>
      <c r="AO101" s="91" t="s">
        <v>1826</v>
      </c>
      <c r="AP101" s="1" t="s">
        <v>2542</v>
      </c>
      <c r="AQ101" s="2" t="s">
        <v>2543</v>
      </c>
    </row>
    <row r="102" customFormat="false" ht="14.25" hidden="false" customHeight="false" outlineLevel="0" collapsed="false">
      <c r="A102" s="87"/>
      <c r="D102" s="1"/>
      <c r="L102" s="73"/>
      <c r="AE102" s="105"/>
      <c r="AF102" s="105"/>
      <c r="AJ102" s="105"/>
      <c r="AK102" s="105"/>
      <c r="AL102" s="105"/>
      <c r="AM102" s="106"/>
      <c r="AQ102" s="2"/>
    </row>
    <row r="103" customFormat="false" ht="16.25" hidden="false" customHeight="false" outlineLevel="0" collapsed="false">
      <c r="A103" s="99" t="s">
        <v>2544</v>
      </c>
      <c r="B103" s="1" t="n">
        <v>1</v>
      </c>
      <c r="C103" s="27" t="n">
        <v>2017</v>
      </c>
      <c r="D103" s="1" t="n">
        <v>20</v>
      </c>
      <c r="E103" s="27" t="n">
        <v>20</v>
      </c>
      <c r="F103" s="27" t="s">
        <v>84</v>
      </c>
      <c r="G103" s="27" t="s">
        <v>2545</v>
      </c>
      <c r="H103" s="89" t="s">
        <v>2546</v>
      </c>
      <c r="I103" s="89" t="s">
        <v>2547</v>
      </c>
      <c r="J103" s="90" t="s">
        <v>84</v>
      </c>
      <c r="K103" s="90" t="s">
        <v>84</v>
      </c>
      <c r="L103" s="90" t="s">
        <v>84</v>
      </c>
      <c r="M103" s="90" t="s">
        <v>84</v>
      </c>
      <c r="N103" s="90" t="s">
        <v>84</v>
      </c>
      <c r="O103" s="90" t="s">
        <v>84</v>
      </c>
      <c r="P103" s="90" t="s">
        <v>84</v>
      </c>
      <c r="Q103" s="90" t="s">
        <v>84</v>
      </c>
      <c r="R103" s="90" t="s">
        <v>84</v>
      </c>
      <c r="S103" s="90" t="s">
        <v>84</v>
      </c>
      <c r="T103" s="90" t="s">
        <v>84</v>
      </c>
      <c r="U103" s="90" t="s">
        <v>84</v>
      </c>
      <c r="V103" s="90" t="s">
        <v>84</v>
      </c>
      <c r="W103" s="90" t="s">
        <v>84</v>
      </c>
      <c r="X103" s="90" t="s">
        <v>84</v>
      </c>
      <c r="Y103" s="90" t="s">
        <v>84</v>
      </c>
      <c r="Z103" s="90" t="s">
        <v>84</v>
      </c>
      <c r="AA103" s="90" t="s">
        <v>84</v>
      </c>
      <c r="AB103" s="90" t="s">
        <v>84</v>
      </c>
      <c r="AC103" s="90" t="s">
        <v>84</v>
      </c>
      <c r="AD103" s="90" t="s">
        <v>84</v>
      </c>
      <c r="AE103" s="105" t="s">
        <v>84</v>
      </c>
      <c r="AF103" s="105" t="s">
        <v>84</v>
      </c>
      <c r="AG103" s="89" t="s">
        <v>84</v>
      </c>
      <c r="AH103" s="89" t="s">
        <v>84</v>
      </c>
      <c r="AI103" s="89" t="s">
        <v>84</v>
      </c>
      <c r="AJ103" s="105" t="s">
        <v>84</v>
      </c>
      <c r="AK103" s="105" t="s">
        <v>84</v>
      </c>
      <c r="AL103" s="105" t="s">
        <v>84</v>
      </c>
      <c r="AM103" s="106" t="s">
        <v>84</v>
      </c>
      <c r="AN103" s="91" t="s">
        <v>2548</v>
      </c>
      <c r="AO103" s="91" t="s">
        <v>1826</v>
      </c>
      <c r="AP103" s="121" t="s">
        <v>2549</v>
      </c>
      <c r="AQ103" s="2" t="s">
        <v>2550</v>
      </c>
    </row>
    <row r="104" customFormat="false" ht="14.25" hidden="false" customHeight="false" outlineLevel="0" collapsed="false">
      <c r="A104" s="87"/>
      <c r="D104" s="1"/>
      <c r="L104" s="73"/>
      <c r="AE104" s="105"/>
      <c r="AF104" s="105"/>
      <c r="AJ104" s="105"/>
      <c r="AK104" s="105"/>
      <c r="AL104" s="105"/>
      <c r="AM104" s="106"/>
      <c r="AQ104" s="2"/>
    </row>
    <row r="105" customFormat="false" ht="14.25" hidden="false" customHeight="false" outlineLevel="0" collapsed="false">
      <c r="A105" s="99" t="s">
        <v>2551</v>
      </c>
      <c r="B105" s="1" t="n">
        <v>1</v>
      </c>
      <c r="C105" s="27" t="n">
        <v>2021</v>
      </c>
      <c r="D105" s="1" t="n">
        <v>33</v>
      </c>
      <c r="E105" s="27" t="n">
        <v>255</v>
      </c>
      <c r="F105" s="27" t="s">
        <v>67</v>
      </c>
      <c r="G105" s="27" t="s">
        <v>84</v>
      </c>
      <c r="H105" s="89" t="s">
        <v>2552</v>
      </c>
      <c r="I105" s="89" t="s">
        <v>2553</v>
      </c>
      <c r="J105" s="90" t="s">
        <v>84</v>
      </c>
      <c r="K105" s="89" t="s">
        <v>84</v>
      </c>
      <c r="L105" s="73" t="s">
        <v>84</v>
      </c>
      <c r="M105" s="90" t="s">
        <v>84</v>
      </c>
      <c r="N105" s="89" t="s">
        <v>84</v>
      </c>
      <c r="O105" s="89" t="s">
        <v>84</v>
      </c>
      <c r="P105" s="89" t="s">
        <v>84</v>
      </c>
      <c r="Q105" s="89" t="s">
        <v>84</v>
      </c>
      <c r="R105" s="89" t="s">
        <v>84</v>
      </c>
      <c r="S105" s="89" t="s">
        <v>84</v>
      </c>
      <c r="T105" s="89" t="s">
        <v>84</v>
      </c>
      <c r="U105" s="89" t="s">
        <v>84</v>
      </c>
      <c r="V105" s="89" t="s">
        <v>84</v>
      </c>
      <c r="W105" s="89" t="s">
        <v>84</v>
      </c>
      <c r="X105" s="89" t="s">
        <v>84</v>
      </c>
      <c r="Y105" s="89" t="s">
        <v>84</v>
      </c>
      <c r="Z105" s="89" t="s">
        <v>84</v>
      </c>
      <c r="AA105" s="89" t="s">
        <v>84</v>
      </c>
      <c r="AB105" s="89" t="s">
        <v>84</v>
      </c>
      <c r="AD105" s="90" t="s">
        <v>84</v>
      </c>
      <c r="AE105" s="105" t="s">
        <v>2554</v>
      </c>
      <c r="AF105" s="105" t="s">
        <v>2555</v>
      </c>
      <c r="AG105" s="89" t="s">
        <v>2556</v>
      </c>
      <c r="AH105" s="89" t="s">
        <v>2557</v>
      </c>
      <c r="AI105" s="89" t="s">
        <v>2558</v>
      </c>
      <c r="AJ105" s="105" t="s">
        <v>2559</v>
      </c>
      <c r="AK105" s="105" t="s">
        <v>2560</v>
      </c>
      <c r="AL105" s="105" t="s">
        <v>2561</v>
      </c>
      <c r="AM105" s="106" t="s">
        <v>2562</v>
      </c>
      <c r="AN105" s="122" t="s">
        <v>2563</v>
      </c>
      <c r="AO105" s="91" t="s">
        <v>1826</v>
      </c>
      <c r="AP105" s="1" t="s">
        <v>2564</v>
      </c>
      <c r="AQ105" s="2" t="s">
        <v>2565</v>
      </c>
    </row>
    <row r="106" customFormat="false" ht="14.25" hidden="false" customHeight="false" outlineLevel="0" collapsed="false">
      <c r="A106" s="87"/>
      <c r="D106" s="1"/>
      <c r="L106" s="73"/>
      <c r="AE106" s="105"/>
      <c r="AF106" s="105"/>
      <c r="AJ106" s="105"/>
      <c r="AK106" s="105"/>
      <c r="AL106" s="105"/>
      <c r="AM106" s="106"/>
      <c r="AQ106" s="2"/>
    </row>
    <row r="107" customFormat="false" ht="16.25" hidden="false" customHeight="false" outlineLevel="0" collapsed="false">
      <c r="A107" s="99" t="s">
        <v>2566</v>
      </c>
      <c r="B107" s="1" t="n">
        <v>1</v>
      </c>
      <c r="C107" s="27" t="n">
        <v>2024</v>
      </c>
      <c r="D107" s="1" t="n">
        <v>34</v>
      </c>
      <c r="E107" s="27" t="n">
        <v>34</v>
      </c>
      <c r="F107" s="27" t="s">
        <v>84</v>
      </c>
      <c r="G107" s="27" t="s">
        <v>2567</v>
      </c>
      <c r="H107" s="89" t="s">
        <v>2568</v>
      </c>
      <c r="I107" s="89" t="s">
        <v>2569</v>
      </c>
      <c r="J107" s="90" t="s">
        <v>84</v>
      </c>
      <c r="K107" s="89" t="s">
        <v>84</v>
      </c>
      <c r="L107" s="105" t="s">
        <v>84</v>
      </c>
      <c r="M107" s="90" t="s">
        <v>84</v>
      </c>
      <c r="N107" s="89" t="s">
        <v>84</v>
      </c>
      <c r="O107" s="89" t="s">
        <v>84</v>
      </c>
      <c r="P107" s="89" t="s">
        <v>84</v>
      </c>
      <c r="Q107" s="89" t="s">
        <v>84</v>
      </c>
      <c r="R107" s="89" t="s">
        <v>84</v>
      </c>
      <c r="S107" s="89" t="s">
        <v>84</v>
      </c>
      <c r="T107" s="89" t="s">
        <v>84</v>
      </c>
      <c r="U107" s="89" t="s">
        <v>84</v>
      </c>
      <c r="V107" s="89" t="s">
        <v>84</v>
      </c>
      <c r="W107" s="89" t="s">
        <v>84</v>
      </c>
      <c r="X107" s="89" t="s">
        <v>84</v>
      </c>
      <c r="Y107" s="89" t="s">
        <v>84</v>
      </c>
      <c r="Z107" s="89" t="s">
        <v>84</v>
      </c>
      <c r="AA107" s="89" t="s">
        <v>84</v>
      </c>
      <c r="AB107" s="89" t="s">
        <v>84</v>
      </c>
      <c r="AD107" s="90" t="s">
        <v>84</v>
      </c>
      <c r="AE107" s="105" t="s">
        <v>84</v>
      </c>
      <c r="AF107" s="105" t="s">
        <v>84</v>
      </c>
      <c r="AG107" s="89" t="s">
        <v>84</v>
      </c>
      <c r="AH107" s="89" t="s">
        <v>84</v>
      </c>
      <c r="AI107" s="89" t="s">
        <v>84</v>
      </c>
      <c r="AJ107" s="105" t="s">
        <v>84</v>
      </c>
      <c r="AK107" s="105" t="s">
        <v>84</v>
      </c>
      <c r="AL107" s="105" t="s">
        <v>84</v>
      </c>
      <c r="AM107" s="106" t="s">
        <v>84</v>
      </c>
      <c r="AN107" s="91" t="s">
        <v>2416</v>
      </c>
      <c r="AO107" s="91" t="s">
        <v>1826</v>
      </c>
      <c r="AP107" s="108" t="s">
        <v>2570</v>
      </c>
      <c r="AQ107" s="2" t="s">
        <v>2571</v>
      </c>
    </row>
    <row r="108" customFormat="false" ht="14.25" hidden="false" customHeight="false" outlineLevel="0" collapsed="false">
      <c r="A108" s="87"/>
      <c r="D108" s="1"/>
      <c r="L108" s="73"/>
      <c r="AE108" s="105"/>
      <c r="AF108" s="105"/>
      <c r="AJ108" s="105"/>
      <c r="AK108" s="105"/>
      <c r="AL108" s="105"/>
      <c r="AM108" s="106"/>
      <c r="AQ108" s="2"/>
    </row>
    <row r="109" customFormat="false" ht="14.25" hidden="false" customHeight="false" outlineLevel="0" collapsed="false">
      <c r="A109" s="99" t="s">
        <v>1682</v>
      </c>
      <c r="B109" s="1" t="n">
        <v>1</v>
      </c>
      <c r="C109" s="27" t="s">
        <v>703</v>
      </c>
      <c r="D109" s="1" t="n">
        <v>8455</v>
      </c>
      <c r="E109" s="100" t="n">
        <v>8444</v>
      </c>
      <c r="F109" s="27" t="s">
        <v>114</v>
      </c>
      <c r="G109" s="27" t="s">
        <v>2572</v>
      </c>
      <c r="H109" s="103" t="s">
        <v>2573</v>
      </c>
      <c r="I109" s="89" t="s">
        <v>2574</v>
      </c>
      <c r="J109" s="90" t="s">
        <v>2575</v>
      </c>
      <c r="K109" s="89" t="s">
        <v>2576</v>
      </c>
      <c r="L109" s="89" t="s">
        <v>2577</v>
      </c>
      <c r="M109" s="90" t="s">
        <v>84</v>
      </c>
      <c r="N109" s="89" t="s">
        <v>2578</v>
      </c>
      <c r="O109" s="89" t="s">
        <v>84</v>
      </c>
      <c r="P109" s="89" t="s">
        <v>2579</v>
      </c>
      <c r="Q109" s="89" t="s">
        <v>2580</v>
      </c>
      <c r="R109" s="89" t="s">
        <v>84</v>
      </c>
      <c r="S109" s="89" t="s">
        <v>84</v>
      </c>
      <c r="T109" s="89" t="s">
        <v>84</v>
      </c>
      <c r="U109" s="89" t="s">
        <v>2581</v>
      </c>
      <c r="V109" s="89" t="s">
        <v>84</v>
      </c>
      <c r="W109" s="89" t="s">
        <v>84</v>
      </c>
      <c r="X109" s="89" t="s">
        <v>84</v>
      </c>
      <c r="Y109" s="89" t="s">
        <v>84</v>
      </c>
      <c r="Z109" s="89" t="s">
        <v>84</v>
      </c>
      <c r="AA109" s="89" t="s">
        <v>2582</v>
      </c>
      <c r="AB109" s="89" t="s">
        <v>84</v>
      </c>
      <c r="AC109" s="89" t="s">
        <v>84</v>
      </c>
      <c r="AD109" s="90" t="s">
        <v>84</v>
      </c>
      <c r="AE109" s="89" t="s">
        <v>2583</v>
      </c>
      <c r="AF109" s="89" t="s">
        <v>2584</v>
      </c>
      <c r="AG109" s="89" t="s">
        <v>2585</v>
      </c>
      <c r="AH109" s="89" t="s">
        <v>2586</v>
      </c>
      <c r="AI109" s="89" t="s">
        <v>2587</v>
      </c>
      <c r="AJ109" s="89" t="s">
        <v>2588</v>
      </c>
      <c r="AK109" s="89" t="s">
        <v>2589</v>
      </c>
      <c r="AL109" s="89" t="s">
        <v>2590</v>
      </c>
      <c r="AM109" s="90" t="s">
        <v>2591</v>
      </c>
      <c r="AN109" s="91" t="s">
        <v>2592</v>
      </c>
      <c r="AO109" s="91" t="s">
        <v>1776</v>
      </c>
      <c r="AP109" s="1" t="s">
        <v>2593</v>
      </c>
      <c r="AQ109" s="9" t="s">
        <v>2594</v>
      </c>
      <c r="AR109" s="2"/>
    </row>
    <row r="110" customFormat="false" ht="14.25" hidden="false" customHeight="false" outlineLevel="0" collapsed="false">
      <c r="A110" s="99" t="s">
        <v>2595</v>
      </c>
      <c r="B110" s="1" t="n">
        <v>2</v>
      </c>
      <c r="C110" s="119" t="s">
        <v>2596</v>
      </c>
      <c r="D110" s="1" t="n">
        <v>5804</v>
      </c>
      <c r="E110" s="119" t="n">
        <v>5793</v>
      </c>
      <c r="F110" s="27" t="s">
        <v>114</v>
      </c>
      <c r="G110" s="27" t="s">
        <v>2572</v>
      </c>
      <c r="H110" s="89" t="s">
        <v>2597</v>
      </c>
      <c r="I110" s="105" t="s">
        <v>2598</v>
      </c>
      <c r="J110" s="90" t="s">
        <v>2575</v>
      </c>
      <c r="K110" s="89" t="s">
        <v>2599</v>
      </c>
      <c r="L110" s="89" t="s">
        <v>2600</v>
      </c>
      <c r="N110" s="89" t="s">
        <v>2601</v>
      </c>
      <c r="O110" s="89" t="s">
        <v>84</v>
      </c>
      <c r="P110" s="89" t="s">
        <v>2602</v>
      </c>
      <c r="Q110" s="89" t="s">
        <v>2603</v>
      </c>
      <c r="R110" s="89" t="s">
        <v>84</v>
      </c>
      <c r="S110" s="89" t="s">
        <v>84</v>
      </c>
      <c r="T110" s="89" t="s">
        <v>84</v>
      </c>
      <c r="U110" s="89" t="s">
        <v>84</v>
      </c>
      <c r="V110" s="89" t="s">
        <v>84</v>
      </c>
      <c r="W110" s="89" t="s">
        <v>84</v>
      </c>
      <c r="X110" s="89" t="s">
        <v>84</v>
      </c>
      <c r="Y110" s="89" t="s">
        <v>84</v>
      </c>
      <c r="Z110" s="89" t="s">
        <v>84</v>
      </c>
      <c r="AA110" s="89" t="s">
        <v>84</v>
      </c>
      <c r="AB110" s="89" t="s">
        <v>84</v>
      </c>
      <c r="AC110" s="89" t="s">
        <v>84</v>
      </c>
      <c r="AD110" s="90" t="s">
        <v>84</v>
      </c>
      <c r="AE110" s="89" t="s">
        <v>2604</v>
      </c>
      <c r="AF110" s="89" t="s">
        <v>2605</v>
      </c>
      <c r="AG110" s="89" t="s">
        <v>2606</v>
      </c>
      <c r="AH110" s="89" t="s">
        <v>2607</v>
      </c>
      <c r="AI110" s="89" t="s">
        <v>2608</v>
      </c>
      <c r="AJ110" s="89" t="s">
        <v>2609</v>
      </c>
      <c r="AK110" s="89" t="s">
        <v>2610</v>
      </c>
      <c r="AL110" s="89" t="s">
        <v>2611</v>
      </c>
      <c r="AM110" s="90" t="s">
        <v>2612</v>
      </c>
      <c r="AQ110" s="9"/>
      <c r="AR110" s="2"/>
    </row>
    <row r="111" customFormat="false" ht="14.25" hidden="false" customHeight="false" outlineLevel="0" collapsed="false">
      <c r="A111" s="99" t="s">
        <v>2613</v>
      </c>
      <c r="B111" s="1" t="n">
        <v>2</v>
      </c>
      <c r="C111" s="119" t="s">
        <v>2614</v>
      </c>
      <c r="D111" s="27" t="n">
        <v>2651</v>
      </c>
      <c r="E111" s="27" t="n">
        <v>2651</v>
      </c>
      <c r="F111" s="27" t="s">
        <v>114</v>
      </c>
      <c r="G111" s="27" t="s">
        <v>2615</v>
      </c>
      <c r="H111" s="89" t="s">
        <v>2616</v>
      </c>
      <c r="I111" s="105" t="s">
        <v>2617</v>
      </c>
      <c r="J111" s="90" t="s">
        <v>2618</v>
      </c>
      <c r="K111" s="89" t="s">
        <v>2619</v>
      </c>
      <c r="L111" s="89" t="s">
        <v>2620</v>
      </c>
      <c r="N111" s="89" t="s">
        <v>1802</v>
      </c>
      <c r="O111" s="89" t="s">
        <v>84</v>
      </c>
      <c r="P111" s="89" t="s">
        <v>2621</v>
      </c>
      <c r="Q111" s="89" t="s">
        <v>2622</v>
      </c>
      <c r="R111" s="89" t="s">
        <v>84</v>
      </c>
      <c r="S111" s="89" t="s">
        <v>84</v>
      </c>
      <c r="T111" s="89" t="s">
        <v>84</v>
      </c>
      <c r="U111" s="89" t="s">
        <v>2581</v>
      </c>
      <c r="V111" s="89" t="s">
        <v>84</v>
      </c>
      <c r="W111" s="89" t="s">
        <v>84</v>
      </c>
      <c r="X111" s="89" t="s">
        <v>84</v>
      </c>
      <c r="Y111" s="89" t="s">
        <v>84</v>
      </c>
      <c r="Z111" s="89" t="s">
        <v>84</v>
      </c>
      <c r="AA111" s="89" t="s">
        <v>2582</v>
      </c>
      <c r="AB111" s="89" t="s">
        <v>84</v>
      </c>
      <c r="AC111" s="89" t="s">
        <v>84</v>
      </c>
      <c r="AD111" s="90" t="s">
        <v>84</v>
      </c>
      <c r="AE111" s="89" t="s">
        <v>2623</v>
      </c>
      <c r="AF111" s="89" t="s">
        <v>2624</v>
      </c>
      <c r="AG111" s="89" t="s">
        <v>2625</v>
      </c>
      <c r="AH111" s="89" t="s">
        <v>2626</v>
      </c>
      <c r="AI111" s="89" t="s">
        <v>2627</v>
      </c>
      <c r="AJ111" s="89" t="s">
        <v>2628</v>
      </c>
      <c r="AK111" s="89" t="s">
        <v>2629</v>
      </c>
      <c r="AL111" s="89" t="s">
        <v>2630</v>
      </c>
      <c r="AM111" s="90" t="s">
        <v>2631</v>
      </c>
      <c r="AQ111" s="9"/>
      <c r="AR111" s="2"/>
    </row>
    <row r="112" customFormat="false" ht="14.25" hidden="false" customHeight="false" outlineLevel="0" collapsed="false">
      <c r="A112" s="87"/>
      <c r="D112" s="1"/>
      <c r="AQ112" s="9"/>
      <c r="AR112" s="2"/>
    </row>
    <row r="113" customFormat="false" ht="14.25" hidden="false" customHeight="false" outlineLevel="0" collapsed="false">
      <c r="A113" s="99" t="s">
        <v>1683</v>
      </c>
      <c r="B113" s="1" t="n">
        <v>1</v>
      </c>
      <c r="C113" s="27" t="n">
        <v>2018</v>
      </c>
      <c r="D113" s="1" t="n">
        <v>32</v>
      </c>
      <c r="E113" s="100" t="n">
        <v>32</v>
      </c>
      <c r="F113" s="27" t="s">
        <v>67</v>
      </c>
      <c r="G113" s="27" t="s">
        <v>2632</v>
      </c>
      <c r="H113" s="89" t="s">
        <v>2633</v>
      </c>
      <c r="I113" s="89" t="s">
        <v>2634</v>
      </c>
      <c r="J113" s="90" t="s">
        <v>2635</v>
      </c>
      <c r="K113" s="89" t="s">
        <v>2636</v>
      </c>
      <c r="L113" s="89" t="s">
        <v>84</v>
      </c>
      <c r="M113" s="90" t="s">
        <v>2637</v>
      </c>
      <c r="N113" s="89" t="s">
        <v>84</v>
      </c>
      <c r="O113" s="89" t="s">
        <v>84</v>
      </c>
      <c r="P113" s="89" t="s">
        <v>84</v>
      </c>
      <c r="Q113" s="89" t="s">
        <v>84</v>
      </c>
      <c r="R113" s="89" t="s">
        <v>84</v>
      </c>
      <c r="S113" s="89" t="s">
        <v>84</v>
      </c>
      <c r="T113" s="89" t="s">
        <v>84</v>
      </c>
      <c r="U113" s="89" t="s">
        <v>84</v>
      </c>
      <c r="V113" s="89" t="s">
        <v>84</v>
      </c>
      <c r="W113" s="89" t="s">
        <v>84</v>
      </c>
      <c r="X113" s="89" t="s">
        <v>84</v>
      </c>
      <c r="Y113" s="89" t="s">
        <v>84</v>
      </c>
      <c r="Z113" s="89" t="s">
        <v>84</v>
      </c>
      <c r="AA113" s="89" t="s">
        <v>84</v>
      </c>
      <c r="AD113" s="90" t="s">
        <v>84</v>
      </c>
      <c r="AE113" s="89" t="s">
        <v>2638</v>
      </c>
      <c r="AF113" s="89" t="s">
        <v>2639</v>
      </c>
      <c r="AG113" s="101" t="s">
        <v>2640</v>
      </c>
      <c r="AH113" s="89" t="s">
        <v>2641</v>
      </c>
      <c r="AI113" s="89" t="s">
        <v>2642</v>
      </c>
      <c r="AJ113" s="89" t="s">
        <v>2643</v>
      </c>
      <c r="AK113" s="89" t="s">
        <v>2644</v>
      </c>
      <c r="AL113" s="89" t="s">
        <v>2645</v>
      </c>
      <c r="AM113" s="123" t="s">
        <v>2646</v>
      </c>
      <c r="AN113" s="91" t="s">
        <v>2647</v>
      </c>
      <c r="AO113" s="91" t="s">
        <v>1826</v>
      </c>
      <c r="AP113" s="1" t="s">
        <v>2648</v>
      </c>
      <c r="AQ113" s="9" t="s">
        <v>2649</v>
      </c>
      <c r="AR113" s="2"/>
    </row>
    <row r="114" customFormat="false" ht="14.25" hidden="false" customHeight="false" outlineLevel="0" collapsed="false">
      <c r="A114" s="87"/>
      <c r="D114" s="1"/>
      <c r="AQ114" s="9"/>
      <c r="AR114" s="2"/>
    </row>
    <row r="115" customFormat="false" ht="14.25" hidden="false" customHeight="false" outlineLevel="0" collapsed="false">
      <c r="A115" s="99" t="s">
        <v>2650</v>
      </c>
      <c r="B115" s="1" t="n">
        <v>1</v>
      </c>
      <c r="C115" s="27" t="s">
        <v>2651</v>
      </c>
      <c r="D115" s="105" t="s">
        <v>2652</v>
      </c>
      <c r="E115" s="100" t="n">
        <v>197</v>
      </c>
      <c r="F115" s="27" t="s">
        <v>114</v>
      </c>
      <c r="G115" s="27" t="s">
        <v>2653</v>
      </c>
      <c r="H115" s="89" t="s">
        <v>2654</v>
      </c>
      <c r="I115" s="89" t="s">
        <v>2655</v>
      </c>
      <c r="J115" s="90" t="s">
        <v>84</v>
      </c>
      <c r="K115" s="89" t="s">
        <v>84</v>
      </c>
      <c r="L115" s="89" t="s">
        <v>84</v>
      </c>
      <c r="M115" s="90" t="s">
        <v>84</v>
      </c>
      <c r="N115" s="89" t="s">
        <v>84</v>
      </c>
      <c r="O115" s="89" t="s">
        <v>84</v>
      </c>
      <c r="P115" s="89" t="s">
        <v>84</v>
      </c>
      <c r="Q115" s="89" t="s">
        <v>84</v>
      </c>
      <c r="R115" s="89" t="s">
        <v>84</v>
      </c>
      <c r="S115" s="89" t="s">
        <v>84</v>
      </c>
      <c r="T115" s="89" t="s">
        <v>84</v>
      </c>
      <c r="U115" s="89" t="s">
        <v>84</v>
      </c>
      <c r="V115" s="89" t="s">
        <v>84</v>
      </c>
      <c r="W115" s="89" t="s">
        <v>84</v>
      </c>
      <c r="X115" s="89" t="s">
        <v>84</v>
      </c>
      <c r="Y115" s="89" t="s">
        <v>84</v>
      </c>
      <c r="Z115" s="89" t="s">
        <v>84</v>
      </c>
      <c r="AA115" s="89" t="s">
        <v>84</v>
      </c>
      <c r="AB115" s="89" t="s">
        <v>84</v>
      </c>
      <c r="AD115" s="90" t="s">
        <v>84</v>
      </c>
      <c r="AE115" s="89" t="s">
        <v>2656</v>
      </c>
      <c r="AF115" s="89" t="s">
        <v>2657</v>
      </c>
      <c r="AG115" s="89" t="s">
        <v>2658</v>
      </c>
      <c r="AH115" s="89" t="s">
        <v>2659</v>
      </c>
      <c r="AI115" s="89" t="s">
        <v>2660</v>
      </c>
      <c r="AJ115" s="89" t="s">
        <v>2661</v>
      </c>
      <c r="AK115" s="89" t="s">
        <v>2662</v>
      </c>
      <c r="AL115" s="89" t="s">
        <v>2663</v>
      </c>
      <c r="AM115" s="90" t="s">
        <v>2664</v>
      </c>
      <c r="AN115" s="91" t="s">
        <v>2665</v>
      </c>
      <c r="AO115" s="91" t="s">
        <v>1776</v>
      </c>
      <c r="AP115" s="1" t="s">
        <v>2666</v>
      </c>
      <c r="AQ115" s="9" t="s">
        <v>2667</v>
      </c>
      <c r="AR115" s="14"/>
    </row>
    <row r="116" customFormat="false" ht="16.25" hidden="false" customHeight="false" outlineLevel="0" collapsed="false">
      <c r="A116" s="99" t="s">
        <v>2668</v>
      </c>
      <c r="B116" s="1" t="n">
        <v>2</v>
      </c>
      <c r="C116" s="124" t="s">
        <v>2669</v>
      </c>
      <c r="D116" s="105" t="s">
        <v>2670</v>
      </c>
      <c r="E116" s="27" t="n">
        <v>153</v>
      </c>
      <c r="F116" s="27" t="s">
        <v>114</v>
      </c>
      <c r="G116" s="27" t="s">
        <v>2653</v>
      </c>
      <c r="H116" s="89" t="s">
        <v>2653</v>
      </c>
      <c r="I116" s="89" t="s">
        <v>84</v>
      </c>
      <c r="J116" s="90" t="s">
        <v>84</v>
      </c>
      <c r="K116" s="89" t="s">
        <v>84</v>
      </c>
      <c r="L116" s="89" t="s">
        <v>84</v>
      </c>
      <c r="M116" s="90" t="s">
        <v>84</v>
      </c>
      <c r="N116" s="89" t="s">
        <v>84</v>
      </c>
      <c r="O116" s="89" t="s">
        <v>84</v>
      </c>
      <c r="P116" s="89" t="s">
        <v>84</v>
      </c>
      <c r="Q116" s="89" t="s">
        <v>84</v>
      </c>
      <c r="R116" s="89" t="s">
        <v>84</v>
      </c>
      <c r="S116" s="89" t="s">
        <v>84</v>
      </c>
      <c r="T116" s="89" t="s">
        <v>84</v>
      </c>
      <c r="U116" s="89" t="s">
        <v>84</v>
      </c>
      <c r="V116" s="89" t="s">
        <v>84</v>
      </c>
      <c r="W116" s="89" t="s">
        <v>84</v>
      </c>
      <c r="X116" s="89" t="s">
        <v>84</v>
      </c>
      <c r="Y116" s="89" t="s">
        <v>84</v>
      </c>
      <c r="Z116" s="89" t="s">
        <v>84</v>
      </c>
      <c r="AA116" s="89" t="s">
        <v>84</v>
      </c>
      <c r="AB116" s="89" t="s">
        <v>84</v>
      </c>
      <c r="AD116" s="90" t="s">
        <v>84</v>
      </c>
      <c r="AE116" s="89" t="s">
        <v>2671</v>
      </c>
      <c r="AF116" s="89" t="s">
        <v>2672</v>
      </c>
      <c r="AG116" s="89" t="s">
        <v>2673</v>
      </c>
      <c r="AH116" s="89" t="s">
        <v>2674</v>
      </c>
      <c r="AI116" s="89" t="s">
        <v>2675</v>
      </c>
      <c r="AJ116" s="89" t="s">
        <v>2676</v>
      </c>
      <c r="AK116" s="89" t="s">
        <v>2677</v>
      </c>
      <c r="AL116" s="89" t="s">
        <v>2678</v>
      </c>
      <c r="AM116" s="90" t="s">
        <v>2679</v>
      </c>
      <c r="AN116" s="125" t="s">
        <v>2680</v>
      </c>
      <c r="AQ116" s="9"/>
      <c r="AR116" s="14"/>
    </row>
    <row r="117" customFormat="false" ht="14.25" hidden="false" customHeight="false" outlineLevel="0" collapsed="false">
      <c r="A117" s="99" t="s">
        <v>2681</v>
      </c>
      <c r="B117" s="1" t="n">
        <v>2</v>
      </c>
      <c r="C117" s="27" t="n">
        <v>1994</v>
      </c>
      <c r="D117" s="1" t="n">
        <v>22</v>
      </c>
      <c r="E117" s="27" t="n">
        <v>44</v>
      </c>
      <c r="F117" s="27" t="s">
        <v>114</v>
      </c>
      <c r="G117" s="27" t="s">
        <v>84</v>
      </c>
      <c r="H117" s="27" t="s">
        <v>84</v>
      </c>
      <c r="I117" s="89" t="s">
        <v>84</v>
      </c>
      <c r="J117" s="90" t="s">
        <v>84</v>
      </c>
      <c r="K117" s="89" t="s">
        <v>84</v>
      </c>
      <c r="L117" s="89" t="s">
        <v>84</v>
      </c>
      <c r="M117" s="90" t="s">
        <v>84</v>
      </c>
      <c r="N117" s="89" t="s">
        <v>84</v>
      </c>
      <c r="O117" s="89" t="s">
        <v>84</v>
      </c>
      <c r="P117" s="89" t="s">
        <v>84</v>
      </c>
      <c r="Q117" s="89" t="s">
        <v>84</v>
      </c>
      <c r="R117" s="89" t="s">
        <v>84</v>
      </c>
      <c r="S117" s="89" t="s">
        <v>84</v>
      </c>
      <c r="T117" s="89" t="s">
        <v>84</v>
      </c>
      <c r="U117" s="89" t="s">
        <v>84</v>
      </c>
      <c r="V117" s="89" t="s">
        <v>84</v>
      </c>
      <c r="W117" s="89" t="s">
        <v>84</v>
      </c>
      <c r="X117" s="89" t="s">
        <v>84</v>
      </c>
      <c r="Y117" s="89" t="s">
        <v>84</v>
      </c>
      <c r="Z117" s="89" t="s">
        <v>84</v>
      </c>
      <c r="AA117" s="89" t="s">
        <v>84</v>
      </c>
      <c r="AB117" s="89" t="s">
        <v>84</v>
      </c>
      <c r="AD117" s="90" t="s">
        <v>84</v>
      </c>
      <c r="AE117" s="89" t="s">
        <v>2682</v>
      </c>
      <c r="AF117" s="89" t="s">
        <v>2683</v>
      </c>
      <c r="AG117" s="89" t="s">
        <v>2684</v>
      </c>
      <c r="AH117" s="89" t="s">
        <v>2685</v>
      </c>
      <c r="AI117" s="89" t="s">
        <v>2686</v>
      </c>
      <c r="AJ117" s="89" t="s">
        <v>2687</v>
      </c>
      <c r="AK117" s="89" t="s">
        <v>2688</v>
      </c>
      <c r="AL117" s="89" t="s">
        <v>2689</v>
      </c>
      <c r="AM117" s="90" t="s">
        <v>2690</v>
      </c>
      <c r="AN117" s="125" t="s">
        <v>2691</v>
      </c>
      <c r="AQ117" s="9"/>
      <c r="AR117" s="14"/>
    </row>
    <row r="118" customFormat="false" ht="14.25" hidden="false" customHeight="false" outlineLevel="0" collapsed="false">
      <c r="AQ118" s="9"/>
      <c r="AR118" s="14"/>
    </row>
    <row r="119" customFormat="false" ht="16.25" hidden="false" customHeight="false" outlineLevel="0" collapsed="false">
      <c r="A119" s="99" t="s">
        <v>2692</v>
      </c>
      <c r="B119" s="1" t="n">
        <v>1</v>
      </c>
      <c r="C119" s="27" t="s">
        <v>798</v>
      </c>
      <c r="D119" s="1" t="n">
        <v>461</v>
      </c>
      <c r="E119" s="100" t="n">
        <v>453</v>
      </c>
      <c r="F119" s="27" t="s">
        <v>114</v>
      </c>
      <c r="G119" s="27" t="s">
        <v>2693</v>
      </c>
      <c r="H119" s="89" t="s">
        <v>2694</v>
      </c>
      <c r="I119" s="89" t="s">
        <v>2243</v>
      </c>
      <c r="J119" s="90" t="s">
        <v>2695</v>
      </c>
      <c r="K119" s="89" t="s">
        <v>2696</v>
      </c>
      <c r="L119" s="89" t="s">
        <v>2697</v>
      </c>
      <c r="M119" s="90" t="s">
        <v>2698</v>
      </c>
      <c r="N119" s="89" t="s">
        <v>84</v>
      </c>
      <c r="O119" s="89" t="s">
        <v>84</v>
      </c>
      <c r="P119" s="89" t="s">
        <v>84</v>
      </c>
      <c r="Q119" s="89" t="s">
        <v>84</v>
      </c>
      <c r="R119" s="89" t="s">
        <v>84</v>
      </c>
      <c r="S119" s="89" t="s">
        <v>84</v>
      </c>
      <c r="T119" s="89" t="s">
        <v>84</v>
      </c>
      <c r="U119" s="89" t="s">
        <v>84</v>
      </c>
      <c r="V119" s="89" t="s">
        <v>84</v>
      </c>
      <c r="W119" s="89" t="s">
        <v>84</v>
      </c>
      <c r="X119" s="89" t="s">
        <v>84</v>
      </c>
      <c r="Y119" s="89" t="s">
        <v>84</v>
      </c>
      <c r="Z119" s="89" t="s">
        <v>84</v>
      </c>
      <c r="AA119" s="89" t="s">
        <v>84</v>
      </c>
      <c r="AB119" s="89" t="s">
        <v>84</v>
      </c>
      <c r="AD119" s="90" t="s">
        <v>84</v>
      </c>
      <c r="AE119" s="89" t="s">
        <v>2699</v>
      </c>
      <c r="AF119" s="101" t="s">
        <v>2700</v>
      </c>
      <c r="AG119" s="89" t="s">
        <v>2701</v>
      </c>
      <c r="AH119" s="89" t="s">
        <v>2701</v>
      </c>
      <c r="AI119" s="101" t="s">
        <v>2702</v>
      </c>
      <c r="AJ119" s="101" t="s">
        <v>2703</v>
      </c>
      <c r="AK119" s="101" t="s">
        <v>2704</v>
      </c>
      <c r="AL119" s="101" t="s">
        <v>2705</v>
      </c>
      <c r="AM119" s="104" t="s">
        <v>2706</v>
      </c>
      <c r="AN119" s="108" t="s">
        <v>2707</v>
      </c>
      <c r="AO119" s="91" t="s">
        <v>1776</v>
      </c>
      <c r="AP119" s="1" t="s">
        <v>2708</v>
      </c>
      <c r="AQ119" s="9" t="s">
        <v>2709</v>
      </c>
      <c r="AR119" s="2"/>
    </row>
    <row r="120" customFormat="false" ht="14.25" hidden="false" customHeight="false" outlineLevel="0" collapsed="false">
      <c r="A120" s="87"/>
      <c r="AQ120" s="9"/>
      <c r="AR120" s="2"/>
    </row>
    <row r="121" customFormat="false" ht="14.25" hidden="false" customHeight="false" outlineLevel="0" collapsed="false">
      <c r="A121" s="126" t="s">
        <v>2710</v>
      </c>
      <c r="B121" s="1" t="n">
        <v>1</v>
      </c>
      <c r="C121" s="27" t="s">
        <v>2711</v>
      </c>
      <c r="D121" s="1" t="n">
        <v>1775</v>
      </c>
      <c r="E121" s="100" t="n">
        <v>1914</v>
      </c>
      <c r="F121" s="27" t="s">
        <v>1869</v>
      </c>
      <c r="G121" s="27" t="s">
        <v>2712</v>
      </c>
      <c r="H121" s="89" t="s">
        <v>2713</v>
      </c>
      <c r="I121" s="105" t="s">
        <v>2714</v>
      </c>
      <c r="J121" s="90" t="s">
        <v>2715</v>
      </c>
      <c r="K121" s="89" t="s">
        <v>84</v>
      </c>
      <c r="L121" s="89" t="s">
        <v>84</v>
      </c>
      <c r="M121" s="90" t="s">
        <v>84</v>
      </c>
      <c r="N121" s="89" t="s">
        <v>2716</v>
      </c>
      <c r="O121" s="89" t="s">
        <v>2717</v>
      </c>
      <c r="P121" s="89" t="s">
        <v>84</v>
      </c>
      <c r="Q121" s="89" t="s">
        <v>84</v>
      </c>
      <c r="R121" s="89" t="s">
        <v>2718</v>
      </c>
      <c r="S121" s="73" t="s">
        <v>2719</v>
      </c>
      <c r="T121" s="89" t="s">
        <v>2720</v>
      </c>
      <c r="U121" s="89" t="s">
        <v>2721</v>
      </c>
      <c r="V121" s="89" t="s">
        <v>2722</v>
      </c>
      <c r="W121" s="89" t="s">
        <v>84</v>
      </c>
      <c r="X121" s="89" t="s">
        <v>84</v>
      </c>
      <c r="Y121" s="89" t="s">
        <v>84</v>
      </c>
      <c r="Z121" s="89" t="s">
        <v>84</v>
      </c>
      <c r="AA121" s="89" t="s">
        <v>84</v>
      </c>
      <c r="AD121" s="90" t="s">
        <v>84</v>
      </c>
      <c r="AE121" s="89" t="s">
        <v>2723</v>
      </c>
      <c r="AF121" s="89" t="s">
        <v>2724</v>
      </c>
      <c r="AG121" s="89" t="s">
        <v>2725</v>
      </c>
      <c r="AH121" s="89" t="s">
        <v>2726</v>
      </c>
      <c r="AI121" s="89" t="s">
        <v>2727</v>
      </c>
      <c r="AJ121" s="89" t="s">
        <v>2728</v>
      </c>
      <c r="AK121" s="89" t="s">
        <v>2729</v>
      </c>
      <c r="AL121" s="89" t="s">
        <v>2730</v>
      </c>
      <c r="AM121" s="90" t="s">
        <v>2731</v>
      </c>
      <c r="AN121" s="91" t="s">
        <v>2732</v>
      </c>
      <c r="AO121" s="91" t="s">
        <v>1776</v>
      </c>
      <c r="AP121" s="1" t="s">
        <v>2733</v>
      </c>
      <c r="AQ121" s="9" t="s">
        <v>2734</v>
      </c>
      <c r="AR121" s="2"/>
    </row>
    <row r="122" customFormat="false" ht="14.25" hidden="false" customHeight="false" outlineLevel="0" collapsed="false">
      <c r="I122" s="73"/>
      <c r="S122" s="73"/>
      <c r="AQ122" s="9"/>
      <c r="AR122" s="2"/>
    </row>
    <row r="123" customFormat="false" ht="14.25" hidden="false" customHeight="false" outlineLevel="0" collapsed="false">
      <c r="A123" s="99" t="s">
        <v>1685</v>
      </c>
      <c r="B123" s="1" t="n">
        <v>1</v>
      </c>
      <c r="C123" s="27" t="s">
        <v>798</v>
      </c>
      <c r="D123" s="1" t="n">
        <v>25</v>
      </c>
      <c r="E123" s="100" t="n">
        <v>25</v>
      </c>
      <c r="F123" s="27" t="s">
        <v>114</v>
      </c>
      <c r="G123" s="27" t="s">
        <v>2735</v>
      </c>
      <c r="H123" s="89" t="s">
        <v>2736</v>
      </c>
      <c r="I123" s="89" t="s">
        <v>2737</v>
      </c>
      <c r="J123" s="90" t="s">
        <v>2738</v>
      </c>
      <c r="K123" s="89" t="s">
        <v>2739</v>
      </c>
      <c r="L123" s="89" t="s">
        <v>84</v>
      </c>
      <c r="M123" s="90" t="s">
        <v>84</v>
      </c>
      <c r="N123" s="89" t="s">
        <v>2740</v>
      </c>
      <c r="O123" s="89" t="s">
        <v>84</v>
      </c>
      <c r="P123" s="89" t="s">
        <v>84</v>
      </c>
      <c r="Q123" s="89" t="s">
        <v>84</v>
      </c>
      <c r="R123" s="89" t="s">
        <v>84</v>
      </c>
      <c r="S123" s="89" t="s">
        <v>84</v>
      </c>
      <c r="T123" s="89" t="s">
        <v>84</v>
      </c>
      <c r="U123" s="89" t="s">
        <v>84</v>
      </c>
      <c r="V123" s="89" t="s">
        <v>84</v>
      </c>
      <c r="W123" s="89" t="s">
        <v>84</v>
      </c>
      <c r="X123" s="89" t="s">
        <v>84</v>
      </c>
      <c r="Y123" s="89" t="s">
        <v>84</v>
      </c>
      <c r="Z123" s="89" t="s">
        <v>84</v>
      </c>
      <c r="AA123" s="89" t="s">
        <v>84</v>
      </c>
      <c r="AD123" s="90" t="s">
        <v>84</v>
      </c>
      <c r="AE123" s="101" t="s">
        <v>2741</v>
      </c>
      <c r="AF123" s="89" t="s">
        <v>2742</v>
      </c>
      <c r="AG123" s="101" t="s">
        <v>2743</v>
      </c>
      <c r="AH123" s="89" t="s">
        <v>2744</v>
      </c>
      <c r="AI123" s="89" t="s">
        <v>2745</v>
      </c>
      <c r="AJ123" s="89" t="s">
        <v>2746</v>
      </c>
      <c r="AK123" s="89" t="s">
        <v>2747</v>
      </c>
      <c r="AL123" s="89" t="s">
        <v>2748</v>
      </c>
      <c r="AM123" s="90" t="s">
        <v>2749</v>
      </c>
      <c r="AN123" s="4" t="s">
        <v>2750</v>
      </c>
      <c r="AO123" s="91" t="s">
        <v>1826</v>
      </c>
      <c r="AP123" s="89" t="s">
        <v>84</v>
      </c>
      <c r="AQ123" s="9" t="s">
        <v>2751</v>
      </c>
      <c r="AR123" s="2"/>
    </row>
    <row r="124" customFormat="false" ht="14.25" hidden="false" customHeight="false" outlineLevel="0" collapsed="false">
      <c r="AN124" s="4"/>
      <c r="AP124" s="89"/>
      <c r="AQ124" s="9"/>
      <c r="AR124" s="2"/>
    </row>
    <row r="125" customFormat="false" ht="16.25" hidden="false" customHeight="false" outlineLevel="0" collapsed="false">
      <c r="A125" s="127" t="s">
        <v>2752</v>
      </c>
      <c r="B125" s="1" t="n">
        <v>1</v>
      </c>
      <c r="C125" s="27" t="n">
        <v>2024</v>
      </c>
      <c r="D125" s="1" t="n">
        <v>19</v>
      </c>
      <c r="E125" s="27" t="n">
        <v>19</v>
      </c>
      <c r="F125" s="27" t="s">
        <v>67</v>
      </c>
      <c r="G125" s="27" t="s">
        <v>84</v>
      </c>
      <c r="H125" s="89" t="s">
        <v>2753</v>
      </c>
      <c r="I125" s="89" t="s">
        <v>2754</v>
      </c>
      <c r="J125" s="90" t="s">
        <v>84</v>
      </c>
      <c r="K125" s="89" t="s">
        <v>84</v>
      </c>
      <c r="L125" s="89" t="s">
        <v>84</v>
      </c>
      <c r="M125" s="90" t="s">
        <v>84</v>
      </c>
      <c r="N125" s="89" t="s">
        <v>84</v>
      </c>
      <c r="O125" s="89" t="s">
        <v>84</v>
      </c>
      <c r="P125" s="89" t="s">
        <v>84</v>
      </c>
      <c r="Q125" s="89" t="s">
        <v>84</v>
      </c>
      <c r="R125" s="89" t="s">
        <v>84</v>
      </c>
      <c r="S125" s="89" t="s">
        <v>2755</v>
      </c>
      <c r="T125" s="89" t="s">
        <v>84</v>
      </c>
      <c r="U125" s="89" t="s">
        <v>84</v>
      </c>
      <c r="V125" s="89" t="s">
        <v>84</v>
      </c>
      <c r="W125" s="89" t="s">
        <v>84</v>
      </c>
      <c r="X125" s="89" t="s">
        <v>84</v>
      </c>
      <c r="Y125" s="89" t="s">
        <v>84</v>
      </c>
      <c r="Z125" s="89" t="s">
        <v>84</v>
      </c>
      <c r="AA125" s="89" t="s">
        <v>84</v>
      </c>
      <c r="AB125" s="89" t="s">
        <v>84</v>
      </c>
      <c r="AD125" s="90" t="s">
        <v>84</v>
      </c>
      <c r="AE125" s="128" t="s">
        <v>2756</v>
      </c>
      <c r="AF125" s="128" t="s">
        <v>2757</v>
      </c>
      <c r="AG125" s="128" t="s">
        <v>2758</v>
      </c>
      <c r="AH125" s="128" t="s">
        <v>2759</v>
      </c>
      <c r="AI125" s="128" t="s">
        <v>2760</v>
      </c>
      <c r="AJ125" s="128" t="s">
        <v>2761</v>
      </c>
      <c r="AK125" s="128" t="s">
        <v>2762</v>
      </c>
      <c r="AL125" s="128" t="s">
        <v>2763</v>
      </c>
      <c r="AM125" s="129" t="s">
        <v>2764</v>
      </c>
      <c r="AN125" s="4" t="s">
        <v>2765</v>
      </c>
      <c r="AO125" s="91" t="s">
        <v>1826</v>
      </c>
      <c r="AP125" s="108" t="s">
        <v>2766</v>
      </c>
      <c r="AQ125" s="9" t="s">
        <v>2767</v>
      </c>
      <c r="AR125" s="2"/>
    </row>
    <row r="126" customFormat="false" ht="14.25" hidden="false" customHeight="false" outlineLevel="0" collapsed="false">
      <c r="AN126" s="4"/>
      <c r="AP126" s="89"/>
      <c r="AQ126" s="9"/>
      <c r="AR126" s="2"/>
    </row>
    <row r="127" customFormat="false" ht="14.25" hidden="false" customHeight="false" outlineLevel="0" collapsed="false">
      <c r="A127" s="87" t="s">
        <v>1676</v>
      </c>
      <c r="B127" s="1" t="n">
        <v>1</v>
      </c>
      <c r="C127" s="27" t="s">
        <v>857</v>
      </c>
      <c r="D127" s="1" t="n">
        <v>1123</v>
      </c>
      <c r="E127" s="100" t="n">
        <v>2569</v>
      </c>
      <c r="F127" s="27" t="s">
        <v>2768</v>
      </c>
      <c r="L127" s="89" t="s">
        <v>84</v>
      </c>
      <c r="M127" s="106" t="s">
        <v>84</v>
      </c>
      <c r="O127" s="89" t="s">
        <v>84</v>
      </c>
      <c r="P127" s="89" t="s">
        <v>84</v>
      </c>
      <c r="Q127" s="89" t="s">
        <v>84</v>
      </c>
      <c r="AO127" s="91" t="s">
        <v>1776</v>
      </c>
      <c r="AQ127" s="9"/>
      <c r="AR127" s="14"/>
    </row>
    <row r="128" customFormat="false" ht="14.25" hidden="false" customHeight="false" outlineLevel="0" collapsed="false">
      <c r="A128" s="1" t="s">
        <v>2769</v>
      </c>
      <c r="B128" s="1" t="n">
        <v>2</v>
      </c>
      <c r="C128" s="27" t="s">
        <v>84</v>
      </c>
      <c r="D128" s="1" t="n">
        <v>3164</v>
      </c>
      <c r="E128" s="27" t="s">
        <v>84</v>
      </c>
      <c r="G128" s="27" t="s">
        <v>2770</v>
      </c>
      <c r="H128" s="89" t="s">
        <v>2771</v>
      </c>
      <c r="I128" s="89" t="s">
        <v>2772</v>
      </c>
      <c r="J128" s="90" t="s">
        <v>84</v>
      </c>
      <c r="K128" s="89" t="s">
        <v>84</v>
      </c>
      <c r="L128" s="89" t="s">
        <v>84</v>
      </c>
      <c r="M128" s="106" t="s">
        <v>84</v>
      </c>
      <c r="N128" s="89" t="s">
        <v>84</v>
      </c>
      <c r="O128" s="89" t="s">
        <v>84</v>
      </c>
      <c r="P128" s="89" t="s">
        <v>84</v>
      </c>
      <c r="Q128" s="89" t="s">
        <v>84</v>
      </c>
      <c r="S128" s="89" t="s">
        <v>84</v>
      </c>
      <c r="T128" s="89" t="s">
        <v>84</v>
      </c>
      <c r="U128" s="89" t="s">
        <v>84</v>
      </c>
      <c r="V128" s="89" t="s">
        <v>84</v>
      </c>
      <c r="W128" s="89" t="s">
        <v>84</v>
      </c>
      <c r="X128" s="89" t="s">
        <v>84</v>
      </c>
      <c r="Y128" s="89" t="s">
        <v>84</v>
      </c>
      <c r="Z128" s="89" t="s">
        <v>84</v>
      </c>
      <c r="AA128" s="89" t="s">
        <v>84</v>
      </c>
      <c r="AB128" s="89" t="s">
        <v>84</v>
      </c>
      <c r="AD128" s="90" t="s">
        <v>84</v>
      </c>
      <c r="AF128" s="89" t="s">
        <v>84</v>
      </c>
      <c r="AG128" s="89" t="s">
        <v>84</v>
      </c>
      <c r="AH128" s="89" t="s">
        <v>84</v>
      </c>
      <c r="AI128" s="89" t="s">
        <v>84</v>
      </c>
      <c r="AJ128" s="89" t="s">
        <v>84</v>
      </c>
      <c r="AK128" s="89" t="s">
        <v>84</v>
      </c>
      <c r="AL128" s="89" t="s">
        <v>84</v>
      </c>
      <c r="AQ128" s="9"/>
      <c r="AR128" s="14"/>
    </row>
    <row r="129" customFormat="false" ht="14.25" hidden="false" customHeight="false" outlineLevel="0" collapsed="false">
      <c r="A129" s="1" t="s">
        <v>2773</v>
      </c>
      <c r="B129" s="1" t="n">
        <v>2</v>
      </c>
      <c r="C129" s="27" t="s">
        <v>2774</v>
      </c>
      <c r="D129" s="1" t="n">
        <v>1123</v>
      </c>
      <c r="G129" s="27" t="s">
        <v>2775</v>
      </c>
      <c r="H129" s="89" t="s">
        <v>2776</v>
      </c>
      <c r="I129" s="89" t="s">
        <v>2777</v>
      </c>
      <c r="J129" s="90" t="s">
        <v>2778</v>
      </c>
      <c r="K129" s="89" t="s">
        <v>2779</v>
      </c>
      <c r="L129" s="89" t="s">
        <v>84</v>
      </c>
      <c r="M129" s="106" t="s">
        <v>84</v>
      </c>
      <c r="N129" s="89" t="s">
        <v>2780</v>
      </c>
      <c r="O129" s="89" t="s">
        <v>84</v>
      </c>
      <c r="P129" s="89" t="s">
        <v>84</v>
      </c>
      <c r="Q129" s="89" t="s">
        <v>84</v>
      </c>
      <c r="S129" s="73" t="s">
        <v>2781</v>
      </c>
      <c r="T129" s="89" t="s">
        <v>84</v>
      </c>
      <c r="U129" s="89" t="s">
        <v>84</v>
      </c>
      <c r="V129" s="89" t="s">
        <v>84</v>
      </c>
      <c r="W129" s="89" t="s">
        <v>84</v>
      </c>
      <c r="X129" s="89" t="s">
        <v>84</v>
      </c>
      <c r="Y129" s="89" t="s">
        <v>84</v>
      </c>
      <c r="Z129" s="89" t="s">
        <v>84</v>
      </c>
      <c r="AA129" s="89" t="s">
        <v>84</v>
      </c>
      <c r="AB129" s="89" t="s">
        <v>2782</v>
      </c>
      <c r="AD129" s="90" t="s">
        <v>84</v>
      </c>
      <c r="AF129" s="89" t="s">
        <v>2783</v>
      </c>
      <c r="AG129" s="89" t="s">
        <v>2784</v>
      </c>
      <c r="AH129" s="89" t="s">
        <v>2785</v>
      </c>
      <c r="AI129" s="89" t="s">
        <v>2786</v>
      </c>
      <c r="AJ129" s="89" t="s">
        <v>2787</v>
      </c>
      <c r="AK129" s="89" t="s">
        <v>2788</v>
      </c>
      <c r="AL129" s="89" t="s">
        <v>2789</v>
      </c>
      <c r="AM129" s="90" t="s">
        <v>2790</v>
      </c>
      <c r="AQ129" s="9"/>
      <c r="AR129" s="2"/>
      <c r="AV129" s="27"/>
    </row>
    <row r="130" customFormat="false" ht="14.25" hidden="false" customHeight="false" outlineLevel="0" collapsed="false">
      <c r="A130" s="1" t="s">
        <v>2791</v>
      </c>
      <c r="B130" s="1" t="n">
        <v>2</v>
      </c>
      <c r="C130" s="27" t="s">
        <v>2792</v>
      </c>
      <c r="D130" s="1" t="n">
        <v>758</v>
      </c>
      <c r="G130" s="27" t="s">
        <v>2793</v>
      </c>
      <c r="H130" s="89" t="s">
        <v>2794</v>
      </c>
      <c r="I130" s="89" t="s">
        <v>2795</v>
      </c>
      <c r="J130" s="90" t="s">
        <v>2796</v>
      </c>
      <c r="K130" s="89" t="s">
        <v>2797</v>
      </c>
      <c r="L130" s="89" t="s">
        <v>84</v>
      </c>
      <c r="M130" s="106" t="s">
        <v>84</v>
      </c>
      <c r="N130" s="89" t="s">
        <v>2798</v>
      </c>
      <c r="O130" s="89" t="s">
        <v>84</v>
      </c>
      <c r="P130" s="89" t="s">
        <v>84</v>
      </c>
      <c r="Q130" s="89" t="s">
        <v>84</v>
      </c>
      <c r="S130" s="73" t="s">
        <v>2799</v>
      </c>
      <c r="T130" s="89" t="s">
        <v>84</v>
      </c>
      <c r="U130" s="89" t="s">
        <v>84</v>
      </c>
      <c r="V130" s="89" t="s">
        <v>84</v>
      </c>
      <c r="W130" s="89" t="s">
        <v>84</v>
      </c>
      <c r="X130" s="89" t="s">
        <v>84</v>
      </c>
      <c r="Y130" s="89" t="s">
        <v>84</v>
      </c>
      <c r="Z130" s="89" t="s">
        <v>84</v>
      </c>
      <c r="AA130" s="89" t="s">
        <v>84</v>
      </c>
      <c r="AB130" s="89" t="s">
        <v>2800</v>
      </c>
      <c r="AD130" s="90" t="s">
        <v>84</v>
      </c>
      <c r="AF130" s="89" t="s">
        <v>2801</v>
      </c>
      <c r="AG130" s="89" t="s">
        <v>2802</v>
      </c>
      <c r="AH130" s="89" t="s">
        <v>2803</v>
      </c>
      <c r="AI130" s="89" t="s">
        <v>2804</v>
      </c>
      <c r="AJ130" s="89" t="s">
        <v>2805</v>
      </c>
      <c r="AK130" s="89" t="s">
        <v>2806</v>
      </c>
      <c r="AL130" s="89" t="s">
        <v>2807</v>
      </c>
      <c r="AM130" s="90" t="s">
        <v>2808</v>
      </c>
      <c r="AQ130" s="9"/>
      <c r="AR130" s="2"/>
      <c r="AV130" s="27"/>
    </row>
    <row r="131" customFormat="false" ht="14.25" hidden="false" customHeight="false" outlineLevel="0" collapsed="false">
      <c r="A131" s="1" t="s">
        <v>2809</v>
      </c>
      <c r="B131" s="1" t="n">
        <v>2</v>
      </c>
      <c r="C131" s="27" t="s">
        <v>2810</v>
      </c>
      <c r="D131" s="1" t="n">
        <v>566</v>
      </c>
      <c r="G131" s="27" t="s">
        <v>2811</v>
      </c>
      <c r="H131" s="89" t="s">
        <v>2812</v>
      </c>
      <c r="I131" s="89" t="s">
        <v>2795</v>
      </c>
      <c r="J131" s="90" t="s">
        <v>2813</v>
      </c>
      <c r="K131" s="89" t="s">
        <v>2814</v>
      </c>
      <c r="L131" s="89" t="s">
        <v>84</v>
      </c>
      <c r="M131" s="106" t="s">
        <v>84</v>
      </c>
      <c r="N131" s="89" t="s">
        <v>2021</v>
      </c>
      <c r="O131" s="89" t="s">
        <v>84</v>
      </c>
      <c r="P131" s="89" t="s">
        <v>84</v>
      </c>
      <c r="Q131" s="89" t="s">
        <v>84</v>
      </c>
      <c r="S131" s="73" t="s">
        <v>2815</v>
      </c>
      <c r="T131" s="89" t="s">
        <v>84</v>
      </c>
      <c r="U131" s="89" t="s">
        <v>84</v>
      </c>
      <c r="V131" s="89" t="s">
        <v>84</v>
      </c>
      <c r="W131" s="89" t="s">
        <v>84</v>
      </c>
      <c r="X131" s="89" t="s">
        <v>84</v>
      </c>
      <c r="Y131" s="89" t="s">
        <v>84</v>
      </c>
      <c r="Z131" s="89" t="s">
        <v>84</v>
      </c>
      <c r="AA131" s="89" t="s">
        <v>84</v>
      </c>
      <c r="AB131" s="89" t="s">
        <v>2816</v>
      </c>
      <c r="AD131" s="90" t="s">
        <v>84</v>
      </c>
      <c r="AF131" s="89" t="s">
        <v>2817</v>
      </c>
      <c r="AG131" s="89" t="s">
        <v>2818</v>
      </c>
      <c r="AH131" s="89" t="s">
        <v>2819</v>
      </c>
      <c r="AI131" s="89" t="s">
        <v>2820</v>
      </c>
      <c r="AJ131" s="89" t="s">
        <v>2821</v>
      </c>
      <c r="AK131" s="89" t="s">
        <v>2822</v>
      </c>
      <c r="AL131" s="89" t="s">
        <v>2823</v>
      </c>
      <c r="AM131" s="90" t="s">
        <v>2824</v>
      </c>
      <c r="AQ131" s="9"/>
      <c r="AR131" s="2"/>
      <c r="AV131" s="27"/>
    </row>
    <row r="132" customFormat="false" ht="14.25" hidden="false" customHeight="false" outlineLevel="0" collapsed="false">
      <c r="A132" s="1" t="s">
        <v>2825</v>
      </c>
      <c r="B132" s="1" t="n">
        <v>2</v>
      </c>
      <c r="C132" s="27" t="s">
        <v>2826</v>
      </c>
      <c r="D132" s="1" t="n">
        <v>121</v>
      </c>
      <c r="G132" s="27" t="s">
        <v>2827</v>
      </c>
      <c r="H132" s="89" t="s">
        <v>2828</v>
      </c>
      <c r="I132" s="89" t="s">
        <v>2829</v>
      </c>
      <c r="J132" s="90" t="s">
        <v>2830</v>
      </c>
      <c r="K132" s="89" t="s">
        <v>2831</v>
      </c>
      <c r="L132" s="89" t="s">
        <v>84</v>
      </c>
      <c r="M132" s="106" t="s">
        <v>84</v>
      </c>
      <c r="N132" s="89" t="s">
        <v>2832</v>
      </c>
      <c r="O132" s="89" t="s">
        <v>84</v>
      </c>
      <c r="P132" s="89" t="s">
        <v>84</v>
      </c>
      <c r="Q132" s="89" t="s">
        <v>84</v>
      </c>
      <c r="S132" s="73" t="s">
        <v>2833</v>
      </c>
      <c r="T132" s="89" t="s">
        <v>84</v>
      </c>
      <c r="U132" s="89" t="s">
        <v>84</v>
      </c>
      <c r="V132" s="89" t="s">
        <v>84</v>
      </c>
      <c r="W132" s="89" t="s">
        <v>84</v>
      </c>
      <c r="X132" s="89" t="s">
        <v>84</v>
      </c>
      <c r="Y132" s="89" t="s">
        <v>84</v>
      </c>
      <c r="Z132" s="89" t="s">
        <v>84</v>
      </c>
      <c r="AA132" s="89" t="s">
        <v>84</v>
      </c>
      <c r="AB132" s="89" t="s">
        <v>2834</v>
      </c>
      <c r="AD132" s="90" t="s">
        <v>84</v>
      </c>
      <c r="AF132" s="89" t="s">
        <v>2835</v>
      </c>
      <c r="AG132" s="89" t="s">
        <v>2836</v>
      </c>
      <c r="AH132" s="89" t="s">
        <v>2837</v>
      </c>
      <c r="AI132" s="89" t="s">
        <v>2838</v>
      </c>
      <c r="AJ132" s="89" t="s">
        <v>2839</v>
      </c>
      <c r="AK132" s="89" t="s">
        <v>2840</v>
      </c>
      <c r="AL132" s="89" t="s">
        <v>2841</v>
      </c>
      <c r="AM132" s="90" t="s">
        <v>2842</v>
      </c>
      <c r="AQ132" s="9"/>
      <c r="AR132" s="2"/>
      <c r="AV132" s="27"/>
    </row>
    <row r="133" customFormat="false" ht="14.25" hidden="false" customHeight="false" outlineLevel="0" collapsed="false">
      <c r="A133" s="1" t="s">
        <v>2843</v>
      </c>
      <c r="B133" s="1" t="n">
        <v>2</v>
      </c>
      <c r="C133" s="27" t="n">
        <v>2015</v>
      </c>
      <c r="D133" s="1" t="n">
        <v>2</v>
      </c>
      <c r="G133" s="27" t="s">
        <v>2844</v>
      </c>
      <c r="H133" s="89" t="s">
        <v>2845</v>
      </c>
      <c r="I133" s="89" t="s">
        <v>2243</v>
      </c>
      <c r="J133" s="90" t="s">
        <v>2846</v>
      </c>
      <c r="K133" s="89" t="s">
        <v>2847</v>
      </c>
      <c r="L133" s="89" t="s">
        <v>84</v>
      </c>
      <c r="M133" s="106" t="s">
        <v>84</v>
      </c>
      <c r="N133" s="89" t="s">
        <v>2848</v>
      </c>
      <c r="O133" s="89" t="s">
        <v>84</v>
      </c>
      <c r="P133" s="89" t="s">
        <v>84</v>
      </c>
      <c r="Q133" s="89" t="s">
        <v>84</v>
      </c>
      <c r="S133" s="73" t="s">
        <v>2849</v>
      </c>
      <c r="T133" s="89" t="s">
        <v>84</v>
      </c>
      <c r="U133" s="89" t="s">
        <v>84</v>
      </c>
      <c r="V133" s="89" t="s">
        <v>84</v>
      </c>
      <c r="W133" s="89" t="s">
        <v>84</v>
      </c>
      <c r="X133" s="89" t="s">
        <v>84</v>
      </c>
      <c r="Y133" s="89" t="s">
        <v>84</v>
      </c>
      <c r="Z133" s="89" t="s">
        <v>84</v>
      </c>
      <c r="AA133" s="89" t="s">
        <v>84</v>
      </c>
      <c r="AB133" s="89" t="s">
        <v>2850</v>
      </c>
      <c r="AD133" s="90" t="s">
        <v>84</v>
      </c>
      <c r="AF133" s="89" t="s">
        <v>2851</v>
      </c>
      <c r="AG133" s="89" t="s">
        <v>2852</v>
      </c>
      <c r="AH133" s="89" t="s">
        <v>2853</v>
      </c>
      <c r="AI133" s="89" t="s">
        <v>2854</v>
      </c>
      <c r="AJ133" s="89" t="s">
        <v>2855</v>
      </c>
      <c r="AK133" s="89" t="s">
        <v>2856</v>
      </c>
      <c r="AL133" s="89" t="s">
        <v>2857</v>
      </c>
      <c r="AM133" s="90" t="s">
        <v>2858</v>
      </c>
      <c r="AQ133" s="9"/>
      <c r="AR133" s="2"/>
      <c r="AU133" s="2"/>
      <c r="AV133" s="27"/>
    </row>
    <row r="134" customFormat="false" ht="14.25" hidden="false" customHeight="false" outlineLevel="0" collapsed="false">
      <c r="AQ134" s="9"/>
      <c r="AR134" s="2"/>
      <c r="AU134" s="2"/>
      <c r="AV134" s="27"/>
    </row>
    <row r="135" customFormat="false" ht="14.25" hidden="false" customHeight="false" outlineLevel="0" collapsed="false">
      <c r="O135" s="93"/>
      <c r="P135" s="93"/>
      <c r="Q135" s="93"/>
      <c r="R135" s="93"/>
      <c r="S135" s="93"/>
      <c r="T135" s="93"/>
      <c r="U135" s="93"/>
      <c r="AQ135" s="9"/>
      <c r="AR135" s="2"/>
    </row>
    <row r="136" customFormat="false" ht="14.25" hidden="false" customHeight="false" outlineLevel="0" collapsed="false">
      <c r="AQ136" s="9"/>
      <c r="AR136" s="2"/>
    </row>
    <row r="137" customFormat="false" ht="14.25" hidden="false" customHeight="false" outlineLevel="0" collapsed="false">
      <c r="A137" s="2"/>
      <c r="B137" s="2"/>
      <c r="AQ137" s="9"/>
      <c r="AR137" s="2"/>
    </row>
    <row r="138" customFormat="false" ht="14.25" hidden="false" customHeight="false" outlineLevel="0" collapsed="false">
      <c r="AQ138" s="9"/>
      <c r="AR138" s="2"/>
    </row>
    <row r="139" customFormat="false" ht="14.25" hidden="false" customHeight="false" outlineLevel="0" collapsed="false">
      <c r="AQ139" s="9"/>
      <c r="AR139" s="2"/>
    </row>
    <row r="140" customFormat="false" ht="14.25" hidden="false" customHeight="false" outlineLevel="0" collapsed="false">
      <c r="AQ140" s="9"/>
      <c r="AR140" s="2"/>
    </row>
    <row r="141" customFormat="false" ht="14.25" hidden="false" customHeight="false" outlineLevel="0" collapsed="false">
      <c r="E141" s="118"/>
      <c r="H141" s="93" t="s">
        <v>2859</v>
      </c>
      <c r="I141" s="1"/>
      <c r="AR141" s="2"/>
    </row>
    <row r="142" customFormat="false" ht="14.25" hidden="false" customHeight="false" outlineLevel="0" collapsed="false">
      <c r="E142" s="118"/>
      <c r="H142" s="93" t="s">
        <v>2860</v>
      </c>
      <c r="I142" s="93" t="s">
        <v>1692</v>
      </c>
      <c r="J142" s="94" t="s">
        <v>2861</v>
      </c>
      <c r="K142" s="93" t="s">
        <v>2862</v>
      </c>
      <c r="L142" s="93" t="s">
        <v>2863</v>
      </c>
      <c r="AQ142" s="9"/>
      <c r="AR142" s="2"/>
    </row>
    <row r="143" customFormat="false" ht="14.25" hidden="false" customHeight="false" outlineLevel="0" collapsed="false">
      <c r="D143" s="89"/>
      <c r="E143" s="88"/>
      <c r="H143" s="27" t="n">
        <v>49</v>
      </c>
      <c r="I143" s="0" t="n">
        <v>10.1</v>
      </c>
      <c r="J143" s="130" t="n">
        <v>4.5</v>
      </c>
      <c r="K143" s="27" t="n">
        <f aca="false">SUMPRODUCT(H143:H155,I143:I155) / SUM(H143:H155)</f>
        <v>8.46969696969697</v>
      </c>
      <c r="L143" s="27" t="n">
        <f aca="false">SQRT(SUMPRODUCT((H143:H155&gt;0),(J143:J155^2*H143:H155)+H143:H155*(I143:I155-SUMPRODUCT(H143:H155,I143:I155)/SUM(H143:H155))^2)/SUM(H143:H155))</f>
        <v>4.62058043372651</v>
      </c>
      <c r="AQ143" s="9"/>
      <c r="AR143" s="2"/>
    </row>
    <row r="144" customFormat="false" ht="14.25" hidden="false" customHeight="false" outlineLevel="0" collapsed="false">
      <c r="D144" s="89"/>
      <c r="E144" s="89"/>
      <c r="H144" s="27" t="n">
        <v>43</v>
      </c>
      <c r="I144" s="0" t="n">
        <v>7.7</v>
      </c>
      <c r="J144" s="130" t="n">
        <v>4.6</v>
      </c>
      <c r="K144" s="27"/>
      <c r="M144" s="3"/>
      <c r="AQ144" s="9"/>
      <c r="AR144" s="21"/>
    </row>
    <row r="145" customFormat="false" ht="14.25" hidden="false" customHeight="false" outlineLevel="0" collapsed="false">
      <c r="D145" s="89"/>
      <c r="E145" s="89"/>
      <c r="H145" s="27" t="n">
        <v>40</v>
      </c>
      <c r="I145" s="0" t="n">
        <v>7.3</v>
      </c>
      <c r="J145" s="130" t="n">
        <v>4.2</v>
      </c>
      <c r="M145" s="3"/>
    </row>
    <row r="146" customFormat="false" ht="14.25" hidden="false" customHeight="false" outlineLevel="0" collapsed="false">
      <c r="D146" s="89"/>
      <c r="H146" s="27"/>
      <c r="I146" s="0"/>
      <c r="J146" s="130"/>
      <c r="K146" s="27"/>
      <c r="M146" s="3"/>
    </row>
    <row r="147" customFormat="false" ht="14.25" hidden="false" customHeight="false" outlineLevel="0" collapsed="false">
      <c r="D147" s="89"/>
      <c r="E147" s="89"/>
      <c r="H147" s="27"/>
      <c r="I147" s="27"/>
      <c r="J147" s="130"/>
      <c r="M147" s="3"/>
    </row>
    <row r="148" customFormat="false" ht="14.25" hidden="false" customHeight="false" outlineLevel="0" collapsed="false">
      <c r="D148" s="89"/>
      <c r="E148" s="89"/>
      <c r="H148" s="27"/>
      <c r="I148" s="27"/>
      <c r="J148" s="130"/>
    </row>
    <row r="149" customFormat="false" ht="14.25" hidden="false" customHeight="false" outlineLevel="0" collapsed="false">
      <c r="D149" s="89"/>
      <c r="E149" s="89"/>
      <c r="H149" s="27"/>
      <c r="I149" s="27"/>
      <c r="J149" s="130"/>
    </row>
    <row r="150" customFormat="false" ht="14.25" hidden="false" customHeight="false" outlineLevel="0" collapsed="false">
      <c r="D150" s="89"/>
      <c r="H150" s="27"/>
      <c r="I150" s="27"/>
      <c r="J150" s="130"/>
    </row>
    <row r="151" customFormat="false" ht="14.25" hidden="false" customHeight="false" outlineLevel="0" collapsed="false">
      <c r="D151" s="89"/>
      <c r="H151" s="27"/>
      <c r="I151" s="27"/>
      <c r="J151" s="130"/>
    </row>
    <row r="152" customFormat="false" ht="14.25" hidden="false" customHeight="false" outlineLevel="0" collapsed="false">
      <c r="H152" s="27"/>
      <c r="I152" s="27"/>
      <c r="J152" s="130"/>
    </row>
    <row r="153" customFormat="false" ht="14.25" hidden="false" customHeight="false" outlineLevel="0" collapsed="false">
      <c r="H153" s="27"/>
      <c r="I153" s="27"/>
      <c r="J153" s="130"/>
    </row>
    <row r="154" customFormat="false" ht="14.25" hidden="false" customHeight="false" outlineLevel="0" collapsed="false">
      <c r="H154" s="27"/>
      <c r="I154" s="27"/>
      <c r="J154" s="130"/>
    </row>
    <row r="155" customFormat="false" ht="14.25" hidden="false" customHeight="false" outlineLevel="0" collapsed="false">
      <c r="H155" s="27"/>
      <c r="I155" s="27"/>
      <c r="J155" s="130"/>
    </row>
    <row r="156" customFormat="false" ht="14.25" hidden="false" customHeight="false" outlineLevel="0" collapsed="false">
      <c r="H156" s="27"/>
      <c r="I156" s="27"/>
      <c r="J156" s="130"/>
    </row>
    <row r="157" customFormat="false" ht="14.25" hidden="false" customHeight="false" outlineLevel="0" collapsed="false">
      <c r="H157" s="27"/>
      <c r="I157" s="27"/>
      <c r="J157" s="130"/>
    </row>
    <row r="158" customFormat="false" ht="14.25" hidden="false" customHeight="false" outlineLevel="0" collapsed="false">
      <c r="H158" s="27"/>
      <c r="I158" s="27"/>
      <c r="J158" s="130"/>
    </row>
    <row r="159" customFormat="false" ht="14.25" hidden="false" customHeight="false" outlineLevel="0" collapsed="false">
      <c r="H159" s="27"/>
      <c r="I159" s="27"/>
      <c r="J159" s="130"/>
    </row>
  </sheetData>
  <hyperlinks>
    <hyperlink ref="AQ61" r:id="rId1" display="https://sleeptight.isr.uc.pt/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30" activeCellId="0" sqref="A30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3.26"/>
    <col collapsed="false" customWidth="true" hidden="false" outlineLevel="0" max="2" min="2" style="1" width="10.91"/>
    <col collapsed="false" customWidth="true" hidden="false" outlineLevel="0" max="3" min="3" style="27" width="10.91"/>
    <col collapsed="false" customWidth="true" hidden="false" outlineLevel="0" max="5" min="5" style="27" width="9.82"/>
    <col collapsed="false" customWidth="true" hidden="false" outlineLevel="0" max="6" min="6" style="27" width="13.82"/>
    <col collapsed="false" customWidth="true" hidden="false" outlineLevel="0" max="7" min="7" style="89" width="17.54"/>
    <col collapsed="false" customWidth="true" hidden="false" outlineLevel="0" max="8" min="8" style="89" width="14.91"/>
    <col collapsed="false" customWidth="true" hidden="false" outlineLevel="0" max="9" min="9" style="90" width="19.37"/>
    <col collapsed="false" customWidth="true" hidden="false" outlineLevel="0" max="11" min="10" style="89" width="20.73"/>
    <col collapsed="false" customWidth="true" hidden="false" outlineLevel="0" max="12" min="12" style="90" width="20.73"/>
    <col collapsed="false" customWidth="true" hidden="false" outlineLevel="0" max="13" min="13" style="89" width="12.73"/>
    <col collapsed="false" customWidth="true" hidden="false" outlineLevel="0" max="20" min="14" style="89" width="19.37"/>
    <col collapsed="false" customWidth="true" hidden="false" outlineLevel="0" max="27" min="21" style="89" width="12.73"/>
    <col collapsed="false" customWidth="true" hidden="false" outlineLevel="0" max="28" min="28" style="90" width="12.73"/>
    <col collapsed="false" customWidth="true" hidden="false" outlineLevel="0" max="29" min="29" style="89" width="17.82"/>
    <col collapsed="false" customWidth="true" hidden="false" outlineLevel="0" max="30" min="30" style="89" width="13.18"/>
    <col collapsed="false" customWidth="true" hidden="false" outlineLevel="0" max="36" min="31" style="89" width="12.73"/>
    <col collapsed="false" customWidth="true" hidden="false" outlineLevel="0" max="37" min="37" style="90" width="12.73"/>
    <col collapsed="false" customWidth="true" hidden="false" outlineLevel="0" max="38" min="38" style="91" width="49.36"/>
    <col collapsed="false" customWidth="true" hidden="false" outlineLevel="0" max="39" min="39" style="91" width="11.73"/>
    <col collapsed="false" customWidth="true" hidden="false" outlineLevel="0" max="40" min="40" style="1" width="48"/>
    <col collapsed="false" customWidth="true" hidden="false" outlineLevel="0" max="41" min="41" style="1" width="35.27"/>
    <col collapsed="false" customWidth="true" hidden="false" outlineLevel="0" max="43" min="43" style="1" width="16.36"/>
    <col collapsed="false" customWidth="true" hidden="false" outlineLevel="0" max="44" min="44" style="1" width="15.82"/>
    <col collapsed="false" customWidth="true" hidden="false" outlineLevel="0" max="45" min="45" style="1" width="14.82"/>
    <col collapsed="false" customWidth="true" hidden="false" outlineLevel="0" max="46" min="46" style="1" width="15"/>
  </cols>
  <sheetData>
    <row r="1" customFormat="false" ht="14.25" hidden="false" customHeight="false" outlineLevel="0" collapsed="false">
      <c r="A1" s="87" t="s">
        <v>1721</v>
      </c>
      <c r="B1" s="92" t="s">
        <v>1722</v>
      </c>
      <c r="C1" s="92" t="s">
        <v>3</v>
      </c>
      <c r="D1" s="87" t="s">
        <v>1723</v>
      </c>
      <c r="E1" s="92" t="s">
        <v>1724</v>
      </c>
      <c r="F1" s="92" t="s">
        <v>1725</v>
      </c>
      <c r="G1" s="93" t="s">
        <v>15</v>
      </c>
      <c r="H1" s="93" t="s">
        <v>2864</v>
      </c>
      <c r="I1" s="94" t="s">
        <v>1691</v>
      </c>
      <c r="J1" s="95" t="s">
        <v>1706</v>
      </c>
      <c r="K1" s="93" t="s">
        <v>1728</v>
      </c>
      <c r="L1" s="94" t="s">
        <v>1729</v>
      </c>
      <c r="M1" s="93" t="s">
        <v>1730</v>
      </c>
      <c r="N1" s="93" t="s">
        <v>1731</v>
      </c>
      <c r="O1" s="93" t="s">
        <v>1732</v>
      </c>
      <c r="P1" s="93" t="s">
        <v>1733</v>
      </c>
      <c r="Q1" s="96" t="s">
        <v>2865</v>
      </c>
      <c r="R1" s="96" t="s">
        <v>2866</v>
      </c>
      <c r="S1" s="96" t="s">
        <v>2867</v>
      </c>
      <c r="T1" s="96" t="s">
        <v>2868</v>
      </c>
      <c r="U1" s="93" t="s">
        <v>1738</v>
      </c>
      <c r="V1" s="93" t="s">
        <v>1739</v>
      </c>
      <c r="W1" s="96" t="s">
        <v>2869</v>
      </c>
      <c r="X1" s="93" t="s">
        <v>1741</v>
      </c>
      <c r="Y1" s="93" t="s">
        <v>1742</v>
      </c>
      <c r="Z1" s="96" t="s">
        <v>2870</v>
      </c>
      <c r="AA1" s="96" t="s">
        <v>2871</v>
      </c>
      <c r="AB1" s="94" t="s">
        <v>1746</v>
      </c>
      <c r="AC1" s="93" t="s">
        <v>1747</v>
      </c>
      <c r="AD1" s="93" t="s">
        <v>1748</v>
      </c>
      <c r="AE1" s="93" t="s">
        <v>1749</v>
      </c>
      <c r="AF1" s="93" t="s">
        <v>1750</v>
      </c>
      <c r="AG1" s="93" t="s">
        <v>1751</v>
      </c>
      <c r="AH1" s="93" t="s">
        <v>1752</v>
      </c>
      <c r="AI1" s="93" t="s">
        <v>1753</v>
      </c>
      <c r="AJ1" s="93" t="s">
        <v>1754</v>
      </c>
      <c r="AK1" s="94" t="s">
        <v>1755</v>
      </c>
      <c r="AL1" s="97" t="s">
        <v>1756</v>
      </c>
      <c r="AM1" s="97" t="s">
        <v>1757</v>
      </c>
      <c r="AN1" s="87"/>
      <c r="AO1" s="98"/>
      <c r="AP1" s="2"/>
    </row>
    <row r="2" customFormat="false" ht="14.25" hidden="false" customHeight="false" outlineLevel="0" collapsed="false">
      <c r="A2" s="99" t="s">
        <v>1760</v>
      </c>
      <c r="B2" s="1" t="n">
        <v>1</v>
      </c>
      <c r="C2" s="27" t="s">
        <v>4</v>
      </c>
      <c r="D2" s="1" t="n">
        <v>49</v>
      </c>
      <c r="E2" s="100" t="n">
        <v>132</v>
      </c>
      <c r="F2" s="27" t="s">
        <v>67</v>
      </c>
      <c r="G2" s="101" t="s">
        <v>2872</v>
      </c>
      <c r="H2" s="89" t="s">
        <v>2873</v>
      </c>
      <c r="I2" s="90" t="s">
        <v>1763</v>
      </c>
      <c r="J2" s="89" t="s">
        <v>2874</v>
      </c>
      <c r="M2" s="89" t="s">
        <v>1780</v>
      </c>
      <c r="N2" s="89" t="s">
        <v>84</v>
      </c>
      <c r="Q2" s="89" t="s">
        <v>84</v>
      </c>
      <c r="R2" s="89" t="s">
        <v>84</v>
      </c>
      <c r="S2" s="89" t="s">
        <v>84</v>
      </c>
      <c r="T2" s="89" t="s">
        <v>84</v>
      </c>
      <c r="U2" s="89" t="s">
        <v>84</v>
      </c>
      <c r="X2" s="89" t="s">
        <v>84</v>
      </c>
      <c r="Z2" s="73"/>
      <c r="AA2" s="73"/>
      <c r="AB2" s="90" t="s">
        <v>84</v>
      </c>
      <c r="AC2" s="89" t="s">
        <v>1766</v>
      </c>
      <c r="AD2" s="101" t="s">
        <v>1767</v>
      </c>
      <c r="AE2" s="89" t="s">
        <v>1768</v>
      </c>
      <c r="AF2" s="89" t="s">
        <v>1769</v>
      </c>
      <c r="AG2" s="89" t="s">
        <v>1770</v>
      </c>
      <c r="AH2" s="101" t="s">
        <v>1771</v>
      </c>
      <c r="AI2" s="101" t="s">
        <v>1772</v>
      </c>
      <c r="AJ2" s="101" t="s">
        <v>1773</v>
      </c>
      <c r="AK2" s="104" t="s">
        <v>1774</v>
      </c>
      <c r="AL2" s="91" t="s">
        <v>1775</v>
      </c>
      <c r="AM2" s="91" t="s">
        <v>1776</v>
      </c>
      <c r="AO2" s="9"/>
      <c r="AP2" s="14"/>
    </row>
    <row r="3" customFormat="false" ht="14.25" hidden="false" customHeight="false" outlineLevel="0" collapsed="false">
      <c r="A3" s="87"/>
      <c r="D3" s="1"/>
      <c r="G3" s="105"/>
      <c r="Z3" s="73"/>
      <c r="AA3" s="73"/>
      <c r="AD3" s="105"/>
      <c r="AH3" s="105"/>
      <c r="AI3" s="105"/>
      <c r="AJ3" s="105"/>
      <c r="AK3" s="106"/>
      <c r="AO3" s="9"/>
      <c r="AP3" s="14"/>
      <c r="AU3" s="1"/>
      <c r="AV3" s="1"/>
      <c r="AW3" s="1"/>
      <c r="AX3" s="1"/>
      <c r="AY3" s="1"/>
      <c r="AZ3" s="1"/>
    </row>
    <row r="4" s="1" customFormat="true" ht="14.25" hidden="false" customHeight="false" outlineLevel="0" collapsed="false">
      <c r="A4" s="99" t="s">
        <v>81</v>
      </c>
      <c r="B4" s="1" t="n">
        <v>1</v>
      </c>
      <c r="C4" s="27" t="n">
        <v>2024</v>
      </c>
      <c r="D4" s="1" t="n">
        <v>29</v>
      </c>
      <c r="E4" s="100" t="n">
        <v>29</v>
      </c>
      <c r="F4" s="27" t="s">
        <v>67</v>
      </c>
      <c r="G4" s="89" t="s">
        <v>1812</v>
      </c>
      <c r="H4" s="89" t="s">
        <v>86</v>
      </c>
      <c r="I4" s="90" t="s">
        <v>2875</v>
      </c>
      <c r="J4" s="89" t="s">
        <v>2876</v>
      </c>
      <c r="K4" s="89" t="s">
        <v>84</v>
      </c>
      <c r="L4" s="90" t="s">
        <v>84</v>
      </c>
      <c r="M4" s="89" t="s">
        <v>84</v>
      </c>
      <c r="N4" s="89" t="s">
        <v>84</v>
      </c>
      <c r="O4" s="89"/>
      <c r="P4" s="89"/>
      <c r="Q4" s="89" t="s">
        <v>84</v>
      </c>
      <c r="R4" s="89" t="s">
        <v>84</v>
      </c>
      <c r="S4" s="89" t="s">
        <v>84</v>
      </c>
      <c r="T4" s="89" t="s">
        <v>84</v>
      </c>
      <c r="U4" s="89" t="s">
        <v>84</v>
      </c>
      <c r="V4" s="89"/>
      <c r="W4" s="89"/>
      <c r="X4" s="89" t="s">
        <v>84</v>
      </c>
      <c r="Y4" s="89"/>
      <c r="Z4" s="89"/>
      <c r="AA4" s="89"/>
      <c r="AB4" s="90" t="s">
        <v>84</v>
      </c>
      <c r="AC4" s="101" t="s">
        <v>1816</v>
      </c>
      <c r="AD4" s="101" t="s">
        <v>1817</v>
      </c>
      <c r="AE4" s="101" t="s">
        <v>1818</v>
      </c>
      <c r="AF4" s="101" t="s">
        <v>1819</v>
      </c>
      <c r="AG4" s="101" t="s">
        <v>1820</v>
      </c>
      <c r="AH4" s="101" t="s">
        <v>1821</v>
      </c>
      <c r="AI4" s="101" t="s">
        <v>1822</v>
      </c>
      <c r="AJ4" s="101" t="s">
        <v>1823</v>
      </c>
      <c r="AK4" s="104" t="s">
        <v>1824</v>
      </c>
      <c r="AL4" s="91" t="s">
        <v>1825</v>
      </c>
      <c r="AM4" s="91" t="s">
        <v>1826</v>
      </c>
      <c r="AO4" s="9"/>
      <c r="AP4" s="2"/>
      <c r="AU4" s="0"/>
      <c r="AV4" s="0"/>
      <c r="AW4" s="0"/>
      <c r="AX4" s="0"/>
      <c r="AY4" s="0"/>
      <c r="AZ4" s="0"/>
    </row>
    <row r="5" customFormat="false" ht="14.25" hidden="false" customHeight="false" outlineLevel="0" collapsed="false">
      <c r="A5" s="87"/>
      <c r="D5" s="1"/>
      <c r="AC5" s="105"/>
      <c r="AD5" s="105"/>
      <c r="AE5" s="105"/>
      <c r="AF5" s="105"/>
      <c r="AG5" s="105"/>
      <c r="AH5" s="105"/>
      <c r="AI5" s="105"/>
      <c r="AJ5" s="105"/>
      <c r="AK5" s="106"/>
      <c r="AO5" s="9"/>
      <c r="AP5" s="2"/>
      <c r="AU5" s="1"/>
      <c r="AV5" s="1"/>
      <c r="AW5" s="1"/>
      <c r="AX5" s="1"/>
      <c r="AY5" s="1"/>
      <c r="AZ5" s="1"/>
    </row>
    <row r="6" s="1" customFormat="true" ht="14.25" hidden="false" customHeight="false" outlineLevel="0" collapsed="false">
      <c r="A6" s="99" t="s">
        <v>1829</v>
      </c>
      <c r="B6" s="1" t="n">
        <v>1</v>
      </c>
      <c r="C6" s="27" t="s">
        <v>106</v>
      </c>
      <c r="D6" s="1" t="n">
        <v>712</v>
      </c>
      <c r="E6" s="100" t="n">
        <v>712</v>
      </c>
      <c r="F6" s="27" t="s">
        <v>114</v>
      </c>
      <c r="G6" s="101" t="s">
        <v>2877</v>
      </c>
      <c r="H6" s="89" t="s">
        <v>111</v>
      </c>
      <c r="I6" s="90" t="s">
        <v>1833</v>
      </c>
      <c r="J6" s="89" t="s">
        <v>84</v>
      </c>
      <c r="K6" s="89"/>
      <c r="L6" s="90"/>
      <c r="M6" s="89" t="s">
        <v>84</v>
      </c>
      <c r="N6" s="89" t="s">
        <v>84</v>
      </c>
      <c r="O6" s="89"/>
      <c r="P6" s="89"/>
      <c r="Q6" s="89" t="s">
        <v>84</v>
      </c>
      <c r="R6" s="89" t="s">
        <v>84</v>
      </c>
      <c r="S6" s="89" t="s">
        <v>84</v>
      </c>
      <c r="T6" s="89" t="s">
        <v>84</v>
      </c>
      <c r="U6" s="89" t="s">
        <v>84</v>
      </c>
      <c r="V6" s="89"/>
      <c r="W6" s="89"/>
      <c r="X6" s="89" t="s">
        <v>84</v>
      </c>
      <c r="Y6" s="89"/>
      <c r="Z6" s="89"/>
      <c r="AA6" s="89"/>
      <c r="AB6" s="90" t="s">
        <v>84</v>
      </c>
      <c r="AC6" s="89" t="s">
        <v>1834</v>
      </c>
      <c r="AD6" s="101" t="s">
        <v>1835</v>
      </c>
      <c r="AE6" s="89" t="s">
        <v>1836</v>
      </c>
      <c r="AF6" s="89" t="s">
        <v>1837</v>
      </c>
      <c r="AG6" s="89" t="s">
        <v>1838</v>
      </c>
      <c r="AH6" s="101" t="s">
        <v>1839</v>
      </c>
      <c r="AI6" s="101" t="s">
        <v>1840</v>
      </c>
      <c r="AJ6" s="101" t="s">
        <v>1841</v>
      </c>
      <c r="AK6" s="104" t="s">
        <v>1842</v>
      </c>
      <c r="AL6" s="107" t="s">
        <v>1843</v>
      </c>
      <c r="AM6" s="91" t="s">
        <v>1776</v>
      </c>
      <c r="AO6" s="9"/>
      <c r="AP6" s="2"/>
      <c r="AU6" s="0"/>
      <c r="AV6" s="0"/>
      <c r="AW6" s="0"/>
      <c r="AX6" s="0"/>
      <c r="AY6" s="0"/>
      <c r="AZ6" s="0"/>
    </row>
    <row r="7" customFormat="false" ht="14.25" hidden="false" customHeight="false" outlineLevel="0" collapsed="false">
      <c r="A7" s="87"/>
      <c r="D7" s="1"/>
      <c r="G7" s="105"/>
      <c r="AD7" s="105"/>
      <c r="AH7" s="105"/>
      <c r="AI7" s="105"/>
      <c r="AJ7" s="105"/>
      <c r="AK7" s="106"/>
      <c r="AL7" s="107"/>
      <c r="AO7" s="9"/>
      <c r="AP7" s="2"/>
      <c r="AU7" s="1"/>
      <c r="AV7" s="1"/>
      <c r="AW7" s="1"/>
      <c r="AX7" s="1"/>
      <c r="AY7" s="1"/>
      <c r="AZ7" s="1"/>
    </row>
    <row r="8" s="1" customFormat="true" ht="14.25" hidden="false" customHeight="false" outlineLevel="0" collapsed="false">
      <c r="A8" s="99" t="s">
        <v>1846</v>
      </c>
      <c r="B8" s="1" t="n">
        <v>1</v>
      </c>
      <c r="C8" s="27" t="s">
        <v>121</v>
      </c>
      <c r="D8" s="1" t="n">
        <v>1516</v>
      </c>
      <c r="E8" s="100" t="n">
        <v>1104</v>
      </c>
      <c r="F8" s="27" t="s">
        <v>114</v>
      </c>
      <c r="G8" s="101" t="s">
        <v>2878</v>
      </c>
      <c r="H8" s="89" t="s">
        <v>129</v>
      </c>
      <c r="I8" s="90" t="s">
        <v>1849</v>
      </c>
      <c r="J8" s="89" t="s">
        <v>1850</v>
      </c>
      <c r="K8" s="89" t="s">
        <v>1851</v>
      </c>
      <c r="L8" s="90" t="s">
        <v>1852</v>
      </c>
      <c r="M8" s="89" t="s">
        <v>84</v>
      </c>
      <c r="N8" s="89" t="s">
        <v>84</v>
      </c>
      <c r="O8" s="89"/>
      <c r="P8" s="89"/>
      <c r="Q8" s="89" t="s">
        <v>84</v>
      </c>
      <c r="R8" s="89" t="s">
        <v>1853</v>
      </c>
      <c r="S8" s="89" t="s">
        <v>84</v>
      </c>
      <c r="T8" s="89" t="s">
        <v>84</v>
      </c>
      <c r="U8" s="89" t="s">
        <v>84</v>
      </c>
      <c r="V8" s="89"/>
      <c r="W8" s="89"/>
      <c r="X8" s="89" t="s">
        <v>1854</v>
      </c>
      <c r="Y8" s="89"/>
      <c r="Z8" s="89"/>
      <c r="AA8" s="89"/>
      <c r="AB8" s="90" t="s">
        <v>1855</v>
      </c>
      <c r="AC8" s="101" t="s">
        <v>1856</v>
      </c>
      <c r="AD8" s="101" t="s">
        <v>1857</v>
      </c>
      <c r="AE8" s="101" t="s">
        <v>1858</v>
      </c>
      <c r="AF8" s="101" t="s">
        <v>1859</v>
      </c>
      <c r="AG8" s="101" t="s">
        <v>1860</v>
      </c>
      <c r="AH8" s="101" t="s">
        <v>1861</v>
      </c>
      <c r="AI8" s="101" t="s">
        <v>1862</v>
      </c>
      <c r="AJ8" s="101" t="s">
        <v>1863</v>
      </c>
      <c r="AK8" s="104" t="s">
        <v>1864</v>
      </c>
      <c r="AL8" s="91" t="s">
        <v>1865</v>
      </c>
      <c r="AM8" s="91" t="s">
        <v>1776</v>
      </c>
      <c r="AO8" s="9"/>
      <c r="AP8" s="2"/>
      <c r="AU8" s="0"/>
      <c r="AV8" s="0"/>
      <c r="AW8" s="0"/>
      <c r="AX8" s="0"/>
      <c r="AY8" s="0"/>
      <c r="AZ8" s="0"/>
    </row>
    <row r="9" customFormat="false" ht="14.25" hidden="false" customHeight="false" outlineLevel="0" collapsed="false">
      <c r="A9" s="87"/>
      <c r="D9" s="1"/>
      <c r="G9" s="105"/>
      <c r="AC9" s="105"/>
      <c r="AD9" s="105"/>
      <c r="AE9" s="105"/>
      <c r="AF9" s="105"/>
      <c r="AG9" s="105"/>
      <c r="AH9" s="105"/>
      <c r="AI9" s="105"/>
      <c r="AJ9" s="105"/>
      <c r="AK9" s="106"/>
      <c r="AO9" s="9"/>
      <c r="AP9" s="2"/>
      <c r="AU9" s="1"/>
      <c r="AV9" s="1"/>
      <c r="AW9" s="1"/>
      <c r="AX9" s="1"/>
      <c r="AY9" s="1"/>
      <c r="AZ9" s="1"/>
    </row>
    <row r="10" s="1" customFormat="true" ht="14.25" hidden="false" customHeight="false" outlineLevel="0" collapsed="false">
      <c r="A10" s="99" t="s">
        <v>1868</v>
      </c>
      <c r="B10" s="1" t="n">
        <v>1</v>
      </c>
      <c r="C10" s="27" t="s">
        <v>4</v>
      </c>
      <c r="D10" s="1" t="n">
        <v>169</v>
      </c>
      <c r="E10" s="100" t="n">
        <v>518</v>
      </c>
      <c r="F10" s="27" t="s">
        <v>67</v>
      </c>
      <c r="G10" s="101" t="s">
        <v>2879</v>
      </c>
      <c r="H10" s="89" t="s">
        <v>168</v>
      </c>
      <c r="I10" s="90" t="s">
        <v>1872</v>
      </c>
      <c r="J10" s="89" t="s">
        <v>1873</v>
      </c>
      <c r="K10" s="89" t="s">
        <v>84</v>
      </c>
      <c r="L10" s="90" t="s">
        <v>84</v>
      </c>
      <c r="M10" s="89" t="s">
        <v>1874</v>
      </c>
      <c r="N10" s="89" t="s">
        <v>1875</v>
      </c>
      <c r="O10" s="89"/>
      <c r="P10" s="89"/>
      <c r="Q10" s="89" t="s">
        <v>84</v>
      </c>
      <c r="R10" s="89" t="s">
        <v>84</v>
      </c>
      <c r="S10" s="89" t="s">
        <v>84</v>
      </c>
      <c r="T10" s="89" t="s">
        <v>84</v>
      </c>
      <c r="U10" s="89" t="s">
        <v>84</v>
      </c>
      <c r="V10" s="89"/>
      <c r="W10" s="89" t="s">
        <v>1876</v>
      </c>
      <c r="X10" s="89" t="s">
        <v>84</v>
      </c>
      <c r="Y10" s="89"/>
      <c r="Z10" s="89" t="s">
        <v>1877</v>
      </c>
      <c r="AA10" s="89"/>
      <c r="AB10" s="90" t="s">
        <v>84</v>
      </c>
      <c r="AC10" s="89" t="s">
        <v>84</v>
      </c>
      <c r="AD10" s="89" t="s">
        <v>84</v>
      </c>
      <c r="AE10" s="89" t="s">
        <v>1878</v>
      </c>
      <c r="AF10" s="89" t="s">
        <v>84</v>
      </c>
      <c r="AG10" s="89" t="s">
        <v>1879</v>
      </c>
      <c r="AH10" s="101" t="s">
        <v>84</v>
      </c>
      <c r="AI10" s="101" t="s">
        <v>84</v>
      </c>
      <c r="AJ10" s="101" t="s">
        <v>84</v>
      </c>
      <c r="AK10" s="104" t="s">
        <v>84</v>
      </c>
      <c r="AL10" s="91" t="s">
        <v>1880</v>
      </c>
      <c r="AM10" s="91" t="s">
        <v>1776</v>
      </c>
      <c r="AO10" s="9"/>
      <c r="AP10" s="2"/>
      <c r="AU10" s="0"/>
      <c r="AV10" s="0"/>
      <c r="AW10" s="0"/>
      <c r="AX10" s="0"/>
      <c r="AY10" s="0"/>
      <c r="AZ10" s="0"/>
    </row>
    <row r="11" s="1" customFormat="true" ht="14.25" hidden="false" customHeight="false" outlineLevel="0" collapsed="false">
      <c r="A11" s="87"/>
      <c r="C11" s="27"/>
      <c r="E11" s="27"/>
      <c r="F11" s="27"/>
      <c r="G11" s="105"/>
      <c r="H11" s="89"/>
      <c r="I11" s="90"/>
      <c r="J11" s="89"/>
      <c r="K11" s="89"/>
      <c r="L11" s="90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90"/>
      <c r="AC11" s="89"/>
      <c r="AD11" s="89"/>
      <c r="AE11" s="89"/>
      <c r="AF11" s="89"/>
      <c r="AG11" s="89"/>
      <c r="AH11" s="105"/>
      <c r="AI11" s="105"/>
      <c r="AJ11" s="105"/>
      <c r="AK11" s="106"/>
      <c r="AL11" s="91"/>
      <c r="AM11" s="91"/>
      <c r="AO11" s="9"/>
      <c r="AP11" s="2"/>
    </row>
    <row r="12" s="1" customFormat="true" ht="16.25" hidden="false" customHeight="false" outlineLevel="0" collapsed="false">
      <c r="A12" s="99" t="s">
        <v>1885</v>
      </c>
      <c r="B12" s="1" t="n">
        <v>1</v>
      </c>
      <c r="C12" s="27" t="n">
        <v>2024</v>
      </c>
      <c r="D12" s="1" t="n">
        <v>128</v>
      </c>
      <c r="E12" s="27" t="n">
        <v>128</v>
      </c>
      <c r="F12" s="27" t="s">
        <v>67</v>
      </c>
      <c r="G12" s="105" t="s">
        <v>2880</v>
      </c>
      <c r="H12" s="89" t="s">
        <v>2881</v>
      </c>
      <c r="I12" s="90" t="s">
        <v>1889</v>
      </c>
      <c r="J12" s="89" t="s">
        <v>84</v>
      </c>
      <c r="K12" s="89" t="s">
        <v>84</v>
      </c>
      <c r="L12" s="90" t="s">
        <v>84</v>
      </c>
      <c r="M12" s="89" t="s">
        <v>84</v>
      </c>
      <c r="N12" s="89" t="s">
        <v>84</v>
      </c>
      <c r="O12" s="89" t="s">
        <v>84</v>
      </c>
      <c r="P12" s="89" t="s">
        <v>84</v>
      </c>
      <c r="Q12" s="89" t="s">
        <v>84</v>
      </c>
      <c r="R12" s="89" t="s">
        <v>84</v>
      </c>
      <c r="S12" s="89" t="s">
        <v>84</v>
      </c>
      <c r="T12" s="89" t="s">
        <v>84</v>
      </c>
      <c r="U12" s="89" t="s">
        <v>84</v>
      </c>
      <c r="V12" s="89" t="s">
        <v>84</v>
      </c>
      <c r="W12" s="89" t="s">
        <v>84</v>
      </c>
      <c r="X12" s="89" t="s">
        <v>84</v>
      </c>
      <c r="Y12" s="89" t="s">
        <v>84</v>
      </c>
      <c r="Z12" s="89" t="s">
        <v>84</v>
      </c>
      <c r="AA12" s="89" t="s">
        <v>84</v>
      </c>
      <c r="AB12" s="90" t="s">
        <v>84</v>
      </c>
      <c r="AC12" s="89" t="s">
        <v>1890</v>
      </c>
      <c r="AD12" s="89" t="s">
        <v>1891</v>
      </c>
      <c r="AE12" s="89" t="s">
        <v>1892</v>
      </c>
      <c r="AF12" s="89" t="s">
        <v>1893</v>
      </c>
      <c r="AG12" s="89" t="s">
        <v>1894</v>
      </c>
      <c r="AH12" s="105" t="s">
        <v>1895</v>
      </c>
      <c r="AI12" s="105" t="s">
        <v>1896</v>
      </c>
      <c r="AJ12" s="105" t="s">
        <v>1897</v>
      </c>
      <c r="AK12" s="106" t="s">
        <v>1898</v>
      </c>
      <c r="AL12" s="108" t="s">
        <v>1899</v>
      </c>
      <c r="AM12" s="91" t="s">
        <v>1826</v>
      </c>
      <c r="AO12" s="9"/>
      <c r="AP12" s="2"/>
    </row>
    <row r="13" customFormat="false" ht="14.25" hidden="false" customHeight="false" outlineLevel="0" collapsed="false">
      <c r="A13" s="87"/>
      <c r="D13" s="1"/>
      <c r="G13" s="105"/>
      <c r="AH13" s="105"/>
      <c r="AI13" s="105"/>
      <c r="AJ13" s="105"/>
      <c r="AK13" s="106"/>
      <c r="AO13" s="9"/>
      <c r="AP13" s="2"/>
      <c r="AU13" s="1"/>
      <c r="AV13" s="1"/>
      <c r="AW13" s="1"/>
      <c r="AX13" s="1"/>
      <c r="AY13" s="1"/>
      <c r="AZ13" s="1"/>
    </row>
    <row r="14" s="1" customFormat="true" ht="14.25" hidden="false" customHeight="false" outlineLevel="0" collapsed="false">
      <c r="A14" s="99" t="s">
        <v>1677</v>
      </c>
      <c r="B14" s="1" t="n">
        <v>1</v>
      </c>
      <c r="C14" s="27" t="n">
        <v>2012</v>
      </c>
      <c r="D14" s="1" t="n">
        <v>108</v>
      </c>
      <c r="E14" s="100" t="n">
        <v>108</v>
      </c>
      <c r="F14" s="27" t="s">
        <v>114</v>
      </c>
      <c r="G14" s="101" t="s">
        <v>2882</v>
      </c>
      <c r="H14" s="89" t="s">
        <v>2883</v>
      </c>
      <c r="I14" s="90" t="s">
        <v>84</v>
      </c>
      <c r="J14" s="89" t="s">
        <v>84</v>
      </c>
      <c r="K14" s="89" t="s">
        <v>84</v>
      </c>
      <c r="L14" s="90" t="s">
        <v>84</v>
      </c>
      <c r="M14" s="89" t="s">
        <v>84</v>
      </c>
      <c r="N14" s="89" t="s">
        <v>84</v>
      </c>
      <c r="O14" s="89"/>
      <c r="P14" s="89"/>
      <c r="Q14" s="89" t="s">
        <v>84</v>
      </c>
      <c r="R14" s="89" t="s">
        <v>84</v>
      </c>
      <c r="S14" s="89" t="s">
        <v>84</v>
      </c>
      <c r="T14" s="89" t="s">
        <v>84</v>
      </c>
      <c r="U14" s="89" t="s">
        <v>84</v>
      </c>
      <c r="V14" s="89"/>
      <c r="W14" s="89" t="s">
        <v>84</v>
      </c>
      <c r="X14" s="89" t="s">
        <v>84</v>
      </c>
      <c r="Y14" s="89"/>
      <c r="Z14" s="89" t="s">
        <v>84</v>
      </c>
      <c r="AA14" s="89"/>
      <c r="AB14" s="90" t="s">
        <v>84</v>
      </c>
      <c r="AC14" s="89" t="s">
        <v>1904</v>
      </c>
      <c r="AD14" s="89" t="s">
        <v>1905</v>
      </c>
      <c r="AE14" s="89" t="s">
        <v>1906</v>
      </c>
      <c r="AF14" s="89" t="s">
        <v>1907</v>
      </c>
      <c r="AG14" s="89" t="s">
        <v>1908</v>
      </c>
      <c r="AH14" s="89" t="s">
        <v>1909</v>
      </c>
      <c r="AI14" s="89" t="s">
        <v>1910</v>
      </c>
      <c r="AJ14" s="89" t="s">
        <v>1911</v>
      </c>
      <c r="AK14" s="90" t="s">
        <v>1912</v>
      </c>
      <c r="AL14" s="91" t="s">
        <v>1913</v>
      </c>
      <c r="AM14" s="91" t="s">
        <v>1826</v>
      </c>
      <c r="AO14" s="9"/>
      <c r="AP14" s="2"/>
      <c r="AU14" s="0"/>
      <c r="AV14" s="0"/>
      <c r="AW14" s="0"/>
      <c r="AX14" s="0"/>
      <c r="AY14" s="0"/>
      <c r="AZ14" s="0"/>
    </row>
    <row r="15" customFormat="false" ht="14.25" hidden="false" customHeight="false" outlineLevel="0" collapsed="false">
      <c r="A15" s="87"/>
      <c r="D15" s="1"/>
      <c r="G15" s="105"/>
      <c r="AO15" s="9"/>
      <c r="AP15" s="2"/>
      <c r="AU15" s="1"/>
      <c r="AV15" s="1"/>
      <c r="AW15" s="1"/>
      <c r="AX15" s="1"/>
      <c r="AY15" s="1"/>
      <c r="AZ15" s="1"/>
    </row>
    <row r="16" s="1" customFormat="true" ht="14.25" hidden="false" customHeight="false" outlineLevel="0" collapsed="false">
      <c r="A16" s="99" t="s">
        <v>1916</v>
      </c>
      <c r="B16" s="1" t="n">
        <v>1</v>
      </c>
      <c r="C16" s="27" t="s">
        <v>1917</v>
      </c>
      <c r="D16" s="1" t="n">
        <v>517</v>
      </c>
      <c r="E16" s="100" t="n">
        <v>515</v>
      </c>
      <c r="F16" s="27" t="s">
        <v>67</v>
      </c>
      <c r="G16" s="101" t="s">
        <v>2884</v>
      </c>
      <c r="H16" s="89" t="s">
        <v>2885</v>
      </c>
      <c r="I16" s="90" t="s">
        <v>1921</v>
      </c>
      <c r="J16" s="89" t="s">
        <v>1922</v>
      </c>
      <c r="K16" s="89" t="s">
        <v>1923</v>
      </c>
      <c r="L16" s="90" t="s">
        <v>1924</v>
      </c>
      <c r="M16" s="89" t="s">
        <v>1925</v>
      </c>
      <c r="N16" s="89" t="s">
        <v>84</v>
      </c>
      <c r="O16" s="89"/>
      <c r="P16" s="89"/>
      <c r="Q16" s="89" t="s">
        <v>84</v>
      </c>
      <c r="R16" s="89" t="s">
        <v>84</v>
      </c>
      <c r="S16" s="89" t="s">
        <v>84</v>
      </c>
      <c r="T16" s="89" t="s">
        <v>84</v>
      </c>
      <c r="U16" s="89" t="s">
        <v>84</v>
      </c>
      <c r="V16" s="89"/>
      <c r="W16" s="89" t="s">
        <v>84</v>
      </c>
      <c r="X16" s="89" t="s">
        <v>84</v>
      </c>
      <c r="Y16" s="89"/>
      <c r="Z16" s="89" t="s">
        <v>84</v>
      </c>
      <c r="AA16" s="89"/>
      <c r="AB16" s="90" t="s">
        <v>84</v>
      </c>
      <c r="AC16" s="89" t="s">
        <v>1926</v>
      </c>
      <c r="AD16" s="101" t="s">
        <v>1927</v>
      </c>
      <c r="AE16" s="89" t="s">
        <v>1928</v>
      </c>
      <c r="AF16" s="89" t="s">
        <v>1929</v>
      </c>
      <c r="AG16" s="89" t="s">
        <v>1930</v>
      </c>
      <c r="AH16" s="101" t="s">
        <v>1931</v>
      </c>
      <c r="AI16" s="101" t="s">
        <v>1932</v>
      </c>
      <c r="AJ16" s="101" t="s">
        <v>1933</v>
      </c>
      <c r="AK16" s="104" t="s">
        <v>1934</v>
      </c>
      <c r="AL16" s="91" t="s">
        <v>1935</v>
      </c>
      <c r="AM16" s="91" t="s">
        <v>1776</v>
      </c>
      <c r="AO16" s="9"/>
      <c r="AP16" s="2"/>
      <c r="AU16" s="0"/>
      <c r="AV16" s="0"/>
      <c r="AW16" s="0"/>
      <c r="AX16" s="0"/>
      <c r="AY16" s="0"/>
      <c r="AZ16" s="0"/>
    </row>
    <row r="17" customFormat="false" ht="14.25" hidden="false" customHeight="false" outlineLevel="0" collapsed="false">
      <c r="A17" s="87"/>
      <c r="D17" s="1"/>
      <c r="G17" s="105"/>
      <c r="AD17" s="105"/>
      <c r="AH17" s="105"/>
      <c r="AI17" s="105"/>
      <c r="AJ17" s="105"/>
      <c r="AK17" s="106"/>
      <c r="AO17" s="9"/>
      <c r="AP17" s="2"/>
      <c r="AU17" s="1"/>
      <c r="AV17" s="1"/>
      <c r="AW17" s="1"/>
      <c r="AX17" s="1"/>
      <c r="AY17" s="1"/>
      <c r="AZ17" s="1"/>
    </row>
    <row r="18" s="1" customFormat="true" ht="14.25" hidden="false" customHeight="false" outlineLevel="0" collapsed="false">
      <c r="A18" s="99" t="s">
        <v>1938</v>
      </c>
      <c r="B18" s="1" t="n">
        <v>1</v>
      </c>
      <c r="C18" s="27" t="s">
        <v>1939</v>
      </c>
      <c r="D18" s="1" t="n">
        <v>735</v>
      </c>
      <c r="E18" s="100" t="n">
        <v>730</v>
      </c>
      <c r="F18" s="27" t="s">
        <v>114</v>
      </c>
      <c r="G18" s="89" t="s">
        <v>2886</v>
      </c>
      <c r="H18" s="89" t="s">
        <v>207</v>
      </c>
      <c r="I18" s="90" t="s">
        <v>1943</v>
      </c>
      <c r="J18" s="89" t="s">
        <v>1944</v>
      </c>
      <c r="K18" s="89" t="s">
        <v>1945</v>
      </c>
      <c r="L18" s="90" t="s">
        <v>1946</v>
      </c>
      <c r="M18" s="89" t="s">
        <v>1947</v>
      </c>
      <c r="N18" s="89" t="s">
        <v>84</v>
      </c>
      <c r="O18" s="89"/>
      <c r="P18" s="89"/>
      <c r="Q18" s="89" t="s">
        <v>84</v>
      </c>
      <c r="R18" s="89" t="s">
        <v>84</v>
      </c>
      <c r="S18" s="89" t="s">
        <v>84</v>
      </c>
      <c r="T18" s="89" t="s">
        <v>1948</v>
      </c>
      <c r="U18" s="89" t="s">
        <v>84</v>
      </c>
      <c r="V18" s="89"/>
      <c r="W18" s="89" t="s">
        <v>84</v>
      </c>
      <c r="X18" s="89" t="s">
        <v>84</v>
      </c>
      <c r="Y18" s="89"/>
      <c r="Z18" s="89" t="s">
        <v>84</v>
      </c>
      <c r="AA18" s="89"/>
      <c r="AB18" s="90" t="s">
        <v>84</v>
      </c>
      <c r="AC18" s="89" t="s">
        <v>1949</v>
      </c>
      <c r="AD18" s="101" t="s">
        <v>1950</v>
      </c>
      <c r="AE18" s="89" t="s">
        <v>1951</v>
      </c>
      <c r="AF18" s="89" t="s">
        <v>1952</v>
      </c>
      <c r="AG18" s="101" t="s">
        <v>1953</v>
      </c>
      <c r="AH18" s="101" t="s">
        <v>1954</v>
      </c>
      <c r="AI18" s="101" t="s">
        <v>1955</v>
      </c>
      <c r="AJ18" s="101" t="s">
        <v>1956</v>
      </c>
      <c r="AK18" s="90" t="s">
        <v>1957</v>
      </c>
      <c r="AL18" s="91" t="s">
        <v>1958</v>
      </c>
      <c r="AM18" s="91" t="s">
        <v>1776</v>
      </c>
      <c r="AO18" s="9"/>
      <c r="AP18" s="2"/>
      <c r="AU18" s="0"/>
      <c r="AV18" s="0"/>
      <c r="AW18" s="0"/>
      <c r="AX18" s="0"/>
      <c r="AY18" s="0"/>
      <c r="AZ18" s="0"/>
    </row>
    <row r="19" customFormat="false" ht="14.25" hidden="false" customHeight="false" outlineLevel="0" collapsed="false">
      <c r="A19" s="87"/>
      <c r="D19" s="1"/>
      <c r="AD19" s="105"/>
      <c r="AG19" s="105"/>
      <c r="AH19" s="105"/>
      <c r="AI19" s="105"/>
      <c r="AJ19" s="105"/>
      <c r="AO19" s="9"/>
      <c r="AP19" s="2"/>
      <c r="AU19" s="1"/>
      <c r="AV19" s="1"/>
      <c r="AW19" s="1"/>
      <c r="AX19" s="1"/>
      <c r="AY19" s="1"/>
      <c r="AZ19" s="1"/>
    </row>
    <row r="20" s="1" customFormat="true" ht="14.25" hidden="false" customHeight="false" outlineLevel="0" collapsed="false">
      <c r="A20" s="113" t="s">
        <v>1961</v>
      </c>
      <c r="B20" s="1" t="n">
        <v>1</v>
      </c>
      <c r="C20" s="27" t="s">
        <v>1962</v>
      </c>
      <c r="D20" s="1" t="n">
        <v>464</v>
      </c>
      <c r="E20" s="100" t="n">
        <v>1639</v>
      </c>
      <c r="F20" s="27" t="s">
        <v>67</v>
      </c>
      <c r="G20" s="89" t="s">
        <v>2887</v>
      </c>
      <c r="H20" s="89" t="s">
        <v>2888</v>
      </c>
      <c r="I20" s="90" t="s">
        <v>1985</v>
      </c>
      <c r="J20" s="89" t="s">
        <v>2889</v>
      </c>
      <c r="K20" s="89" t="s">
        <v>1987</v>
      </c>
      <c r="L20" s="90" t="s">
        <v>2890</v>
      </c>
      <c r="M20" s="89" t="s">
        <v>84</v>
      </c>
      <c r="N20" s="89" t="s">
        <v>84</v>
      </c>
      <c r="O20" s="89"/>
      <c r="P20" s="89"/>
      <c r="Q20" s="89" t="s">
        <v>84</v>
      </c>
      <c r="R20" s="89" t="s">
        <v>84</v>
      </c>
      <c r="S20" s="89" t="s">
        <v>84</v>
      </c>
      <c r="T20" s="89" t="s">
        <v>84</v>
      </c>
      <c r="U20" s="89" t="s">
        <v>84</v>
      </c>
      <c r="V20" s="89"/>
      <c r="W20" s="89" t="s">
        <v>84</v>
      </c>
      <c r="X20" s="89" t="s">
        <v>84</v>
      </c>
      <c r="Y20" s="89"/>
      <c r="Z20" s="89" t="s">
        <v>84</v>
      </c>
      <c r="AA20" s="89"/>
      <c r="AB20" s="90" t="s">
        <v>84</v>
      </c>
      <c r="AC20" s="89" t="s">
        <v>2891</v>
      </c>
      <c r="AD20" s="89" t="s">
        <v>2892</v>
      </c>
      <c r="AE20" s="89" t="s">
        <v>2893</v>
      </c>
      <c r="AF20" s="89" t="s">
        <v>2894</v>
      </c>
      <c r="AG20" s="89" t="s">
        <v>2895</v>
      </c>
      <c r="AH20" s="89" t="s">
        <v>2798</v>
      </c>
      <c r="AI20" s="89" t="s">
        <v>2896</v>
      </c>
      <c r="AJ20" s="89" t="s">
        <v>2897</v>
      </c>
      <c r="AK20" s="90" t="s">
        <v>1999</v>
      </c>
      <c r="AL20" s="91" t="s">
        <v>1980</v>
      </c>
      <c r="AM20" s="91" t="s">
        <v>1776</v>
      </c>
      <c r="AO20" s="9"/>
      <c r="AP20" s="2"/>
      <c r="AU20" s="0"/>
      <c r="AV20" s="0"/>
      <c r="AW20" s="0"/>
      <c r="AX20" s="0"/>
      <c r="AY20" s="0"/>
      <c r="AZ20" s="0"/>
    </row>
    <row r="21" customFormat="false" ht="14.25" hidden="false" customHeight="false" outlineLevel="0" collapsed="false">
      <c r="A21" s="87"/>
      <c r="D21" s="1"/>
      <c r="AO21" s="9"/>
      <c r="AP21" s="2"/>
      <c r="AU21" s="1"/>
      <c r="AV21" s="1"/>
      <c r="AW21" s="1"/>
      <c r="AX21" s="1"/>
      <c r="AY21" s="1"/>
      <c r="AZ21" s="1"/>
    </row>
    <row r="22" s="1" customFormat="true" ht="14.25" hidden="false" customHeight="false" outlineLevel="0" collapsed="false">
      <c r="A22" s="99" t="s">
        <v>2025</v>
      </c>
      <c r="B22" s="1" t="n">
        <v>1</v>
      </c>
      <c r="C22" s="27" t="s">
        <v>247</v>
      </c>
      <c r="D22" s="1" t="n">
        <v>113</v>
      </c>
      <c r="E22" s="100" t="n">
        <v>113</v>
      </c>
      <c r="F22" s="27" t="s">
        <v>67</v>
      </c>
      <c r="G22" s="73" t="s">
        <v>84</v>
      </c>
      <c r="H22" s="73" t="s">
        <v>2898</v>
      </c>
      <c r="I22" s="90" t="s">
        <v>84</v>
      </c>
      <c r="J22" s="89" t="s">
        <v>2029</v>
      </c>
      <c r="K22" s="89" t="s">
        <v>2030</v>
      </c>
      <c r="L22" s="90" t="s">
        <v>84</v>
      </c>
      <c r="M22" s="89" t="s">
        <v>2031</v>
      </c>
      <c r="N22" s="89" t="s">
        <v>84</v>
      </c>
      <c r="O22" s="89"/>
      <c r="P22" s="89"/>
      <c r="Q22" s="89" t="s">
        <v>84</v>
      </c>
      <c r="R22" s="89" t="s">
        <v>84</v>
      </c>
      <c r="S22" s="89" t="s">
        <v>84</v>
      </c>
      <c r="T22" s="89" t="s">
        <v>84</v>
      </c>
      <c r="U22" s="89" t="s">
        <v>84</v>
      </c>
      <c r="V22" s="89"/>
      <c r="W22" s="89" t="s">
        <v>84</v>
      </c>
      <c r="X22" s="89" t="s">
        <v>84</v>
      </c>
      <c r="Y22" s="89"/>
      <c r="Z22" s="89" t="s">
        <v>84</v>
      </c>
      <c r="AA22" s="89"/>
      <c r="AB22" s="90" t="s">
        <v>84</v>
      </c>
      <c r="AC22" s="101" t="s">
        <v>2032</v>
      </c>
      <c r="AD22" s="89" t="s">
        <v>2033</v>
      </c>
      <c r="AE22" s="101" t="s">
        <v>2034</v>
      </c>
      <c r="AF22" s="89" t="s">
        <v>2035</v>
      </c>
      <c r="AG22" s="101" t="s">
        <v>2036</v>
      </c>
      <c r="AH22" s="101" t="s">
        <v>2037</v>
      </c>
      <c r="AI22" s="101" t="s">
        <v>2038</v>
      </c>
      <c r="AJ22" s="101" t="s">
        <v>2039</v>
      </c>
      <c r="AK22" s="104" t="s">
        <v>2040</v>
      </c>
      <c r="AL22" s="91" t="s">
        <v>2041</v>
      </c>
      <c r="AM22" s="91" t="s">
        <v>1776</v>
      </c>
      <c r="AO22" s="9"/>
      <c r="AP22" s="2"/>
      <c r="AQ22" s="2"/>
      <c r="AR22" s="2"/>
      <c r="AS22" s="2"/>
      <c r="AT22" s="2"/>
      <c r="AU22" s="0"/>
      <c r="AW22" s="0"/>
      <c r="AX22" s="0"/>
      <c r="AY22" s="0"/>
      <c r="AZ22" s="0"/>
    </row>
    <row r="23" customFormat="false" ht="14.25" hidden="false" customHeight="false" outlineLevel="0" collapsed="false">
      <c r="A23" s="87"/>
      <c r="D23" s="1"/>
      <c r="G23" s="73"/>
      <c r="H23" s="73"/>
      <c r="AC23" s="105"/>
      <c r="AE23" s="105"/>
      <c r="AG23" s="105"/>
      <c r="AH23" s="105"/>
      <c r="AI23" s="105"/>
      <c r="AJ23" s="105"/>
      <c r="AK23" s="106"/>
      <c r="AO23" s="9"/>
      <c r="AP23" s="2"/>
      <c r="AQ23" s="2"/>
      <c r="AR23" s="2"/>
      <c r="AS23" s="2"/>
      <c r="AT23" s="2"/>
      <c r="AU23" s="1"/>
      <c r="AV23" s="1"/>
      <c r="AW23" s="1"/>
      <c r="AX23" s="1"/>
      <c r="AY23" s="1"/>
      <c r="AZ23" s="1"/>
    </row>
    <row r="24" s="1" customFormat="true" ht="14.25" hidden="false" customHeight="false" outlineLevel="0" collapsed="false">
      <c r="A24" s="99" t="s">
        <v>2044</v>
      </c>
      <c r="B24" s="1" t="n">
        <v>1</v>
      </c>
      <c r="C24" s="27" t="s">
        <v>292</v>
      </c>
      <c r="D24" s="1" t="n">
        <v>255</v>
      </c>
      <c r="E24" s="27" t="n">
        <v>255</v>
      </c>
      <c r="F24" s="27" t="s">
        <v>67</v>
      </c>
      <c r="G24" s="89" t="s">
        <v>84</v>
      </c>
      <c r="H24" s="89" t="s">
        <v>84</v>
      </c>
      <c r="I24" s="90" t="s">
        <v>84</v>
      </c>
      <c r="J24" s="89" t="s">
        <v>84</v>
      </c>
      <c r="K24" s="89" t="s">
        <v>84</v>
      </c>
      <c r="L24" s="90" t="s">
        <v>84</v>
      </c>
      <c r="M24" s="89" t="s">
        <v>84</v>
      </c>
      <c r="N24" s="89" t="s">
        <v>84</v>
      </c>
      <c r="O24" s="89" t="s">
        <v>84</v>
      </c>
      <c r="P24" s="89" t="s">
        <v>84</v>
      </c>
      <c r="Q24" s="89" t="s">
        <v>84</v>
      </c>
      <c r="R24" s="89" t="s">
        <v>84</v>
      </c>
      <c r="S24" s="89" t="s">
        <v>84</v>
      </c>
      <c r="T24" s="89" t="s">
        <v>84</v>
      </c>
      <c r="U24" s="89" t="s">
        <v>84</v>
      </c>
      <c r="V24" s="89"/>
      <c r="W24" s="89" t="s">
        <v>84</v>
      </c>
      <c r="X24" s="89" t="s">
        <v>84</v>
      </c>
      <c r="Y24" s="89"/>
      <c r="Z24" s="89" t="s">
        <v>84</v>
      </c>
      <c r="AA24" s="89"/>
      <c r="AB24" s="90" t="s">
        <v>84</v>
      </c>
      <c r="AC24" s="101" t="s">
        <v>2045</v>
      </c>
      <c r="AD24" s="89" t="s">
        <v>2046</v>
      </c>
      <c r="AE24" s="101" t="s">
        <v>2047</v>
      </c>
      <c r="AF24" s="101" t="s">
        <v>2048</v>
      </c>
      <c r="AG24" s="101" t="s">
        <v>2049</v>
      </c>
      <c r="AH24" s="89" t="s">
        <v>2050</v>
      </c>
      <c r="AI24" s="89" t="s">
        <v>2051</v>
      </c>
      <c r="AJ24" s="89" t="s">
        <v>2052</v>
      </c>
      <c r="AK24" s="90" t="s">
        <v>2053</v>
      </c>
      <c r="AL24" s="91" t="s">
        <v>2054</v>
      </c>
      <c r="AM24" s="91" t="s">
        <v>1826</v>
      </c>
      <c r="AO24" s="9"/>
      <c r="AP24" s="2"/>
      <c r="AQ24" s="2"/>
      <c r="AR24" s="2"/>
      <c r="AS24" s="2"/>
      <c r="AT24" s="2"/>
      <c r="AU24" s="2"/>
      <c r="AV24" s="2"/>
      <c r="AW24" s="0"/>
      <c r="AX24" s="0"/>
      <c r="AY24" s="0"/>
      <c r="AZ24" s="0"/>
    </row>
    <row r="25" customFormat="false" ht="14.25" hidden="false" customHeight="false" outlineLevel="0" collapsed="false">
      <c r="A25" s="87"/>
      <c r="D25" s="1"/>
      <c r="AC25" s="105"/>
      <c r="AE25" s="105"/>
      <c r="AF25" s="105"/>
      <c r="AG25" s="105"/>
      <c r="AO25" s="9"/>
      <c r="AP25" s="2"/>
      <c r="AQ25" s="2"/>
      <c r="AR25" s="2"/>
      <c r="AS25" s="2"/>
      <c r="AT25" s="2"/>
      <c r="AU25" s="2"/>
      <c r="AV25" s="2"/>
      <c r="AW25" s="1"/>
      <c r="AX25" s="1"/>
      <c r="AY25" s="1"/>
      <c r="AZ25" s="1"/>
    </row>
    <row r="26" s="1" customFormat="true" ht="14.25" hidden="false" customHeight="false" outlineLevel="0" collapsed="false">
      <c r="A26" s="99" t="s">
        <v>2057</v>
      </c>
      <c r="B26" s="1" t="n">
        <v>1</v>
      </c>
      <c r="C26" s="27" t="n">
        <v>2020</v>
      </c>
      <c r="D26" s="1" t="n">
        <v>25</v>
      </c>
      <c r="E26" s="100" t="n">
        <v>25</v>
      </c>
      <c r="F26" s="27" t="s">
        <v>67</v>
      </c>
      <c r="G26" s="89" t="s">
        <v>2058</v>
      </c>
      <c r="H26" s="89" t="s">
        <v>2899</v>
      </c>
      <c r="I26" s="90" t="s">
        <v>2060</v>
      </c>
      <c r="J26" s="89" t="s">
        <v>84</v>
      </c>
      <c r="K26" s="89" t="s">
        <v>84</v>
      </c>
      <c r="L26" s="90" t="s">
        <v>84</v>
      </c>
      <c r="M26" s="89" t="s">
        <v>84</v>
      </c>
      <c r="N26" s="89" t="s">
        <v>84</v>
      </c>
      <c r="O26" s="89" t="s">
        <v>84</v>
      </c>
      <c r="P26" s="89" t="s">
        <v>84</v>
      </c>
      <c r="Q26" s="89" t="s">
        <v>84</v>
      </c>
      <c r="R26" s="89" t="s">
        <v>84</v>
      </c>
      <c r="S26" s="89" t="s">
        <v>84</v>
      </c>
      <c r="T26" s="89" t="s">
        <v>84</v>
      </c>
      <c r="U26" s="89" t="s">
        <v>84</v>
      </c>
      <c r="V26" s="89"/>
      <c r="W26" s="89" t="s">
        <v>84</v>
      </c>
      <c r="X26" s="89" t="s">
        <v>84</v>
      </c>
      <c r="Y26" s="89"/>
      <c r="Z26" s="89" t="s">
        <v>84</v>
      </c>
      <c r="AA26" s="89"/>
      <c r="AB26" s="90" t="s">
        <v>84</v>
      </c>
      <c r="AC26" s="89" t="s">
        <v>2061</v>
      </c>
      <c r="AD26" s="101" t="s">
        <v>2062</v>
      </c>
      <c r="AE26" s="101" t="s">
        <v>2063</v>
      </c>
      <c r="AF26" s="89" t="s">
        <v>2064</v>
      </c>
      <c r="AG26" s="89" t="s">
        <v>2065</v>
      </c>
      <c r="AH26" s="101" t="s">
        <v>2066</v>
      </c>
      <c r="AI26" s="101" t="s">
        <v>2067</v>
      </c>
      <c r="AJ26" s="101" t="s">
        <v>2068</v>
      </c>
      <c r="AK26" s="104" t="s">
        <v>2069</v>
      </c>
      <c r="AL26" s="107" t="s">
        <v>2070</v>
      </c>
      <c r="AM26" s="91" t="s">
        <v>1826</v>
      </c>
      <c r="AP26" s="2"/>
      <c r="AU26" s="0"/>
      <c r="AV26" s="0"/>
      <c r="AW26" s="0"/>
      <c r="AX26" s="0"/>
      <c r="AY26" s="0"/>
      <c r="AZ26" s="32"/>
    </row>
    <row r="27" customFormat="false" ht="14.25" hidden="false" customHeight="false" outlineLevel="0" collapsed="false">
      <c r="A27" s="87"/>
      <c r="D27" s="1"/>
      <c r="AD27" s="105"/>
      <c r="AE27" s="105"/>
      <c r="AH27" s="105"/>
      <c r="AI27" s="105"/>
      <c r="AJ27" s="105"/>
      <c r="AK27" s="106"/>
      <c r="AL27" s="107"/>
      <c r="AP27" s="2"/>
      <c r="AU27" s="1"/>
      <c r="AV27" s="1"/>
      <c r="AW27" s="1"/>
      <c r="AX27" s="1"/>
      <c r="AY27" s="1"/>
      <c r="AZ27" s="32"/>
    </row>
    <row r="28" s="1" customFormat="true" ht="14.25" hidden="false" customHeight="false" outlineLevel="0" collapsed="false">
      <c r="A28" s="99" t="s">
        <v>2072</v>
      </c>
      <c r="B28" s="1" t="n">
        <v>1</v>
      </c>
      <c r="C28" s="27" t="n">
        <v>2020</v>
      </c>
      <c r="D28" s="1" t="n">
        <v>55</v>
      </c>
      <c r="E28" s="100" t="n">
        <v>56</v>
      </c>
      <c r="F28" s="27" t="s">
        <v>67</v>
      </c>
      <c r="G28" s="89" t="s">
        <v>2073</v>
      </c>
      <c r="H28" s="89" t="s">
        <v>344</v>
      </c>
      <c r="I28" s="90" t="s">
        <v>2075</v>
      </c>
      <c r="J28" s="89" t="s">
        <v>2076</v>
      </c>
      <c r="K28" s="89" t="s">
        <v>84</v>
      </c>
      <c r="L28" s="90" t="s">
        <v>84</v>
      </c>
      <c r="M28" s="89" t="s">
        <v>84</v>
      </c>
      <c r="N28" s="89" t="s">
        <v>84</v>
      </c>
      <c r="O28" s="89" t="s">
        <v>84</v>
      </c>
      <c r="P28" s="89" t="s">
        <v>84</v>
      </c>
      <c r="Q28" s="89" t="s">
        <v>84</v>
      </c>
      <c r="R28" s="89" t="s">
        <v>84</v>
      </c>
      <c r="S28" s="89" t="s">
        <v>84</v>
      </c>
      <c r="T28" s="89" t="s">
        <v>84</v>
      </c>
      <c r="U28" s="89" t="s">
        <v>84</v>
      </c>
      <c r="V28" s="89"/>
      <c r="W28" s="89" t="s">
        <v>84</v>
      </c>
      <c r="X28" s="89" t="s">
        <v>84</v>
      </c>
      <c r="Y28" s="89"/>
      <c r="Z28" s="89" t="s">
        <v>84</v>
      </c>
      <c r="AA28" s="89"/>
      <c r="AB28" s="90" t="s">
        <v>84</v>
      </c>
      <c r="AC28" s="89" t="s">
        <v>2077</v>
      </c>
      <c r="AD28" s="101" t="s">
        <v>2078</v>
      </c>
      <c r="AE28" s="101" t="s">
        <v>2079</v>
      </c>
      <c r="AF28" s="101" t="s">
        <v>2080</v>
      </c>
      <c r="AG28" s="89" t="s">
        <v>2081</v>
      </c>
      <c r="AH28" s="101" t="s">
        <v>2082</v>
      </c>
      <c r="AI28" s="101" t="s">
        <v>2083</v>
      </c>
      <c r="AJ28" s="101" t="s">
        <v>2084</v>
      </c>
      <c r="AK28" s="104" t="s">
        <v>2085</v>
      </c>
      <c r="AL28" s="107" t="s">
        <v>2086</v>
      </c>
      <c r="AM28" s="91" t="s">
        <v>1826</v>
      </c>
      <c r="AP28" s="2"/>
      <c r="AU28" s="0"/>
      <c r="AV28" s="0"/>
      <c r="AW28" s="0"/>
      <c r="AX28" s="0"/>
      <c r="AY28" s="0"/>
      <c r="AZ28" s="0"/>
    </row>
    <row r="29" customFormat="false" ht="14.25" hidden="false" customHeight="false" outlineLevel="0" collapsed="false">
      <c r="A29" s="87"/>
      <c r="D29" s="1"/>
      <c r="AD29" s="105"/>
      <c r="AE29" s="105"/>
      <c r="AF29" s="105"/>
      <c r="AH29" s="105"/>
      <c r="AI29" s="105"/>
      <c r="AJ29" s="105"/>
      <c r="AK29" s="106"/>
      <c r="AL29" s="107"/>
      <c r="AP29" s="2"/>
      <c r="AU29" s="1"/>
      <c r="AV29" s="1"/>
      <c r="AW29" s="1"/>
      <c r="AX29" s="1"/>
      <c r="AY29" s="1"/>
      <c r="AZ29" s="1"/>
    </row>
    <row r="30" s="1" customFormat="true" ht="14.25" hidden="false" customHeight="false" outlineLevel="0" collapsed="false">
      <c r="A30" s="99" t="s">
        <v>2087</v>
      </c>
      <c r="B30" s="1" t="n">
        <v>1</v>
      </c>
      <c r="C30" s="27" t="n">
        <v>2022</v>
      </c>
      <c r="D30" s="1" t="n">
        <v>100</v>
      </c>
      <c r="E30" s="27" t="n">
        <v>100</v>
      </c>
      <c r="F30" s="27" t="s">
        <v>67</v>
      </c>
      <c r="G30" s="89" t="s">
        <v>2900</v>
      </c>
      <c r="H30" s="89" t="s">
        <v>2901</v>
      </c>
      <c r="I30" s="90" t="s">
        <v>2091</v>
      </c>
      <c r="J30" s="89" t="s">
        <v>2092</v>
      </c>
      <c r="K30" s="89" t="s">
        <v>2093</v>
      </c>
      <c r="L30" s="90" t="s">
        <v>84</v>
      </c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90"/>
      <c r="AC30" s="89" t="s">
        <v>2094</v>
      </c>
      <c r="AD30" s="89" t="s">
        <v>2095</v>
      </c>
      <c r="AE30" s="89" t="s">
        <v>2096</v>
      </c>
      <c r="AF30" s="89" t="s">
        <v>2097</v>
      </c>
      <c r="AG30" s="89" t="s">
        <v>2098</v>
      </c>
      <c r="AH30" s="89" t="s">
        <v>2099</v>
      </c>
      <c r="AI30" s="89" t="s">
        <v>2100</v>
      </c>
      <c r="AJ30" s="89" t="s">
        <v>2101</v>
      </c>
      <c r="AK30" s="90" t="s">
        <v>2102</v>
      </c>
      <c r="AL30" s="91" t="s">
        <v>2103</v>
      </c>
      <c r="AM30" s="91" t="s">
        <v>1776</v>
      </c>
      <c r="AP30" s="2"/>
      <c r="AU30" s="0"/>
      <c r="AV30" s="0"/>
      <c r="AW30" s="0"/>
      <c r="AX30" s="0"/>
      <c r="AY30" s="0"/>
      <c r="AZ30" s="0"/>
    </row>
    <row r="31" customFormat="false" ht="14.25" hidden="false" customHeight="false" outlineLevel="0" collapsed="false">
      <c r="A31" s="87"/>
      <c r="D31" s="1"/>
      <c r="AP31" s="2"/>
      <c r="AU31" s="1"/>
      <c r="AV31" s="1"/>
      <c r="AW31" s="1"/>
      <c r="AX31" s="1"/>
      <c r="AY31" s="1"/>
      <c r="AZ31" s="1"/>
    </row>
    <row r="32" s="1" customFormat="true" ht="14.25" hidden="false" customHeight="false" outlineLevel="0" collapsed="false">
      <c r="A32" s="99" t="s">
        <v>2106</v>
      </c>
      <c r="B32" s="1" t="n">
        <v>1</v>
      </c>
      <c r="C32" s="27" t="n">
        <v>2017</v>
      </c>
      <c r="D32" s="1" t="n">
        <v>9</v>
      </c>
      <c r="E32" s="27" t="n">
        <v>9</v>
      </c>
      <c r="F32" s="27" t="s">
        <v>67</v>
      </c>
      <c r="G32" s="89" t="s">
        <v>2107</v>
      </c>
      <c r="H32" s="89" t="s">
        <v>2902</v>
      </c>
      <c r="I32" s="90" t="s">
        <v>84</v>
      </c>
      <c r="J32" s="89" t="s">
        <v>2109</v>
      </c>
      <c r="K32" s="89" t="s">
        <v>2110</v>
      </c>
      <c r="L32" s="90" t="s">
        <v>84</v>
      </c>
      <c r="M32" s="89" t="s">
        <v>84</v>
      </c>
      <c r="N32" s="89" t="s">
        <v>84</v>
      </c>
      <c r="O32" s="89" t="s">
        <v>84</v>
      </c>
      <c r="P32" s="89" t="s">
        <v>84</v>
      </c>
      <c r="Q32" s="89" t="s">
        <v>84</v>
      </c>
      <c r="R32" s="89" t="s">
        <v>84</v>
      </c>
      <c r="S32" s="89" t="s">
        <v>84</v>
      </c>
      <c r="T32" s="89" t="s">
        <v>84</v>
      </c>
      <c r="U32" s="89" t="s">
        <v>84</v>
      </c>
      <c r="V32" s="89"/>
      <c r="W32" s="89" t="s">
        <v>84</v>
      </c>
      <c r="X32" s="89" t="s">
        <v>84</v>
      </c>
      <c r="Y32" s="89"/>
      <c r="Z32" s="89" t="s">
        <v>84</v>
      </c>
      <c r="AA32" s="89"/>
      <c r="AB32" s="90" t="s">
        <v>84</v>
      </c>
      <c r="AC32" s="101" t="s">
        <v>2111</v>
      </c>
      <c r="AD32" s="89" t="s">
        <v>2112</v>
      </c>
      <c r="AE32" s="89" t="s">
        <v>2113</v>
      </c>
      <c r="AF32" s="89" t="s">
        <v>2114</v>
      </c>
      <c r="AG32" s="89" t="s">
        <v>2115</v>
      </c>
      <c r="AH32" s="89" t="s">
        <v>2116</v>
      </c>
      <c r="AI32" s="89" t="s">
        <v>2117</v>
      </c>
      <c r="AJ32" s="89" t="s">
        <v>2118</v>
      </c>
      <c r="AK32" s="90" t="s">
        <v>2119</v>
      </c>
      <c r="AL32" s="91" t="s">
        <v>2120</v>
      </c>
      <c r="AM32" s="91" t="s">
        <v>1826</v>
      </c>
      <c r="AP32" s="2"/>
      <c r="AU32" s="0"/>
      <c r="AV32" s="0"/>
      <c r="AW32" s="0"/>
      <c r="AX32" s="0"/>
      <c r="AY32" s="0"/>
      <c r="AZ32" s="0"/>
    </row>
    <row r="33" customFormat="false" ht="14.25" hidden="false" customHeight="false" outlineLevel="0" collapsed="false">
      <c r="A33" s="87"/>
      <c r="D33" s="1"/>
      <c r="AC33" s="105"/>
      <c r="AP33" s="2"/>
      <c r="AU33" s="1"/>
      <c r="AV33" s="1"/>
      <c r="AW33" s="1"/>
      <c r="AX33" s="1"/>
      <c r="AY33" s="1"/>
      <c r="AZ33" s="1"/>
    </row>
    <row r="34" s="1" customFormat="true" ht="14.25" hidden="false" customHeight="false" outlineLevel="0" collapsed="false">
      <c r="A34" s="99" t="s">
        <v>2123</v>
      </c>
      <c r="B34" s="1" t="n">
        <v>1</v>
      </c>
      <c r="C34" s="27" t="n">
        <v>2019</v>
      </c>
      <c r="D34" s="1" t="n">
        <v>20</v>
      </c>
      <c r="E34" s="110" t="n">
        <v>80</v>
      </c>
      <c r="F34" s="111" t="s">
        <v>67</v>
      </c>
      <c r="G34" s="89" t="s">
        <v>2125</v>
      </c>
      <c r="H34" s="89" t="s">
        <v>2903</v>
      </c>
      <c r="I34" s="90" t="s">
        <v>84</v>
      </c>
      <c r="J34" s="89" t="s">
        <v>84</v>
      </c>
      <c r="K34" s="89" t="s">
        <v>84</v>
      </c>
      <c r="L34" s="90" t="s">
        <v>84</v>
      </c>
      <c r="M34" s="89" t="s">
        <v>84</v>
      </c>
      <c r="N34" s="89" t="s">
        <v>84</v>
      </c>
      <c r="O34" s="89" t="s">
        <v>84</v>
      </c>
      <c r="P34" s="89" t="s">
        <v>84</v>
      </c>
      <c r="Q34" s="89" t="s">
        <v>84</v>
      </c>
      <c r="R34" s="89" t="s">
        <v>84</v>
      </c>
      <c r="S34" s="89" t="s">
        <v>84</v>
      </c>
      <c r="T34" s="89" t="s">
        <v>84</v>
      </c>
      <c r="U34" s="89" t="s">
        <v>84</v>
      </c>
      <c r="V34" s="89"/>
      <c r="W34" s="89" t="s">
        <v>84</v>
      </c>
      <c r="X34" s="89" t="s">
        <v>84</v>
      </c>
      <c r="Y34" s="89" t="s">
        <v>2128</v>
      </c>
      <c r="Z34" s="89" t="s">
        <v>84</v>
      </c>
      <c r="AA34" s="89"/>
      <c r="AB34" s="90" t="s">
        <v>84</v>
      </c>
      <c r="AC34" s="89" t="s">
        <v>2129</v>
      </c>
      <c r="AD34" s="89" t="s">
        <v>2130</v>
      </c>
      <c r="AE34" s="89" t="s">
        <v>2131</v>
      </c>
      <c r="AF34" s="89" t="s">
        <v>2132</v>
      </c>
      <c r="AG34" s="89" t="s">
        <v>2133</v>
      </c>
      <c r="AH34" s="89" t="s">
        <v>2134</v>
      </c>
      <c r="AI34" s="89" t="s">
        <v>2135</v>
      </c>
      <c r="AJ34" s="89" t="s">
        <v>2136</v>
      </c>
      <c r="AK34" s="90" t="s">
        <v>2137</v>
      </c>
      <c r="AL34" s="91" t="s">
        <v>2120</v>
      </c>
      <c r="AM34" s="91" t="s">
        <v>1826</v>
      </c>
      <c r="AO34" s="9"/>
      <c r="AP34" s="2"/>
      <c r="AU34" s="0"/>
      <c r="AV34" s="0"/>
      <c r="AW34" s="0"/>
      <c r="AX34" s="0"/>
      <c r="AY34" s="0"/>
      <c r="AZ34" s="0"/>
    </row>
    <row r="35" customFormat="false" ht="14.25" hidden="false" customHeight="false" outlineLevel="0" collapsed="false">
      <c r="A35" s="87"/>
      <c r="D35" s="1"/>
      <c r="AO35" s="9"/>
      <c r="AP35" s="2"/>
      <c r="AU35" s="1"/>
      <c r="AV35" s="1"/>
      <c r="AW35" s="1"/>
      <c r="AX35" s="1"/>
      <c r="AY35" s="1"/>
      <c r="AZ35" s="1"/>
    </row>
    <row r="36" s="1" customFormat="true" ht="14.25" hidden="false" customHeight="false" outlineLevel="0" collapsed="false">
      <c r="A36" s="99" t="s">
        <v>2140</v>
      </c>
      <c r="B36" s="1" t="n">
        <v>1</v>
      </c>
      <c r="C36" s="27" t="n">
        <v>2023</v>
      </c>
      <c r="D36" s="1" t="n">
        <v>10</v>
      </c>
      <c r="E36" s="100" t="n">
        <v>120</v>
      </c>
      <c r="F36" s="111" t="s">
        <v>67</v>
      </c>
      <c r="G36" s="89" t="s">
        <v>2142</v>
      </c>
      <c r="H36" s="89" t="s">
        <v>2904</v>
      </c>
      <c r="I36" s="90" t="s">
        <v>84</v>
      </c>
      <c r="J36" s="89" t="s">
        <v>84</v>
      </c>
      <c r="K36" s="89" t="s">
        <v>84</v>
      </c>
      <c r="L36" s="90" t="s">
        <v>84</v>
      </c>
      <c r="M36" s="89" t="s">
        <v>84</v>
      </c>
      <c r="N36" s="89" t="s">
        <v>84</v>
      </c>
      <c r="O36" s="89" t="s">
        <v>84</v>
      </c>
      <c r="P36" s="89" t="s">
        <v>84</v>
      </c>
      <c r="Q36" s="89" t="s">
        <v>84</v>
      </c>
      <c r="R36" s="89" t="s">
        <v>84</v>
      </c>
      <c r="S36" s="89" t="s">
        <v>84</v>
      </c>
      <c r="T36" s="89" t="s">
        <v>84</v>
      </c>
      <c r="U36" s="89" t="s">
        <v>84</v>
      </c>
      <c r="V36" s="89"/>
      <c r="W36" s="89" t="s">
        <v>84</v>
      </c>
      <c r="X36" s="89" t="s">
        <v>84</v>
      </c>
      <c r="Y36" s="89" t="s">
        <v>84</v>
      </c>
      <c r="Z36" s="89" t="s">
        <v>84</v>
      </c>
      <c r="AA36" s="89"/>
      <c r="AB36" s="90" t="s">
        <v>84</v>
      </c>
      <c r="AC36" s="89" t="s">
        <v>2145</v>
      </c>
      <c r="AD36" s="89" t="s">
        <v>2146</v>
      </c>
      <c r="AE36" s="89" t="s">
        <v>2147</v>
      </c>
      <c r="AF36" s="89" t="s">
        <v>2148</v>
      </c>
      <c r="AG36" s="89" t="s">
        <v>2149</v>
      </c>
      <c r="AH36" s="89" t="s">
        <v>2150</v>
      </c>
      <c r="AI36" s="89" t="s">
        <v>2151</v>
      </c>
      <c r="AJ36" s="89" t="s">
        <v>2152</v>
      </c>
      <c r="AK36" s="90" t="s">
        <v>2153</v>
      </c>
      <c r="AL36" s="91" t="s">
        <v>2120</v>
      </c>
      <c r="AM36" s="91" t="s">
        <v>1826</v>
      </c>
      <c r="AO36" s="9"/>
      <c r="AP36" s="21"/>
      <c r="AU36" s="0"/>
      <c r="AV36" s="0"/>
      <c r="AW36" s="0"/>
      <c r="AX36" s="0"/>
      <c r="AY36" s="0"/>
      <c r="AZ36" s="0"/>
    </row>
    <row r="37" customFormat="false" ht="14.25" hidden="false" customHeight="false" outlineLevel="0" collapsed="false">
      <c r="A37" s="87"/>
      <c r="D37" s="1"/>
      <c r="AO37" s="9"/>
      <c r="AP37" s="21"/>
      <c r="AU37" s="1"/>
      <c r="AV37" s="1"/>
      <c r="AW37" s="1"/>
      <c r="AX37" s="1"/>
      <c r="AY37" s="1"/>
      <c r="AZ37" s="1"/>
    </row>
    <row r="38" s="1" customFormat="true" ht="14.25" hidden="false" customHeight="false" outlineLevel="0" collapsed="false">
      <c r="A38" s="99" t="s">
        <v>2156</v>
      </c>
      <c r="B38" s="1" t="n">
        <v>1</v>
      </c>
      <c r="C38" s="27" t="s">
        <v>366</v>
      </c>
      <c r="D38" s="1" t="n">
        <v>28</v>
      </c>
      <c r="E38" s="109" t="n">
        <v>1906</v>
      </c>
      <c r="F38" s="109" t="s">
        <v>114</v>
      </c>
      <c r="G38" s="89" t="s">
        <v>370</v>
      </c>
      <c r="H38" s="89" t="s">
        <v>371</v>
      </c>
      <c r="I38" s="90" t="s">
        <v>84</v>
      </c>
      <c r="J38" s="89" t="s">
        <v>84</v>
      </c>
      <c r="K38" s="89" t="s">
        <v>84</v>
      </c>
      <c r="L38" s="90" t="s">
        <v>84</v>
      </c>
      <c r="M38" s="89" t="s">
        <v>84</v>
      </c>
      <c r="N38" s="89" t="s">
        <v>84</v>
      </c>
      <c r="O38" s="89" t="s">
        <v>84</v>
      </c>
      <c r="P38" s="89" t="s">
        <v>84</v>
      </c>
      <c r="Q38" s="89" t="s">
        <v>84</v>
      </c>
      <c r="R38" s="89" t="s">
        <v>84</v>
      </c>
      <c r="S38" s="89" t="s">
        <v>84</v>
      </c>
      <c r="T38" s="89" t="s">
        <v>84</v>
      </c>
      <c r="U38" s="89" t="s">
        <v>84</v>
      </c>
      <c r="V38" s="89"/>
      <c r="W38" s="89" t="s">
        <v>84</v>
      </c>
      <c r="X38" s="89" t="s">
        <v>84</v>
      </c>
      <c r="Y38" s="89" t="s">
        <v>84</v>
      </c>
      <c r="Z38" s="89" t="s">
        <v>84</v>
      </c>
      <c r="AA38" s="89"/>
      <c r="AB38" s="90" t="s">
        <v>84</v>
      </c>
      <c r="AC38" s="89" t="s">
        <v>2158</v>
      </c>
      <c r="AD38" s="89" t="s">
        <v>2159</v>
      </c>
      <c r="AE38" s="89" t="s">
        <v>2160</v>
      </c>
      <c r="AF38" s="89" t="s">
        <v>2161</v>
      </c>
      <c r="AG38" s="105" t="s">
        <v>2162</v>
      </c>
      <c r="AH38" s="105" t="s">
        <v>2163</v>
      </c>
      <c r="AI38" s="89" t="s">
        <v>2164</v>
      </c>
      <c r="AJ38" s="89" t="s">
        <v>2165</v>
      </c>
      <c r="AK38" s="90" t="s">
        <v>2166</v>
      </c>
      <c r="AL38" s="4" t="s">
        <v>2167</v>
      </c>
      <c r="AM38" s="91" t="s">
        <v>1776</v>
      </c>
      <c r="AO38" s="112"/>
      <c r="AP38" s="9"/>
      <c r="AQ38" s="35"/>
      <c r="AU38" s="0"/>
      <c r="AV38" s="0"/>
      <c r="AW38" s="0"/>
      <c r="AX38" s="0"/>
      <c r="AY38" s="0"/>
      <c r="AZ38" s="0"/>
    </row>
    <row r="39" customFormat="false" ht="14.25" hidden="false" customHeight="false" outlineLevel="0" collapsed="false">
      <c r="A39" s="87"/>
      <c r="D39" s="1"/>
      <c r="AG39" s="105"/>
      <c r="AH39" s="105"/>
      <c r="AL39" s="4"/>
      <c r="AO39" s="112"/>
      <c r="AP39" s="9"/>
      <c r="AQ39" s="35"/>
      <c r="AU39" s="1"/>
      <c r="AV39" s="1"/>
      <c r="AW39" s="1"/>
      <c r="AX39" s="1"/>
      <c r="AY39" s="1"/>
      <c r="AZ39" s="1"/>
    </row>
    <row r="40" s="1" customFormat="true" ht="14.25" hidden="false" customHeight="false" outlineLevel="0" collapsed="false">
      <c r="A40" s="99" t="s">
        <v>2170</v>
      </c>
      <c r="B40" s="1" t="n">
        <v>1</v>
      </c>
      <c r="C40" s="27" t="s">
        <v>401</v>
      </c>
      <c r="D40" s="1" t="n">
        <v>318</v>
      </c>
      <c r="E40" s="27" t="n">
        <v>591</v>
      </c>
      <c r="F40" s="27" t="s">
        <v>84</v>
      </c>
      <c r="G40" s="89" t="s">
        <v>2905</v>
      </c>
      <c r="H40" s="89" t="s">
        <v>406</v>
      </c>
      <c r="I40" s="90" t="s">
        <v>2173</v>
      </c>
      <c r="J40" s="89" t="s">
        <v>2174</v>
      </c>
      <c r="K40" s="89" t="s">
        <v>84</v>
      </c>
      <c r="L40" s="90" t="s">
        <v>84</v>
      </c>
      <c r="M40" s="89" t="s">
        <v>2175</v>
      </c>
      <c r="N40" s="89" t="s">
        <v>2176</v>
      </c>
      <c r="O40" s="89" t="s">
        <v>2177</v>
      </c>
      <c r="P40" s="89" t="s">
        <v>2178</v>
      </c>
      <c r="Q40" s="89" t="s">
        <v>84</v>
      </c>
      <c r="R40" s="89" t="s">
        <v>84</v>
      </c>
      <c r="S40" s="89" t="s">
        <v>84</v>
      </c>
      <c r="T40" s="89" t="s">
        <v>84</v>
      </c>
      <c r="U40" s="89" t="s">
        <v>84</v>
      </c>
      <c r="V40" s="89"/>
      <c r="W40" s="89" t="s">
        <v>84</v>
      </c>
      <c r="X40" s="89" t="s">
        <v>84</v>
      </c>
      <c r="Y40" s="89" t="s">
        <v>84</v>
      </c>
      <c r="Z40" s="89" t="s">
        <v>84</v>
      </c>
      <c r="AA40" s="89"/>
      <c r="AB40" s="90" t="s">
        <v>84</v>
      </c>
      <c r="AC40" s="89" t="s">
        <v>84</v>
      </c>
      <c r="AD40" s="89" t="s">
        <v>84</v>
      </c>
      <c r="AE40" s="89" t="s">
        <v>84</v>
      </c>
      <c r="AF40" s="89" t="s">
        <v>84</v>
      </c>
      <c r="AG40" s="89" t="s">
        <v>84</v>
      </c>
      <c r="AH40" s="89" t="s">
        <v>84</v>
      </c>
      <c r="AI40" s="89" t="s">
        <v>84</v>
      </c>
      <c r="AJ40" s="89" t="s">
        <v>84</v>
      </c>
      <c r="AK40" s="90" t="s">
        <v>84</v>
      </c>
      <c r="AL40" s="91" t="s">
        <v>2179</v>
      </c>
      <c r="AM40" s="91" t="s">
        <v>1776</v>
      </c>
      <c r="AO40" s="112"/>
      <c r="AP40" s="9"/>
      <c r="AQ40" s="35"/>
      <c r="AU40" s="0"/>
      <c r="AV40" s="0"/>
      <c r="AW40" s="0"/>
      <c r="AX40" s="0"/>
      <c r="AY40" s="0"/>
      <c r="AZ40" s="0"/>
    </row>
    <row r="41" s="1" customFormat="true" ht="14.25" hidden="false" customHeight="false" outlineLevel="0" collapsed="false">
      <c r="A41" s="87"/>
      <c r="C41" s="27"/>
      <c r="E41" s="27"/>
      <c r="F41" s="27"/>
      <c r="G41" s="89"/>
      <c r="H41" s="89"/>
      <c r="I41" s="90"/>
      <c r="J41" s="89"/>
      <c r="K41" s="89"/>
      <c r="L41" s="90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90"/>
      <c r="AC41" s="89"/>
      <c r="AD41" s="89"/>
      <c r="AE41" s="89"/>
      <c r="AF41" s="89"/>
      <c r="AG41" s="89"/>
      <c r="AH41" s="89"/>
      <c r="AI41" s="89"/>
      <c r="AJ41" s="89"/>
      <c r="AK41" s="90"/>
      <c r="AL41" s="91"/>
      <c r="AM41" s="91"/>
      <c r="AO41" s="112"/>
      <c r="AP41" s="9"/>
      <c r="AQ41" s="35"/>
    </row>
    <row r="42" s="1" customFormat="true" ht="14.25" hidden="false" customHeight="false" outlineLevel="0" collapsed="false">
      <c r="A42" s="87" t="s">
        <v>2182</v>
      </c>
      <c r="B42" s="1" t="n">
        <v>1</v>
      </c>
      <c r="C42" s="27"/>
      <c r="E42" s="27"/>
      <c r="F42" s="27"/>
      <c r="G42" s="89"/>
      <c r="H42" s="89"/>
      <c r="I42" s="90"/>
      <c r="J42" s="89"/>
      <c r="K42" s="89"/>
      <c r="L42" s="90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90"/>
      <c r="AC42" s="89"/>
      <c r="AD42" s="89"/>
      <c r="AE42" s="89"/>
      <c r="AF42" s="89"/>
      <c r="AG42" s="89"/>
      <c r="AH42" s="89"/>
      <c r="AI42" s="89"/>
      <c r="AJ42" s="89"/>
      <c r="AK42" s="90"/>
      <c r="AL42" s="91"/>
      <c r="AM42" s="91"/>
      <c r="AO42" s="112"/>
      <c r="AP42" s="9"/>
      <c r="AQ42" s="35"/>
    </row>
    <row r="43" customFormat="false" ht="14.25" hidden="false" customHeight="false" outlineLevel="0" collapsed="false">
      <c r="A43" s="87"/>
      <c r="D43" s="1"/>
      <c r="AO43" s="112"/>
      <c r="AP43" s="9"/>
      <c r="AQ43" s="35"/>
      <c r="AU43" s="1"/>
      <c r="AV43" s="1"/>
      <c r="AW43" s="1"/>
      <c r="AX43" s="1"/>
      <c r="AY43" s="1"/>
      <c r="AZ43" s="1"/>
    </row>
    <row r="44" customFormat="false" ht="14.25" hidden="false" customHeight="false" outlineLevel="0" collapsed="false">
      <c r="A44" s="99" t="s">
        <v>2183</v>
      </c>
      <c r="B44" s="1" t="n">
        <v>1</v>
      </c>
      <c r="C44" s="27" t="n">
        <v>2018</v>
      </c>
      <c r="D44" s="1" t="n">
        <v>151</v>
      </c>
      <c r="E44" s="100" t="n">
        <v>151</v>
      </c>
      <c r="F44" s="27" t="s">
        <v>67</v>
      </c>
      <c r="G44" s="89" t="s">
        <v>2184</v>
      </c>
      <c r="H44" s="89" t="s">
        <v>460</v>
      </c>
      <c r="I44" s="90" t="s">
        <v>84</v>
      </c>
      <c r="J44" s="89" t="s">
        <v>2186</v>
      </c>
      <c r="K44" s="89" t="s">
        <v>2187</v>
      </c>
      <c r="L44" s="90" t="s">
        <v>84</v>
      </c>
      <c r="M44" s="89" t="s">
        <v>84</v>
      </c>
      <c r="N44" s="89" t="s">
        <v>84</v>
      </c>
      <c r="O44" s="89" t="s">
        <v>84</v>
      </c>
      <c r="P44" s="89" t="s">
        <v>84</v>
      </c>
      <c r="Q44" s="89" t="s">
        <v>84</v>
      </c>
      <c r="R44" s="89" t="s">
        <v>84</v>
      </c>
      <c r="S44" s="89" t="s">
        <v>84</v>
      </c>
      <c r="T44" s="89" t="s">
        <v>84</v>
      </c>
      <c r="U44" s="89" t="s">
        <v>84</v>
      </c>
      <c r="W44" s="89" t="s">
        <v>84</v>
      </c>
      <c r="X44" s="89" t="s">
        <v>84</v>
      </c>
      <c r="Y44" s="89" t="s">
        <v>84</v>
      </c>
      <c r="Z44" s="89" t="s">
        <v>84</v>
      </c>
      <c r="AB44" s="90" t="s">
        <v>84</v>
      </c>
      <c r="AC44" s="101" t="s">
        <v>2188</v>
      </c>
      <c r="AD44" s="101" t="s">
        <v>2189</v>
      </c>
      <c r="AE44" s="101" t="s">
        <v>2190</v>
      </c>
      <c r="AF44" s="89" t="s">
        <v>2191</v>
      </c>
      <c r="AG44" s="89" t="s">
        <v>2192</v>
      </c>
      <c r="AH44" s="89" t="s">
        <v>2193</v>
      </c>
      <c r="AI44" s="89" t="s">
        <v>2194</v>
      </c>
      <c r="AJ44" s="89" t="s">
        <v>2195</v>
      </c>
      <c r="AK44" s="90" t="s">
        <v>2196</v>
      </c>
      <c r="AL44" s="4" t="s">
        <v>2197</v>
      </c>
      <c r="AM44" s="91" t="s">
        <v>1826</v>
      </c>
      <c r="AP44" s="9"/>
      <c r="AQ44" s="14"/>
    </row>
    <row r="45" customFormat="false" ht="14.25" hidden="false" customHeight="false" outlineLevel="0" collapsed="false">
      <c r="A45" s="87"/>
      <c r="D45" s="1"/>
      <c r="AC45" s="105"/>
      <c r="AD45" s="105"/>
      <c r="AE45" s="105"/>
      <c r="AL45" s="4"/>
      <c r="AP45" s="9"/>
      <c r="AQ45" s="14"/>
    </row>
    <row r="46" customFormat="false" ht="14.25" hidden="false" customHeight="false" outlineLevel="0" collapsed="false">
      <c r="A46" s="113" t="s">
        <v>2200</v>
      </c>
      <c r="B46" s="1" t="n">
        <v>1</v>
      </c>
      <c r="C46" s="27" t="s">
        <v>468</v>
      </c>
      <c r="D46" s="1" t="n">
        <v>197</v>
      </c>
      <c r="E46" s="100" t="n">
        <v>411</v>
      </c>
      <c r="F46" s="27" t="s">
        <v>67</v>
      </c>
      <c r="G46" s="89" t="s">
        <v>2201</v>
      </c>
      <c r="H46" s="89" t="s">
        <v>2906</v>
      </c>
      <c r="I46" s="90" t="s">
        <v>2203</v>
      </c>
      <c r="J46" s="89" t="s">
        <v>2204</v>
      </c>
      <c r="K46" s="89" t="s">
        <v>84</v>
      </c>
      <c r="L46" s="90" t="s">
        <v>84</v>
      </c>
      <c r="M46" s="89" t="s">
        <v>2205</v>
      </c>
      <c r="N46" s="89" t="s">
        <v>84</v>
      </c>
      <c r="O46" s="89" t="s">
        <v>2206</v>
      </c>
      <c r="P46" s="89" t="s">
        <v>2207</v>
      </c>
      <c r="Q46" s="89" t="s">
        <v>84</v>
      </c>
      <c r="R46" s="89" t="s">
        <v>84</v>
      </c>
      <c r="S46" s="89" t="s">
        <v>84</v>
      </c>
      <c r="T46" s="89" t="s">
        <v>2208</v>
      </c>
      <c r="U46" s="89" t="s">
        <v>84</v>
      </c>
      <c r="W46" s="89" t="s">
        <v>84</v>
      </c>
      <c r="X46" s="89" t="s">
        <v>84</v>
      </c>
      <c r="Y46" s="89" t="s">
        <v>84</v>
      </c>
      <c r="Z46" s="89" t="s">
        <v>2209</v>
      </c>
      <c r="AB46" s="90" t="s">
        <v>84</v>
      </c>
      <c r="AC46" s="89" t="s">
        <v>2210</v>
      </c>
      <c r="AD46" s="101" t="s">
        <v>2211</v>
      </c>
      <c r="AE46" s="89" t="s">
        <v>2212</v>
      </c>
      <c r="AF46" s="89" t="s">
        <v>2213</v>
      </c>
      <c r="AG46" s="89" t="s">
        <v>2214</v>
      </c>
      <c r="AH46" s="101" t="s">
        <v>2215</v>
      </c>
      <c r="AI46" s="89" t="s">
        <v>2216</v>
      </c>
      <c r="AJ46" s="89" t="s">
        <v>2217</v>
      </c>
      <c r="AK46" s="101" t="s">
        <v>2218</v>
      </c>
      <c r="AL46" s="91" t="s">
        <v>2219</v>
      </c>
      <c r="AM46" s="91" t="s">
        <v>1776</v>
      </c>
      <c r="AP46" s="9"/>
      <c r="AQ46" s="35"/>
    </row>
    <row r="47" customFormat="false" ht="14.25" hidden="false" customHeight="false" outlineLevel="0" collapsed="false">
      <c r="A47" s="87"/>
      <c r="D47" s="1"/>
      <c r="AP47" s="9"/>
      <c r="AQ47" s="35"/>
    </row>
    <row r="48" customFormat="false" ht="14.25" hidden="false" customHeight="false" outlineLevel="0" collapsed="false">
      <c r="A48" s="99" t="s">
        <v>481</v>
      </c>
      <c r="B48" s="1" t="n">
        <v>1</v>
      </c>
      <c r="C48" s="27" t="s">
        <v>482</v>
      </c>
      <c r="D48" s="1" t="n">
        <v>118</v>
      </c>
      <c r="E48" s="101" t="s">
        <v>2224</v>
      </c>
      <c r="F48" s="27" t="s">
        <v>67</v>
      </c>
      <c r="G48" s="89" t="s">
        <v>2907</v>
      </c>
      <c r="H48" s="115" t="s">
        <v>2908</v>
      </c>
      <c r="I48" s="118" t="s">
        <v>2909</v>
      </c>
      <c r="J48" s="27" t="s">
        <v>2228</v>
      </c>
      <c r="K48" s="27" t="s">
        <v>2229</v>
      </c>
      <c r="L48" s="115" t="s">
        <v>2230</v>
      </c>
      <c r="M48" s="27" t="s">
        <v>84</v>
      </c>
      <c r="N48" s="27" t="s">
        <v>84</v>
      </c>
      <c r="O48" s="27" t="s">
        <v>84</v>
      </c>
      <c r="P48" s="27" t="s">
        <v>84</v>
      </c>
      <c r="Q48" s="27" t="s">
        <v>84</v>
      </c>
      <c r="R48" s="27" t="s">
        <v>84</v>
      </c>
      <c r="S48" s="27" t="s">
        <v>84</v>
      </c>
      <c r="T48" s="27" t="s">
        <v>84</v>
      </c>
      <c r="U48" s="27" t="s">
        <v>84</v>
      </c>
      <c r="V48" s="27"/>
      <c r="W48" s="27" t="s">
        <v>84</v>
      </c>
      <c r="X48" s="27" t="s">
        <v>84</v>
      </c>
      <c r="Y48" s="27" t="s">
        <v>84</v>
      </c>
      <c r="Z48" s="27" t="s">
        <v>84</v>
      </c>
      <c r="AA48" s="27"/>
      <c r="AB48" s="115" t="s">
        <v>84</v>
      </c>
      <c r="AC48" s="101" t="s">
        <v>2231</v>
      </c>
      <c r="AD48" s="101" t="s">
        <v>2232</v>
      </c>
      <c r="AE48" s="27" t="s">
        <v>2233</v>
      </c>
      <c r="AF48" s="27" t="s">
        <v>2234</v>
      </c>
      <c r="AG48" s="27" t="s">
        <v>2235</v>
      </c>
      <c r="AH48" s="27" t="s">
        <v>2236</v>
      </c>
      <c r="AI48" s="27" t="s">
        <v>2237</v>
      </c>
      <c r="AJ48" s="27" t="s">
        <v>2238</v>
      </c>
      <c r="AK48" s="115" t="s">
        <v>2239</v>
      </c>
      <c r="AL48" s="107" t="s">
        <v>2240</v>
      </c>
      <c r="AM48" s="107" t="s">
        <v>1826</v>
      </c>
      <c r="AP48" s="9"/>
      <c r="AQ48" s="35"/>
    </row>
    <row r="49" customFormat="false" ht="14.25" hidden="false" customHeight="false" outlineLevel="0" collapsed="false">
      <c r="A49" s="99" t="s">
        <v>1686</v>
      </c>
      <c r="B49" s="1" t="n">
        <v>2</v>
      </c>
      <c r="D49" s="1" t="n">
        <v>100</v>
      </c>
      <c r="E49" s="105" t="s">
        <v>2243</v>
      </c>
      <c r="F49" s="27" t="s">
        <v>67</v>
      </c>
      <c r="G49" s="105" t="s">
        <v>2225</v>
      </c>
      <c r="H49" s="27" t="s">
        <v>490</v>
      </c>
      <c r="I49" s="118" t="s">
        <v>2910</v>
      </c>
      <c r="J49" s="27" t="s">
        <v>2246</v>
      </c>
      <c r="K49" s="27" t="s">
        <v>2247</v>
      </c>
      <c r="L49" s="115" t="s">
        <v>2248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115"/>
      <c r="AC49" s="27" t="s">
        <v>2249</v>
      </c>
      <c r="AD49" s="89" t="s">
        <v>2250</v>
      </c>
      <c r="AE49" s="27" t="s">
        <v>2251</v>
      </c>
      <c r="AF49" s="27" t="s">
        <v>2252</v>
      </c>
      <c r="AG49" s="27" t="s">
        <v>2253</v>
      </c>
      <c r="AH49" s="101" t="s">
        <v>2254</v>
      </c>
      <c r="AI49" s="101" t="s">
        <v>2255</v>
      </c>
      <c r="AJ49" s="101" t="s">
        <v>2256</v>
      </c>
      <c r="AK49" s="101" t="s">
        <v>2257</v>
      </c>
      <c r="AL49" s="107" t="s">
        <v>2258</v>
      </c>
      <c r="AM49" s="107"/>
      <c r="AP49" s="9"/>
      <c r="AQ49" s="35"/>
    </row>
    <row r="50" customFormat="false" ht="14.25" hidden="false" customHeight="false" outlineLevel="0" collapsed="false">
      <c r="A50" s="99" t="s">
        <v>1687</v>
      </c>
      <c r="B50" s="1" t="n">
        <v>2</v>
      </c>
      <c r="D50" s="1" t="n">
        <v>8</v>
      </c>
      <c r="E50" s="105" t="s">
        <v>2259</v>
      </c>
      <c r="F50" s="27" t="s">
        <v>67</v>
      </c>
      <c r="G50" s="105" t="s">
        <v>2260</v>
      </c>
      <c r="H50" s="131" t="n">
        <v>46175</v>
      </c>
      <c r="I50" s="118" t="s">
        <v>2911</v>
      </c>
      <c r="J50" s="27" t="s">
        <v>2263</v>
      </c>
      <c r="K50" s="27" t="s">
        <v>2264</v>
      </c>
      <c r="L50" s="115" t="s">
        <v>2265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115"/>
      <c r="AC50" s="27" t="s">
        <v>2266</v>
      </c>
      <c r="AD50" s="89" t="s">
        <v>2267</v>
      </c>
      <c r="AE50" s="27" t="s">
        <v>2268</v>
      </c>
      <c r="AF50" s="27" t="s">
        <v>2269</v>
      </c>
      <c r="AG50" s="27" t="s">
        <v>2270</v>
      </c>
      <c r="AH50" s="101" t="s">
        <v>2271</v>
      </c>
      <c r="AI50" s="101" t="s">
        <v>2272</v>
      </c>
      <c r="AJ50" s="101" t="s">
        <v>2273</v>
      </c>
      <c r="AK50" s="101" t="s">
        <v>2274</v>
      </c>
      <c r="AL50" s="107" t="s">
        <v>2275</v>
      </c>
      <c r="AM50" s="107"/>
      <c r="AP50" s="9"/>
      <c r="AQ50" s="35"/>
    </row>
    <row r="51" customFormat="false" ht="14.25" hidden="false" customHeight="false" outlineLevel="0" collapsed="false">
      <c r="A51" s="99" t="s">
        <v>1688</v>
      </c>
      <c r="B51" s="1" t="n">
        <v>2</v>
      </c>
      <c r="D51" s="1" t="n">
        <v>10</v>
      </c>
      <c r="E51" s="105" t="s">
        <v>2276</v>
      </c>
      <c r="F51" s="27" t="s">
        <v>67</v>
      </c>
      <c r="G51" s="105" t="s">
        <v>2912</v>
      </c>
      <c r="H51" s="131" t="n">
        <v>46266</v>
      </c>
      <c r="I51" s="88" t="s">
        <v>2913</v>
      </c>
      <c r="J51" s="27" t="s">
        <v>2280</v>
      </c>
      <c r="K51" s="27" t="s">
        <v>2281</v>
      </c>
      <c r="L51" s="115" t="s">
        <v>2282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115"/>
      <c r="AC51" s="27" t="s">
        <v>2283</v>
      </c>
      <c r="AD51" s="89" t="s">
        <v>2284</v>
      </c>
      <c r="AE51" s="27" t="s">
        <v>2285</v>
      </c>
      <c r="AF51" s="27" t="s">
        <v>2286</v>
      </c>
      <c r="AG51" s="27" t="s">
        <v>2287</v>
      </c>
      <c r="AH51" s="101" t="s">
        <v>2288</v>
      </c>
      <c r="AI51" s="101" t="s">
        <v>2289</v>
      </c>
      <c r="AJ51" s="101" t="s">
        <v>2290</v>
      </c>
      <c r="AK51" s="101" t="s">
        <v>2291</v>
      </c>
      <c r="AL51" s="107" t="s">
        <v>87</v>
      </c>
      <c r="AM51" s="107"/>
      <c r="AP51" s="9"/>
      <c r="AQ51" s="35"/>
    </row>
    <row r="52" customFormat="false" ht="14.25" hidden="false" customHeight="false" outlineLevel="0" collapsed="false">
      <c r="A52" s="87"/>
      <c r="D52" s="1"/>
      <c r="E52" s="105"/>
      <c r="H52" s="27"/>
      <c r="I52" s="118"/>
      <c r="J52" s="27"/>
      <c r="K52" s="27"/>
      <c r="L52" s="115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115"/>
      <c r="AC52" s="27"/>
      <c r="AE52" s="27"/>
      <c r="AF52" s="27"/>
      <c r="AG52" s="27"/>
      <c r="AH52" s="27"/>
      <c r="AI52" s="27"/>
      <c r="AJ52" s="27"/>
      <c r="AK52" s="115"/>
      <c r="AL52" s="107"/>
      <c r="AM52" s="107"/>
      <c r="AP52" s="9"/>
      <c r="AQ52" s="35"/>
    </row>
    <row r="53" customFormat="false" ht="14.25" hidden="false" customHeight="false" outlineLevel="0" collapsed="false">
      <c r="A53" s="99" t="s">
        <v>2292</v>
      </c>
      <c r="B53" s="1" t="n">
        <v>1</v>
      </c>
      <c r="C53" s="27" t="s">
        <v>401</v>
      </c>
      <c r="D53" s="1" t="n">
        <v>2237</v>
      </c>
      <c r="E53" s="27" t="n">
        <v>2237</v>
      </c>
      <c r="F53" s="27" t="s">
        <v>67</v>
      </c>
      <c r="G53" s="89" t="s">
        <v>2914</v>
      </c>
      <c r="H53" s="89" t="s">
        <v>525</v>
      </c>
      <c r="I53" s="90" t="s">
        <v>2295</v>
      </c>
      <c r="J53" s="89" t="s">
        <v>2296</v>
      </c>
      <c r="K53" s="89" t="s">
        <v>2297</v>
      </c>
      <c r="L53" s="90" t="s">
        <v>2298</v>
      </c>
      <c r="M53" s="89" t="s">
        <v>2299</v>
      </c>
      <c r="N53" s="27" t="s">
        <v>84</v>
      </c>
      <c r="O53" s="27" t="s">
        <v>84</v>
      </c>
      <c r="P53" s="27" t="s">
        <v>84</v>
      </c>
      <c r="Q53" s="27" t="s">
        <v>84</v>
      </c>
      <c r="R53" s="73" t="s">
        <v>2915</v>
      </c>
      <c r="S53" s="27" t="s">
        <v>84</v>
      </c>
      <c r="T53" s="27" t="s">
        <v>84</v>
      </c>
      <c r="U53" s="27" t="s">
        <v>84</v>
      </c>
      <c r="V53" s="27"/>
      <c r="W53" s="89" t="s">
        <v>2301</v>
      </c>
      <c r="X53" s="27" t="s">
        <v>84</v>
      </c>
      <c r="Y53" s="27" t="s">
        <v>84</v>
      </c>
      <c r="Z53" s="27" t="s">
        <v>84</v>
      </c>
      <c r="AA53" s="27"/>
      <c r="AB53" s="115" t="s">
        <v>84</v>
      </c>
      <c r="AC53" s="89" t="s">
        <v>2302</v>
      </c>
      <c r="AD53" s="89" t="s">
        <v>2303</v>
      </c>
      <c r="AE53" s="89" t="s">
        <v>2304</v>
      </c>
      <c r="AF53" s="89" t="s">
        <v>2305</v>
      </c>
      <c r="AG53" s="89" t="s">
        <v>2306</v>
      </c>
      <c r="AH53" s="89" t="s">
        <v>2307</v>
      </c>
      <c r="AI53" s="89" t="s">
        <v>2308</v>
      </c>
      <c r="AJ53" s="89" t="s">
        <v>2309</v>
      </c>
      <c r="AK53" s="90" t="s">
        <v>2310</v>
      </c>
      <c r="AL53" s="91" t="s">
        <v>2311</v>
      </c>
      <c r="AM53" s="91" t="s">
        <v>1776</v>
      </c>
    </row>
    <row r="54" customFormat="false" ht="14.25" hidden="false" customHeight="false" outlineLevel="0" collapsed="false">
      <c r="A54" s="87"/>
      <c r="D54" s="1"/>
      <c r="N54" s="27"/>
      <c r="O54" s="27"/>
      <c r="P54" s="27"/>
      <c r="Q54" s="27"/>
      <c r="R54" s="73"/>
      <c r="S54" s="27"/>
      <c r="T54" s="27"/>
      <c r="U54" s="27"/>
      <c r="V54" s="27"/>
      <c r="X54" s="27"/>
      <c r="Y54" s="27"/>
      <c r="Z54" s="27"/>
      <c r="AA54" s="27"/>
      <c r="AB54" s="115"/>
    </row>
    <row r="55" customFormat="false" ht="14.25" hidden="false" customHeight="false" outlineLevel="0" collapsed="false">
      <c r="A55" s="87" t="s">
        <v>2314</v>
      </c>
      <c r="B55" s="1" t="n">
        <v>1</v>
      </c>
      <c r="D55" s="1"/>
      <c r="N55" s="27"/>
      <c r="O55" s="27"/>
      <c r="P55" s="27"/>
      <c r="Q55" s="27"/>
      <c r="R55" s="73"/>
      <c r="S55" s="27"/>
      <c r="T55" s="27"/>
      <c r="U55" s="27"/>
      <c r="V55" s="27"/>
      <c r="X55" s="27"/>
      <c r="Y55" s="27"/>
      <c r="Z55" s="27"/>
      <c r="AA55" s="27"/>
      <c r="AB55" s="115"/>
    </row>
    <row r="56" customFormat="false" ht="14.25" hidden="false" customHeight="false" outlineLevel="0" collapsed="false">
      <c r="A56" s="87"/>
      <c r="D56" s="1"/>
      <c r="N56" s="27"/>
      <c r="O56" s="27"/>
      <c r="P56" s="27"/>
      <c r="Q56" s="27"/>
      <c r="R56" s="73"/>
      <c r="S56" s="27"/>
      <c r="T56" s="27"/>
      <c r="U56" s="27"/>
      <c r="V56" s="27"/>
      <c r="X56" s="27"/>
      <c r="Y56" s="27"/>
      <c r="Z56" s="27"/>
      <c r="AA56" s="27"/>
      <c r="AB56" s="115"/>
    </row>
    <row r="57" customFormat="false" ht="14.25" hidden="false" customHeight="false" outlineLevel="0" collapsed="false">
      <c r="A57" s="99" t="s">
        <v>2315</v>
      </c>
      <c r="B57" s="1" t="n">
        <v>1</v>
      </c>
      <c r="C57" s="27" t="n">
        <v>1999</v>
      </c>
      <c r="D57" s="1" t="n">
        <v>16</v>
      </c>
      <c r="E57" s="27" t="n">
        <v>19</v>
      </c>
      <c r="F57" s="27" t="s">
        <v>114</v>
      </c>
      <c r="G57" s="89" t="s">
        <v>2916</v>
      </c>
      <c r="H57" s="89" t="s">
        <v>2316</v>
      </c>
      <c r="I57" s="90" t="s">
        <v>84</v>
      </c>
      <c r="J57" s="89" t="s">
        <v>2320</v>
      </c>
      <c r="K57" s="89" t="s">
        <v>84</v>
      </c>
      <c r="L57" s="90" t="s">
        <v>84</v>
      </c>
      <c r="M57" s="89" t="s">
        <v>84</v>
      </c>
      <c r="N57" s="89" t="s">
        <v>84</v>
      </c>
      <c r="O57" s="89" t="s">
        <v>84</v>
      </c>
      <c r="P57" s="89" t="s">
        <v>84</v>
      </c>
      <c r="Q57" s="89" t="s">
        <v>84</v>
      </c>
      <c r="R57" s="89" t="s">
        <v>84</v>
      </c>
      <c r="S57" s="89" t="s">
        <v>84</v>
      </c>
      <c r="T57" s="89" t="s">
        <v>84</v>
      </c>
      <c r="U57" s="89" t="s">
        <v>84</v>
      </c>
      <c r="W57" s="89" t="s">
        <v>84</v>
      </c>
      <c r="X57" s="89" t="s">
        <v>84</v>
      </c>
      <c r="Y57" s="89" t="s">
        <v>84</v>
      </c>
      <c r="Z57" s="89" t="s">
        <v>84</v>
      </c>
      <c r="AB57" s="90" t="s">
        <v>84</v>
      </c>
      <c r="AC57" s="89" t="s">
        <v>2321</v>
      </c>
      <c r="AD57" s="101" t="s">
        <v>2322</v>
      </c>
      <c r="AE57" s="101" t="s">
        <v>2323</v>
      </c>
      <c r="AF57" s="101" t="s">
        <v>2324</v>
      </c>
      <c r="AG57" s="101" t="s">
        <v>2325</v>
      </c>
      <c r="AH57" s="101" t="s">
        <v>2326</v>
      </c>
      <c r="AI57" s="101" t="s">
        <v>2327</v>
      </c>
      <c r="AJ57" s="101" t="s">
        <v>2328</v>
      </c>
      <c r="AK57" s="104" t="s">
        <v>2329</v>
      </c>
      <c r="AL57" s="91" t="s">
        <v>2330</v>
      </c>
      <c r="AM57" s="91" t="s">
        <v>1776</v>
      </c>
    </row>
    <row r="59" customFormat="false" ht="14.25" hidden="false" customHeight="false" outlineLevel="0" collapsed="false">
      <c r="A59" s="1" t="s">
        <v>2333</v>
      </c>
      <c r="B59" s="1" t="n">
        <v>1</v>
      </c>
    </row>
    <row r="61" customFormat="false" ht="14.25" hidden="false" customHeight="false" outlineLevel="0" collapsed="false">
      <c r="A61" s="87" t="s">
        <v>2334</v>
      </c>
      <c r="B61" s="1" t="n">
        <v>1</v>
      </c>
      <c r="C61" s="27" t="s">
        <v>571</v>
      </c>
      <c r="E61" s="100" t="n">
        <v>1438</v>
      </c>
      <c r="F61" s="27" t="s">
        <v>67</v>
      </c>
      <c r="L61" s="89"/>
      <c r="M61" s="1"/>
      <c r="N61" s="1"/>
      <c r="O61" s="1"/>
      <c r="P61" s="1"/>
      <c r="AC61" s="89" t="s">
        <v>2335</v>
      </c>
      <c r="AD61" s="89" t="s">
        <v>2336</v>
      </c>
      <c r="AE61" s="89" t="s">
        <v>2337</v>
      </c>
      <c r="AF61" s="89" t="s">
        <v>2338</v>
      </c>
      <c r="AG61" s="89" t="s">
        <v>2339</v>
      </c>
      <c r="AH61" s="89" t="s">
        <v>2340</v>
      </c>
      <c r="AI61" s="89" t="s">
        <v>2341</v>
      </c>
      <c r="AJ61" s="89" t="s">
        <v>2342</v>
      </c>
      <c r="AK61" s="90" t="s">
        <v>2343</v>
      </c>
      <c r="AM61" s="91" t="s">
        <v>1776</v>
      </c>
    </row>
    <row r="62" customFormat="false" ht="14.25" hidden="false" customHeight="false" outlineLevel="0" collapsed="false">
      <c r="A62" s="1" t="s">
        <v>2345</v>
      </c>
      <c r="B62" s="1" t="n">
        <v>2</v>
      </c>
      <c r="C62" s="27" t="n">
        <v>2012</v>
      </c>
      <c r="D62" s="1" t="n">
        <v>199</v>
      </c>
      <c r="E62" s="27" t="n">
        <v>139</v>
      </c>
      <c r="F62" s="27" t="s">
        <v>67</v>
      </c>
      <c r="G62" s="89" t="s">
        <v>2346</v>
      </c>
      <c r="H62" s="89" t="s">
        <v>2917</v>
      </c>
      <c r="I62" s="90" t="s">
        <v>2348</v>
      </c>
      <c r="L62" s="89"/>
      <c r="M62" s="1"/>
      <c r="N62" s="1"/>
      <c r="O62" s="1"/>
      <c r="P62" s="1"/>
      <c r="AC62" s="89" t="s">
        <v>2349</v>
      </c>
      <c r="AD62" s="89" t="s">
        <v>2350</v>
      </c>
      <c r="AE62" s="89" t="s">
        <v>2351</v>
      </c>
      <c r="AF62" s="89" t="s">
        <v>2352</v>
      </c>
      <c r="AG62" s="89" t="s">
        <v>2353</v>
      </c>
      <c r="AH62" s="89" t="s">
        <v>2354</v>
      </c>
      <c r="AI62" s="89" t="s">
        <v>2355</v>
      </c>
      <c r="AJ62" s="89" t="s">
        <v>2356</v>
      </c>
      <c r="AK62" s="90" t="s">
        <v>2357</v>
      </c>
      <c r="AL62" s="1" t="s">
        <v>2358</v>
      </c>
      <c r="AM62" s="91" t="s">
        <v>1776</v>
      </c>
    </row>
    <row r="63" customFormat="false" ht="14.25" hidden="false" customHeight="false" outlineLevel="0" collapsed="false">
      <c r="A63" s="1" t="s">
        <v>576</v>
      </c>
      <c r="B63" s="1" t="n">
        <v>2</v>
      </c>
      <c r="D63" s="1" t="n">
        <v>79</v>
      </c>
      <c r="E63" s="27" t="n">
        <v>83</v>
      </c>
      <c r="F63" s="27" t="s">
        <v>67</v>
      </c>
      <c r="G63" s="89" t="s">
        <v>2360</v>
      </c>
      <c r="H63" s="89" t="s">
        <v>582</v>
      </c>
      <c r="I63" s="90" t="s">
        <v>2360</v>
      </c>
      <c r="L63" s="89"/>
      <c r="M63" s="1"/>
      <c r="N63" s="1"/>
      <c r="O63" s="1"/>
      <c r="P63" s="1"/>
      <c r="AC63" s="89" t="s">
        <v>2362</v>
      </c>
      <c r="AD63" s="89" t="s">
        <v>2363</v>
      </c>
      <c r="AE63" s="89" t="s">
        <v>2364</v>
      </c>
      <c r="AF63" s="89" t="s">
        <v>2365</v>
      </c>
      <c r="AG63" s="89" t="s">
        <v>2366</v>
      </c>
      <c r="AH63" s="89" t="s">
        <v>2367</v>
      </c>
      <c r="AI63" s="89" t="s">
        <v>2368</v>
      </c>
      <c r="AJ63" s="89" t="s">
        <v>2369</v>
      </c>
      <c r="AK63" s="90" t="s">
        <v>2370</v>
      </c>
      <c r="AL63" s="91" t="s">
        <v>2371</v>
      </c>
      <c r="AM63" s="91" t="s">
        <v>1776</v>
      </c>
    </row>
    <row r="64" customFormat="false" ht="14.25" hidden="false" customHeight="false" outlineLevel="0" collapsed="false">
      <c r="A64" s="1" t="s">
        <v>2373</v>
      </c>
      <c r="B64" s="1" t="n">
        <v>2</v>
      </c>
      <c r="E64" s="27" t="n">
        <v>68</v>
      </c>
      <c r="F64" s="27" t="s">
        <v>67</v>
      </c>
      <c r="G64" s="89" t="s">
        <v>2374</v>
      </c>
      <c r="H64" s="89" t="s">
        <v>2918</v>
      </c>
      <c r="I64" s="90" t="s">
        <v>2374</v>
      </c>
      <c r="L64" s="89"/>
      <c r="M64" s="1"/>
      <c r="N64" s="1"/>
      <c r="O64" s="1"/>
      <c r="P64" s="1"/>
      <c r="AC64" s="89" t="s">
        <v>84</v>
      </c>
      <c r="AD64" s="89" t="s">
        <v>84</v>
      </c>
      <c r="AE64" s="89" t="s">
        <v>84</v>
      </c>
      <c r="AF64" s="89" t="s">
        <v>84</v>
      </c>
      <c r="AG64" s="89" t="s">
        <v>84</v>
      </c>
      <c r="AH64" s="89" t="s">
        <v>84</v>
      </c>
      <c r="AI64" s="89" t="s">
        <v>84</v>
      </c>
      <c r="AJ64" s="89" t="s">
        <v>84</v>
      </c>
      <c r="AK64" s="90" t="s">
        <v>84</v>
      </c>
      <c r="AM64" s="91" t="s">
        <v>1776</v>
      </c>
    </row>
    <row r="65" customFormat="false" ht="14.25" hidden="false" customHeight="false" outlineLevel="0" collapsed="false">
      <c r="A65" s="1" t="s">
        <v>2376</v>
      </c>
      <c r="B65" s="1" t="n">
        <v>2</v>
      </c>
      <c r="E65" s="27" t="n">
        <v>148</v>
      </c>
      <c r="F65" s="27" t="s">
        <v>67</v>
      </c>
      <c r="G65" s="89" t="s">
        <v>2377</v>
      </c>
      <c r="H65" s="89" t="s">
        <v>2919</v>
      </c>
      <c r="I65" s="90" t="s">
        <v>84</v>
      </c>
      <c r="L65" s="89"/>
      <c r="M65" s="1"/>
      <c r="N65" s="1"/>
      <c r="O65" s="1"/>
      <c r="P65" s="1"/>
      <c r="AC65" s="89" t="s">
        <v>84</v>
      </c>
      <c r="AD65" s="89" t="s">
        <v>84</v>
      </c>
      <c r="AE65" s="89" t="s">
        <v>84</v>
      </c>
      <c r="AF65" s="89" t="s">
        <v>84</v>
      </c>
      <c r="AG65" s="89" t="s">
        <v>84</v>
      </c>
      <c r="AH65" s="89" t="s">
        <v>84</v>
      </c>
      <c r="AI65" s="89" t="s">
        <v>84</v>
      </c>
      <c r="AJ65" s="89" t="s">
        <v>84</v>
      </c>
      <c r="AK65" s="90" t="s">
        <v>84</v>
      </c>
      <c r="AM65" s="91" t="s">
        <v>1776</v>
      </c>
    </row>
    <row r="66" customFormat="false" ht="14.25" hidden="false" customHeight="false" outlineLevel="0" collapsed="false">
      <c r="A66" s="1" t="s">
        <v>2379</v>
      </c>
      <c r="B66" s="1" t="n">
        <v>2</v>
      </c>
      <c r="E66" s="27" t="n">
        <v>70</v>
      </c>
      <c r="F66" s="27" t="s">
        <v>67</v>
      </c>
      <c r="G66" s="89" t="s">
        <v>2380</v>
      </c>
      <c r="H66" s="89" t="s">
        <v>2920</v>
      </c>
      <c r="I66" s="90" t="s">
        <v>2380</v>
      </c>
      <c r="L66" s="89"/>
      <c r="M66" s="1"/>
      <c r="N66" s="1"/>
      <c r="O66" s="1"/>
      <c r="P66" s="1"/>
      <c r="AC66" s="89" t="s">
        <v>84</v>
      </c>
      <c r="AD66" s="89" t="s">
        <v>84</v>
      </c>
      <c r="AE66" s="89" t="s">
        <v>84</v>
      </c>
      <c r="AF66" s="89" t="s">
        <v>84</v>
      </c>
      <c r="AG66" s="89" t="s">
        <v>84</v>
      </c>
      <c r="AH66" s="89" t="s">
        <v>84</v>
      </c>
      <c r="AI66" s="89" t="s">
        <v>84</v>
      </c>
      <c r="AJ66" s="89" t="s">
        <v>84</v>
      </c>
      <c r="AK66" s="90" t="s">
        <v>84</v>
      </c>
      <c r="AM66" s="91" t="s">
        <v>1776</v>
      </c>
    </row>
    <row r="67" customFormat="false" ht="14.25" hidden="false" customHeight="false" outlineLevel="0" collapsed="false">
      <c r="A67" s="1" t="s">
        <v>2381</v>
      </c>
      <c r="B67" s="1" t="n">
        <v>2</v>
      </c>
      <c r="E67" s="27" t="n">
        <v>158</v>
      </c>
      <c r="F67" s="27" t="s">
        <v>67</v>
      </c>
      <c r="G67" s="89" t="s">
        <v>2382</v>
      </c>
      <c r="H67" s="89" t="s">
        <v>2921</v>
      </c>
      <c r="I67" s="90" t="s">
        <v>2382</v>
      </c>
      <c r="AC67" s="89" t="s">
        <v>84</v>
      </c>
      <c r="AD67" s="89" t="s">
        <v>84</v>
      </c>
      <c r="AE67" s="89" t="s">
        <v>84</v>
      </c>
      <c r="AF67" s="89" t="s">
        <v>84</v>
      </c>
      <c r="AG67" s="89" t="s">
        <v>84</v>
      </c>
      <c r="AH67" s="89" t="s">
        <v>84</v>
      </c>
      <c r="AI67" s="89" t="s">
        <v>84</v>
      </c>
      <c r="AJ67" s="89" t="s">
        <v>84</v>
      </c>
      <c r="AK67" s="90" t="s">
        <v>84</v>
      </c>
      <c r="AM67" s="91" t="s">
        <v>1776</v>
      </c>
    </row>
    <row r="68" customFormat="false" ht="14.25" hidden="false" customHeight="false" outlineLevel="0" collapsed="false">
      <c r="A68" s="1" t="s">
        <v>575</v>
      </c>
      <c r="B68" s="1" t="n">
        <v>2</v>
      </c>
      <c r="E68" s="27" t="n">
        <v>772</v>
      </c>
      <c r="F68" s="27" t="s">
        <v>67</v>
      </c>
      <c r="G68" s="89" t="s">
        <v>2384</v>
      </c>
      <c r="H68" s="89" t="s">
        <v>581</v>
      </c>
      <c r="I68" s="90" t="s">
        <v>2384</v>
      </c>
      <c r="AC68" s="89" t="s">
        <v>2386</v>
      </c>
      <c r="AD68" s="89" t="s">
        <v>2387</v>
      </c>
      <c r="AE68" s="89" t="s">
        <v>2388</v>
      </c>
      <c r="AF68" s="89" t="s">
        <v>2389</v>
      </c>
      <c r="AG68" s="89" t="s">
        <v>2390</v>
      </c>
      <c r="AH68" s="89" t="s">
        <v>2391</v>
      </c>
      <c r="AI68" s="89" t="s">
        <v>2392</v>
      </c>
      <c r="AJ68" s="89" t="s">
        <v>2393</v>
      </c>
      <c r="AK68" s="90" t="s">
        <v>2394</v>
      </c>
      <c r="AM68" s="91" t="s">
        <v>1776</v>
      </c>
    </row>
    <row r="70" customFormat="false" ht="14.25" hidden="false" customHeight="false" outlineLevel="0" collapsed="false">
      <c r="A70" s="87" t="s">
        <v>2395</v>
      </c>
      <c r="B70" s="1" t="n">
        <v>1</v>
      </c>
    </row>
    <row r="72" customFormat="false" ht="14.25" hidden="false" customHeight="false" outlineLevel="0" collapsed="false">
      <c r="A72" s="113" t="s">
        <v>2396</v>
      </c>
      <c r="B72" s="1" t="n">
        <v>1</v>
      </c>
      <c r="C72" s="27" t="s">
        <v>605</v>
      </c>
      <c r="D72" s="1" t="n">
        <v>2909</v>
      </c>
      <c r="E72" s="27" t="n">
        <v>3930</v>
      </c>
      <c r="F72" s="27" t="s">
        <v>67</v>
      </c>
      <c r="G72" s="89" t="s">
        <v>2922</v>
      </c>
      <c r="H72" s="89" t="s">
        <v>610</v>
      </c>
      <c r="I72" s="90" t="s">
        <v>2399</v>
      </c>
      <c r="J72" s="89" t="s">
        <v>2923</v>
      </c>
      <c r="K72" s="89" t="s">
        <v>2924</v>
      </c>
      <c r="L72" s="90" t="s">
        <v>2402</v>
      </c>
      <c r="M72" s="89" t="s">
        <v>2422</v>
      </c>
      <c r="N72" s="89" t="s">
        <v>84</v>
      </c>
      <c r="O72" s="89" t="s">
        <v>84</v>
      </c>
      <c r="P72" s="89" t="s">
        <v>84</v>
      </c>
      <c r="Q72" s="89" t="s">
        <v>84</v>
      </c>
      <c r="R72" s="89" t="s">
        <v>84</v>
      </c>
      <c r="S72" s="89" t="s">
        <v>84</v>
      </c>
      <c r="T72" s="89" t="s">
        <v>2404</v>
      </c>
      <c r="U72" s="89" t="s">
        <v>2405</v>
      </c>
      <c r="V72" s="89" t="s">
        <v>2406</v>
      </c>
      <c r="W72" s="89" t="s">
        <v>84</v>
      </c>
      <c r="X72" s="89" t="s">
        <v>84</v>
      </c>
      <c r="Y72" s="89" t="s">
        <v>84</v>
      </c>
      <c r="Z72" s="89" t="s">
        <v>84</v>
      </c>
      <c r="AB72" s="90" t="s">
        <v>84</v>
      </c>
      <c r="AC72" s="89" t="s">
        <v>84</v>
      </c>
      <c r="AD72" s="89" t="s">
        <v>2925</v>
      </c>
      <c r="AE72" s="89" t="s">
        <v>2926</v>
      </c>
      <c r="AF72" s="89" t="s">
        <v>84</v>
      </c>
      <c r="AG72" s="89" t="s">
        <v>2927</v>
      </c>
      <c r="AH72" s="89" t="s">
        <v>2928</v>
      </c>
      <c r="AI72" s="89" t="s">
        <v>2929</v>
      </c>
      <c r="AJ72" s="89" t="s">
        <v>2930</v>
      </c>
      <c r="AK72" s="90" t="s">
        <v>2931</v>
      </c>
      <c r="AL72" s="4" t="s">
        <v>2416</v>
      </c>
      <c r="AM72" s="91" t="s">
        <v>1776</v>
      </c>
      <c r="AP72" s="9"/>
      <c r="AQ72" s="2"/>
    </row>
    <row r="73" customFormat="false" ht="14.25" hidden="false" customHeight="false" outlineLevel="0" collapsed="false">
      <c r="A73" s="87"/>
      <c r="D73" s="1"/>
      <c r="AL73" s="4"/>
      <c r="AP73" s="9"/>
      <c r="AQ73" s="2"/>
    </row>
    <row r="74" customFormat="false" ht="14.25" hidden="false" customHeight="false" outlineLevel="0" collapsed="false">
      <c r="A74" s="99" t="s">
        <v>2448</v>
      </c>
      <c r="B74" s="1" t="n">
        <v>1</v>
      </c>
      <c r="C74" s="27" t="n">
        <v>2021</v>
      </c>
      <c r="D74" s="1" t="n">
        <v>106</v>
      </c>
      <c r="E74" s="100" t="n">
        <v>106</v>
      </c>
      <c r="F74" s="27" t="s">
        <v>67</v>
      </c>
      <c r="G74" s="89" t="s">
        <v>2932</v>
      </c>
      <c r="H74" s="89" t="s">
        <v>651</v>
      </c>
      <c r="I74" s="90" t="s">
        <v>2451</v>
      </c>
      <c r="J74" s="89" t="s">
        <v>2452</v>
      </c>
      <c r="K74" s="89" t="s">
        <v>84</v>
      </c>
      <c r="L74" s="90" t="s">
        <v>84</v>
      </c>
      <c r="M74" s="89" t="s">
        <v>84</v>
      </c>
      <c r="N74" s="89" t="s">
        <v>84</v>
      </c>
      <c r="O74" s="89" t="s">
        <v>84</v>
      </c>
      <c r="P74" s="89" t="s">
        <v>84</v>
      </c>
      <c r="Q74" s="89" t="s">
        <v>84</v>
      </c>
      <c r="R74" s="89" t="s">
        <v>84</v>
      </c>
      <c r="S74" s="89" t="s">
        <v>84</v>
      </c>
      <c r="T74" s="89" t="s">
        <v>84</v>
      </c>
      <c r="U74" s="89" t="s">
        <v>84</v>
      </c>
      <c r="V74" s="89" t="s">
        <v>84</v>
      </c>
      <c r="W74" s="89" t="s">
        <v>84</v>
      </c>
      <c r="X74" s="89" t="s">
        <v>84</v>
      </c>
      <c r="Y74" s="89" t="s">
        <v>84</v>
      </c>
      <c r="Z74" s="89" t="s">
        <v>84</v>
      </c>
      <c r="AB74" s="90" t="s">
        <v>84</v>
      </c>
      <c r="AC74" s="89" t="s">
        <v>2453</v>
      </c>
      <c r="AD74" s="101" t="s">
        <v>2454</v>
      </c>
      <c r="AE74" s="101" t="s">
        <v>2455</v>
      </c>
      <c r="AF74" s="89" t="s">
        <v>2456</v>
      </c>
      <c r="AG74" s="89" t="s">
        <v>2457</v>
      </c>
      <c r="AH74" s="89" t="s">
        <v>2458</v>
      </c>
      <c r="AI74" s="89" t="s">
        <v>2459</v>
      </c>
      <c r="AJ74" s="101" t="s">
        <v>2460</v>
      </c>
      <c r="AK74" s="104" t="s">
        <v>2461</v>
      </c>
      <c r="AL74" s="4" t="s">
        <v>2462</v>
      </c>
      <c r="AM74" s="91" t="s">
        <v>1776</v>
      </c>
      <c r="AO74" s="57"/>
      <c r="AP74" s="2"/>
    </row>
    <row r="75" customFormat="false" ht="14.25" hidden="false" customHeight="false" outlineLevel="0" collapsed="false">
      <c r="A75" s="87"/>
      <c r="D75" s="1"/>
      <c r="AD75" s="105"/>
      <c r="AE75" s="105"/>
      <c r="AJ75" s="105"/>
      <c r="AK75" s="106"/>
      <c r="AL75" s="4"/>
      <c r="AO75" s="57"/>
      <c r="AP75" s="2"/>
    </row>
    <row r="76" customFormat="false" ht="14.25" hidden="false" customHeight="false" outlineLevel="0" collapsed="false">
      <c r="A76" s="99" t="s">
        <v>1679</v>
      </c>
      <c r="B76" s="1" t="n">
        <v>1</v>
      </c>
      <c r="C76" s="27" t="n">
        <v>2019</v>
      </c>
      <c r="D76" s="1" t="n">
        <v>76</v>
      </c>
      <c r="E76" s="100" t="n">
        <v>76</v>
      </c>
      <c r="F76" s="27" t="s">
        <v>2465</v>
      </c>
      <c r="G76" s="89" t="s">
        <v>663</v>
      </c>
      <c r="H76" s="89" t="s">
        <v>664</v>
      </c>
      <c r="I76" s="90" t="s">
        <v>84</v>
      </c>
      <c r="J76" s="89" t="s">
        <v>84</v>
      </c>
      <c r="K76" s="89" t="s">
        <v>84</v>
      </c>
      <c r="L76" s="90" t="s">
        <v>84</v>
      </c>
      <c r="M76" s="89" t="s">
        <v>84</v>
      </c>
      <c r="N76" s="89" t="s">
        <v>84</v>
      </c>
      <c r="O76" s="89" t="s">
        <v>84</v>
      </c>
      <c r="P76" s="89" t="s">
        <v>84</v>
      </c>
      <c r="Q76" s="89" t="s">
        <v>84</v>
      </c>
      <c r="R76" s="89" t="s">
        <v>84</v>
      </c>
      <c r="S76" s="89" t="s">
        <v>84</v>
      </c>
      <c r="T76" s="89" t="s">
        <v>84</v>
      </c>
      <c r="U76" s="89" t="s">
        <v>84</v>
      </c>
      <c r="V76" s="89" t="s">
        <v>84</v>
      </c>
      <c r="W76" s="89" t="s">
        <v>84</v>
      </c>
      <c r="X76" s="89" t="s">
        <v>84</v>
      </c>
      <c r="Y76" s="89" t="s">
        <v>84</v>
      </c>
      <c r="Z76" s="89" t="s">
        <v>84</v>
      </c>
      <c r="AB76" s="90" t="s">
        <v>84</v>
      </c>
      <c r="AC76" s="89" t="s">
        <v>2469</v>
      </c>
      <c r="AD76" s="89" t="s">
        <v>2470</v>
      </c>
      <c r="AE76" s="89" t="s">
        <v>2471</v>
      </c>
      <c r="AF76" s="89" t="s">
        <v>2472</v>
      </c>
      <c r="AG76" s="89" t="s">
        <v>2473</v>
      </c>
      <c r="AH76" s="89" t="s">
        <v>84</v>
      </c>
      <c r="AI76" s="89" t="s">
        <v>84</v>
      </c>
      <c r="AJ76" s="89" t="s">
        <v>84</v>
      </c>
      <c r="AK76" s="90" t="s">
        <v>84</v>
      </c>
      <c r="AL76" s="91" t="s">
        <v>2474</v>
      </c>
      <c r="AM76" s="91" t="s">
        <v>1826</v>
      </c>
      <c r="AO76" s="57"/>
      <c r="AP76" s="2"/>
    </row>
    <row r="77" customFormat="false" ht="14.25" hidden="false" customHeight="false" outlineLevel="0" collapsed="false">
      <c r="A77" s="87"/>
      <c r="D77" s="1"/>
      <c r="AO77" s="57"/>
      <c r="AP77" s="2"/>
    </row>
    <row r="78" customFormat="false" ht="14.25" hidden="false" customHeight="false" outlineLevel="0" collapsed="false">
      <c r="A78" s="113" t="s">
        <v>1680</v>
      </c>
      <c r="B78" s="1" t="n">
        <v>1</v>
      </c>
      <c r="C78" s="27" t="s">
        <v>674</v>
      </c>
      <c r="D78" s="1" t="n">
        <v>3672</v>
      </c>
      <c r="E78" s="100" t="n">
        <v>3982</v>
      </c>
      <c r="F78" s="27" t="s">
        <v>67</v>
      </c>
      <c r="G78" s="89" t="s">
        <v>2933</v>
      </c>
      <c r="H78" s="132" t="s">
        <v>2934</v>
      </c>
      <c r="I78" s="90" t="s">
        <v>2479</v>
      </c>
      <c r="J78" s="133"/>
      <c r="K78" s="133"/>
      <c r="L78" s="134"/>
      <c r="M78" s="89" t="s">
        <v>84</v>
      </c>
      <c r="N78" s="89" t="s">
        <v>84</v>
      </c>
      <c r="O78" s="89" t="s">
        <v>84</v>
      </c>
      <c r="P78" s="89" t="s">
        <v>84</v>
      </c>
      <c r="Q78" s="89" t="s">
        <v>84</v>
      </c>
      <c r="R78" s="89" t="s">
        <v>84</v>
      </c>
      <c r="S78" s="89" t="s">
        <v>84</v>
      </c>
      <c r="T78" s="89" t="s">
        <v>84</v>
      </c>
      <c r="U78" s="89" t="s">
        <v>84</v>
      </c>
      <c r="V78" s="89" t="s">
        <v>84</v>
      </c>
      <c r="W78" s="89" t="s">
        <v>84</v>
      </c>
      <c r="X78" s="89" t="s">
        <v>84</v>
      </c>
      <c r="Y78" s="89" t="s">
        <v>84</v>
      </c>
      <c r="Z78" s="89" t="s">
        <v>84</v>
      </c>
      <c r="AB78" s="90" t="s">
        <v>84</v>
      </c>
      <c r="AC78" s="89" t="s">
        <v>84</v>
      </c>
      <c r="AD78" s="89" t="s">
        <v>2935</v>
      </c>
      <c r="AE78" s="89" t="s">
        <v>84</v>
      </c>
      <c r="AF78" s="89" t="s">
        <v>84</v>
      </c>
      <c r="AG78" s="89" t="s">
        <v>84</v>
      </c>
      <c r="AH78" s="89" t="s">
        <v>84</v>
      </c>
      <c r="AI78" s="89" t="s">
        <v>84</v>
      </c>
      <c r="AJ78" s="89" t="s">
        <v>84</v>
      </c>
      <c r="AK78" s="90" t="s">
        <v>84</v>
      </c>
      <c r="AL78" s="91" t="s">
        <v>2489</v>
      </c>
      <c r="AM78" s="91" t="s">
        <v>1776</v>
      </c>
      <c r="AO78" s="9"/>
      <c r="AP78" s="2"/>
    </row>
    <row r="79" customFormat="false" ht="14.25" hidden="false" customHeight="false" outlineLevel="0" collapsed="false">
      <c r="A79" s="87"/>
      <c r="D79" s="1"/>
      <c r="J79" s="105"/>
      <c r="K79" s="105"/>
      <c r="L79" s="106"/>
      <c r="AO79" s="9"/>
      <c r="AP79" s="2"/>
    </row>
    <row r="80" customFormat="false" ht="14.25" hidden="false" customHeight="false" outlineLevel="0" collapsed="false">
      <c r="A80" s="99" t="s">
        <v>1681</v>
      </c>
      <c r="B80" s="1" t="n">
        <v>1</v>
      </c>
      <c r="C80" s="27" t="n">
        <v>2018</v>
      </c>
      <c r="D80" s="1" t="n">
        <v>1983</v>
      </c>
      <c r="E80" s="100" t="n">
        <v>1983</v>
      </c>
      <c r="F80" s="27" t="s">
        <v>67</v>
      </c>
      <c r="G80" s="89" t="s">
        <v>2492</v>
      </c>
      <c r="H80" s="89" t="s">
        <v>688</v>
      </c>
      <c r="I80" s="90" t="s">
        <v>2936</v>
      </c>
      <c r="J80" s="89" t="s">
        <v>2937</v>
      </c>
      <c r="K80" s="135"/>
      <c r="L80" s="90" t="s">
        <v>84</v>
      </c>
      <c r="M80" s="89" t="s">
        <v>2496</v>
      </c>
      <c r="N80" s="89" t="s">
        <v>84</v>
      </c>
      <c r="O80" s="89" t="s">
        <v>84</v>
      </c>
      <c r="P80" s="89" t="s">
        <v>84</v>
      </c>
      <c r="Q80" s="89" t="s">
        <v>84</v>
      </c>
      <c r="R80" s="89" t="s">
        <v>84</v>
      </c>
      <c r="S80" s="89" t="s">
        <v>84</v>
      </c>
      <c r="T80" s="89" t="s">
        <v>84</v>
      </c>
      <c r="U80" s="89" t="s">
        <v>84</v>
      </c>
      <c r="V80" s="89" t="s">
        <v>84</v>
      </c>
      <c r="W80" s="89" t="s">
        <v>84</v>
      </c>
      <c r="X80" s="89" t="s">
        <v>84</v>
      </c>
      <c r="Y80" s="89" t="s">
        <v>84</v>
      </c>
      <c r="Z80" s="89" t="s">
        <v>84</v>
      </c>
      <c r="AB80" s="90" t="s">
        <v>84</v>
      </c>
      <c r="AC80" s="101" t="s">
        <v>2938</v>
      </c>
      <c r="AD80" s="101" t="s">
        <v>2498</v>
      </c>
      <c r="AE80" s="89" t="s">
        <v>2939</v>
      </c>
      <c r="AF80" s="89" t="s">
        <v>2500</v>
      </c>
      <c r="AG80" s="89" t="s">
        <v>2940</v>
      </c>
      <c r="AH80" s="101" t="s">
        <v>2502</v>
      </c>
      <c r="AI80" s="101" t="s">
        <v>2503</v>
      </c>
      <c r="AJ80" s="101" t="s">
        <v>2504</v>
      </c>
      <c r="AK80" s="104" t="s">
        <v>2505</v>
      </c>
      <c r="AL80" s="91" t="s">
        <v>2489</v>
      </c>
      <c r="AM80" s="91" t="s">
        <v>1826</v>
      </c>
      <c r="AO80" s="2"/>
    </row>
    <row r="81" customFormat="false" ht="14.25" hidden="false" customHeight="false" outlineLevel="0" collapsed="false">
      <c r="A81" s="87"/>
      <c r="D81" s="1"/>
      <c r="K81" s="73"/>
      <c r="AC81" s="105"/>
      <c r="AD81" s="105"/>
      <c r="AH81" s="105"/>
      <c r="AI81" s="105"/>
      <c r="AJ81" s="105"/>
      <c r="AK81" s="106"/>
      <c r="AO81" s="2"/>
    </row>
    <row r="82" customFormat="false" ht="14.25" hidden="false" customHeight="false" outlineLevel="0" collapsed="false">
      <c r="A82" s="99" t="s">
        <v>2519</v>
      </c>
      <c r="B82" s="1" t="n">
        <v>1</v>
      </c>
      <c r="C82" s="27" t="n">
        <v>2019</v>
      </c>
      <c r="D82" s="1" t="n">
        <v>20</v>
      </c>
      <c r="E82" s="27" t="n">
        <v>20</v>
      </c>
      <c r="G82" s="89" t="s">
        <v>2941</v>
      </c>
      <c r="H82" s="89" t="s">
        <v>2942</v>
      </c>
      <c r="J82" s="89" t="s">
        <v>2521</v>
      </c>
      <c r="K82" s="105" t="s">
        <v>2522</v>
      </c>
      <c r="L82" s="90" t="s">
        <v>2522</v>
      </c>
      <c r="M82" s="89" t="s">
        <v>84</v>
      </c>
      <c r="N82" s="89" t="s">
        <v>84</v>
      </c>
      <c r="O82" s="89" t="s">
        <v>84</v>
      </c>
      <c r="P82" s="89" t="s">
        <v>84</v>
      </c>
      <c r="Q82" s="89" t="s">
        <v>84</v>
      </c>
      <c r="R82" s="89" t="s">
        <v>84</v>
      </c>
      <c r="S82" s="89" t="s">
        <v>84</v>
      </c>
      <c r="T82" s="89" t="s">
        <v>84</v>
      </c>
      <c r="U82" s="89" t="s">
        <v>84</v>
      </c>
      <c r="V82" s="89" t="s">
        <v>84</v>
      </c>
      <c r="W82" s="89" t="s">
        <v>84</v>
      </c>
      <c r="X82" s="89" t="s">
        <v>84</v>
      </c>
      <c r="Y82" s="89" t="s">
        <v>84</v>
      </c>
      <c r="Z82" s="89" t="s">
        <v>84</v>
      </c>
      <c r="AA82" s="89" t="s">
        <v>84</v>
      </c>
      <c r="AB82" s="90" t="s">
        <v>84</v>
      </c>
      <c r="AC82" s="105" t="s">
        <v>2523</v>
      </c>
      <c r="AD82" s="105" t="s">
        <v>2524</v>
      </c>
      <c r="AE82" s="89" t="s">
        <v>2525</v>
      </c>
      <c r="AF82" s="89" t="s">
        <v>2526</v>
      </c>
      <c r="AG82" s="89" t="s">
        <v>2527</v>
      </c>
      <c r="AH82" s="105" t="s">
        <v>2528</v>
      </c>
      <c r="AI82" s="105" t="s">
        <v>2529</v>
      </c>
      <c r="AJ82" s="105" t="s">
        <v>2530</v>
      </c>
      <c r="AK82" s="106" t="s">
        <v>2531</v>
      </c>
      <c r="AL82" s="91" t="s">
        <v>2532</v>
      </c>
      <c r="AM82" s="91" t="s">
        <v>1826</v>
      </c>
      <c r="AO82" s="2"/>
    </row>
    <row r="83" customFormat="false" ht="14.25" hidden="false" customHeight="false" outlineLevel="0" collapsed="false">
      <c r="A83" s="87"/>
      <c r="D83" s="1"/>
      <c r="K83" s="73"/>
      <c r="AC83" s="105"/>
      <c r="AD83" s="105"/>
      <c r="AH83" s="105"/>
      <c r="AI83" s="105"/>
      <c r="AJ83" s="105"/>
      <c r="AK83" s="106"/>
      <c r="AO83" s="2"/>
    </row>
    <row r="84" customFormat="false" ht="14.25" hidden="false" customHeight="false" outlineLevel="0" collapsed="false">
      <c r="A84" s="99" t="s">
        <v>2535</v>
      </c>
      <c r="B84" s="1" t="n">
        <v>1</v>
      </c>
      <c r="C84" s="27" t="s">
        <v>2536</v>
      </c>
      <c r="D84" s="1" t="n">
        <v>71</v>
      </c>
      <c r="E84" s="27" t="n">
        <v>212</v>
      </c>
      <c r="F84" s="27" t="s">
        <v>84</v>
      </c>
      <c r="G84" s="89" t="s">
        <v>2943</v>
      </c>
      <c r="H84" s="89" t="s">
        <v>2944</v>
      </c>
      <c r="I84" s="90" t="s">
        <v>84</v>
      </c>
      <c r="J84" s="89" t="s">
        <v>84</v>
      </c>
      <c r="K84" s="73" t="s">
        <v>84</v>
      </c>
      <c r="L84" s="90" t="s">
        <v>84</v>
      </c>
      <c r="M84" s="89" t="s">
        <v>84</v>
      </c>
      <c r="N84" s="89" t="s">
        <v>84</v>
      </c>
      <c r="O84" s="89" t="s">
        <v>84</v>
      </c>
      <c r="P84" s="89" t="s">
        <v>84</v>
      </c>
      <c r="Q84" s="89" t="s">
        <v>84</v>
      </c>
      <c r="R84" s="89" t="s">
        <v>84</v>
      </c>
      <c r="S84" s="89" t="s">
        <v>84</v>
      </c>
      <c r="T84" s="89" t="s">
        <v>84</v>
      </c>
      <c r="U84" s="89" t="s">
        <v>84</v>
      </c>
      <c r="V84" s="89" t="s">
        <v>2540</v>
      </c>
      <c r="W84" s="89" t="s">
        <v>84</v>
      </c>
      <c r="X84" s="89" t="s">
        <v>84</v>
      </c>
      <c r="Y84" s="89" t="s">
        <v>84</v>
      </c>
      <c r="Z84" s="89" t="s">
        <v>84</v>
      </c>
      <c r="AA84" s="89" t="s">
        <v>84</v>
      </c>
      <c r="AB84" s="90" t="s">
        <v>84</v>
      </c>
      <c r="AC84" s="105" t="s">
        <v>84</v>
      </c>
      <c r="AD84" s="105" t="s">
        <v>84</v>
      </c>
      <c r="AE84" s="89" t="s">
        <v>84</v>
      </c>
      <c r="AF84" s="89" t="s">
        <v>84</v>
      </c>
      <c r="AG84" s="89" t="s">
        <v>84</v>
      </c>
      <c r="AH84" s="105" t="s">
        <v>84</v>
      </c>
      <c r="AI84" s="105" t="s">
        <v>84</v>
      </c>
      <c r="AJ84" s="105" t="s">
        <v>84</v>
      </c>
      <c r="AK84" s="106" t="s">
        <v>84</v>
      </c>
      <c r="AL84" s="91" t="s">
        <v>2541</v>
      </c>
      <c r="AM84" s="91" t="s">
        <v>1826</v>
      </c>
      <c r="AO84" s="2"/>
    </row>
    <row r="85" customFormat="false" ht="14.25" hidden="false" customHeight="false" outlineLevel="0" collapsed="false">
      <c r="A85" s="87"/>
      <c r="D85" s="1"/>
      <c r="K85" s="73"/>
      <c r="AC85" s="105"/>
      <c r="AD85" s="105"/>
      <c r="AH85" s="105"/>
      <c r="AI85" s="105"/>
      <c r="AJ85" s="105"/>
      <c r="AK85" s="106"/>
      <c r="AO85" s="2"/>
    </row>
    <row r="86" customFormat="false" ht="14.25" hidden="false" customHeight="false" outlineLevel="0" collapsed="false">
      <c r="A86" s="99" t="s">
        <v>2551</v>
      </c>
      <c r="B86" s="1" t="n">
        <v>1</v>
      </c>
      <c r="C86" s="27" t="n">
        <v>2021</v>
      </c>
      <c r="D86" s="1" t="n">
        <v>33</v>
      </c>
      <c r="E86" s="27" t="n">
        <v>255</v>
      </c>
      <c r="F86" s="27" t="s">
        <v>67</v>
      </c>
      <c r="G86" s="89" t="s">
        <v>2552</v>
      </c>
      <c r="H86" s="89" t="s">
        <v>2945</v>
      </c>
      <c r="I86" s="90" t="s">
        <v>84</v>
      </c>
      <c r="J86" s="89" t="s">
        <v>84</v>
      </c>
      <c r="K86" s="73" t="s">
        <v>84</v>
      </c>
      <c r="L86" s="90" t="s">
        <v>84</v>
      </c>
      <c r="M86" s="89" t="s">
        <v>84</v>
      </c>
      <c r="N86" s="89" t="s">
        <v>84</v>
      </c>
      <c r="O86" s="89" t="s">
        <v>84</v>
      </c>
      <c r="P86" s="89" t="s">
        <v>84</v>
      </c>
      <c r="Q86" s="89" t="s">
        <v>84</v>
      </c>
      <c r="R86" s="89" t="s">
        <v>84</v>
      </c>
      <c r="S86" s="89" t="s">
        <v>84</v>
      </c>
      <c r="T86" s="89" t="s">
        <v>84</v>
      </c>
      <c r="U86" s="89" t="s">
        <v>84</v>
      </c>
      <c r="V86" s="89" t="s">
        <v>84</v>
      </c>
      <c r="W86" s="89" t="s">
        <v>84</v>
      </c>
      <c r="X86" s="89" t="s">
        <v>84</v>
      </c>
      <c r="Y86" s="89" t="s">
        <v>84</v>
      </c>
      <c r="Z86" s="89" t="s">
        <v>84</v>
      </c>
      <c r="AA86" s="89" t="s">
        <v>84</v>
      </c>
      <c r="AB86" s="90" t="s">
        <v>84</v>
      </c>
      <c r="AC86" s="105" t="s">
        <v>2554</v>
      </c>
      <c r="AD86" s="105" t="s">
        <v>2555</v>
      </c>
      <c r="AE86" s="89" t="s">
        <v>2556</v>
      </c>
      <c r="AF86" s="89" t="s">
        <v>2557</v>
      </c>
      <c r="AG86" s="89" t="s">
        <v>2558</v>
      </c>
      <c r="AH86" s="105" t="s">
        <v>2559</v>
      </c>
      <c r="AI86" s="105" t="s">
        <v>2560</v>
      </c>
      <c r="AJ86" s="105" t="s">
        <v>2561</v>
      </c>
      <c r="AK86" s="106" t="s">
        <v>2562</v>
      </c>
      <c r="AL86" s="122" t="s">
        <v>2563</v>
      </c>
      <c r="AM86" s="91" t="s">
        <v>1826</v>
      </c>
      <c r="AN86" s="108"/>
      <c r="AO86" s="2"/>
    </row>
    <row r="87" customFormat="false" ht="14.25" hidden="false" customHeight="false" outlineLevel="0" collapsed="false">
      <c r="A87" s="87"/>
      <c r="D87" s="1"/>
      <c r="K87" s="73"/>
      <c r="AC87" s="105"/>
      <c r="AD87" s="105"/>
      <c r="AH87" s="105"/>
      <c r="AI87" s="105"/>
      <c r="AJ87" s="105"/>
      <c r="AK87" s="106"/>
      <c r="AO87" s="2"/>
    </row>
    <row r="88" customFormat="false" ht="14.25" hidden="false" customHeight="false" outlineLevel="0" collapsed="false">
      <c r="A88" s="99" t="s">
        <v>2566</v>
      </c>
      <c r="B88" s="1" t="n">
        <v>1</v>
      </c>
      <c r="C88" s="27" t="n">
        <v>2024</v>
      </c>
      <c r="D88" s="1" t="n">
        <v>34</v>
      </c>
      <c r="E88" s="27" t="n">
        <v>34</v>
      </c>
      <c r="F88" s="27" t="s">
        <v>84</v>
      </c>
      <c r="G88" s="89" t="s">
        <v>2946</v>
      </c>
      <c r="H88" s="89" t="s">
        <v>2947</v>
      </c>
      <c r="I88" s="90" t="s">
        <v>84</v>
      </c>
      <c r="J88" s="89" t="s">
        <v>84</v>
      </c>
      <c r="K88" s="105" t="s">
        <v>84</v>
      </c>
      <c r="L88" s="90" t="s">
        <v>84</v>
      </c>
      <c r="M88" s="89" t="s">
        <v>84</v>
      </c>
      <c r="N88" s="89" t="s">
        <v>84</v>
      </c>
      <c r="O88" s="89" t="s">
        <v>84</v>
      </c>
      <c r="P88" s="89" t="s">
        <v>84</v>
      </c>
      <c r="Q88" s="89" t="s">
        <v>84</v>
      </c>
      <c r="R88" s="89" t="s">
        <v>84</v>
      </c>
      <c r="S88" s="89" t="s">
        <v>84</v>
      </c>
      <c r="T88" s="89" t="s">
        <v>84</v>
      </c>
      <c r="U88" s="89" t="s">
        <v>84</v>
      </c>
      <c r="V88" s="89" t="s">
        <v>84</v>
      </c>
      <c r="W88" s="89" t="s">
        <v>84</v>
      </c>
      <c r="X88" s="89" t="s">
        <v>84</v>
      </c>
      <c r="Y88" s="89" t="s">
        <v>84</v>
      </c>
      <c r="Z88" s="89" t="s">
        <v>84</v>
      </c>
      <c r="AA88" s="89" t="s">
        <v>84</v>
      </c>
      <c r="AB88" s="90" t="s">
        <v>84</v>
      </c>
      <c r="AC88" s="105" t="s">
        <v>84</v>
      </c>
      <c r="AD88" s="105" t="s">
        <v>84</v>
      </c>
      <c r="AE88" s="89" t="s">
        <v>84</v>
      </c>
      <c r="AF88" s="89" t="s">
        <v>84</v>
      </c>
      <c r="AG88" s="89" t="s">
        <v>84</v>
      </c>
      <c r="AH88" s="105" t="s">
        <v>84</v>
      </c>
      <c r="AI88" s="105" t="s">
        <v>84</v>
      </c>
      <c r="AJ88" s="105" t="s">
        <v>84</v>
      </c>
      <c r="AK88" s="106" t="s">
        <v>84</v>
      </c>
      <c r="AL88" s="91" t="s">
        <v>2416</v>
      </c>
      <c r="AM88" s="91" t="s">
        <v>1826</v>
      </c>
      <c r="AN88" s="108"/>
      <c r="AO88" s="2"/>
    </row>
    <row r="89" customFormat="false" ht="14.25" hidden="false" customHeight="false" outlineLevel="0" collapsed="false">
      <c r="A89" s="87"/>
      <c r="D89" s="1"/>
      <c r="K89" s="73"/>
      <c r="AC89" s="105"/>
      <c r="AD89" s="105"/>
      <c r="AH89" s="105"/>
      <c r="AI89" s="105"/>
      <c r="AJ89" s="105"/>
      <c r="AK89" s="106"/>
      <c r="AO89" s="2"/>
    </row>
    <row r="90" customFormat="false" ht="14.25" hidden="false" customHeight="false" outlineLevel="0" collapsed="false">
      <c r="A90" s="113" t="s">
        <v>1682</v>
      </c>
      <c r="B90" s="1" t="n">
        <v>1</v>
      </c>
      <c r="C90" s="27" t="s">
        <v>703</v>
      </c>
      <c r="D90" s="1" t="n">
        <v>5804</v>
      </c>
      <c r="E90" s="100" t="s">
        <v>2948</v>
      </c>
      <c r="F90" s="27" t="s">
        <v>114</v>
      </c>
      <c r="G90" s="89" t="s">
        <v>2949</v>
      </c>
      <c r="H90" s="89" t="s">
        <v>2950</v>
      </c>
      <c r="I90" s="90" t="s">
        <v>2575</v>
      </c>
      <c r="J90" s="89" t="s">
        <v>2951</v>
      </c>
      <c r="K90" s="89" t="s">
        <v>2577</v>
      </c>
      <c r="L90" s="90" t="s">
        <v>84</v>
      </c>
      <c r="M90" s="89" t="s">
        <v>2578</v>
      </c>
      <c r="N90" s="89" t="s">
        <v>84</v>
      </c>
      <c r="O90" s="89" t="s">
        <v>2952</v>
      </c>
      <c r="P90" s="89" t="s">
        <v>2580</v>
      </c>
      <c r="Q90" s="89" t="s">
        <v>84</v>
      </c>
      <c r="R90" s="89" t="s">
        <v>84</v>
      </c>
      <c r="S90" s="89" t="s">
        <v>84</v>
      </c>
      <c r="T90" s="89" t="s">
        <v>2581</v>
      </c>
      <c r="U90" s="89" t="s">
        <v>84</v>
      </c>
      <c r="V90" s="89" t="s">
        <v>84</v>
      </c>
      <c r="W90" s="89" t="s">
        <v>84</v>
      </c>
      <c r="X90" s="89" t="s">
        <v>84</v>
      </c>
      <c r="Y90" s="89" t="s">
        <v>84</v>
      </c>
      <c r="Z90" s="89" t="s">
        <v>2582</v>
      </c>
      <c r="AB90" s="90" t="s">
        <v>84</v>
      </c>
      <c r="AC90" s="89" t="s">
        <v>2953</v>
      </c>
      <c r="AD90" s="89" t="s">
        <v>2954</v>
      </c>
      <c r="AE90" s="89" t="s">
        <v>2955</v>
      </c>
      <c r="AF90" s="89" t="s">
        <v>2956</v>
      </c>
      <c r="AG90" s="89" t="s">
        <v>2957</v>
      </c>
      <c r="AH90" s="89" t="s">
        <v>2958</v>
      </c>
      <c r="AI90" s="89" t="s">
        <v>2959</v>
      </c>
      <c r="AJ90" s="89" t="s">
        <v>2960</v>
      </c>
      <c r="AK90" s="90" t="s">
        <v>2961</v>
      </c>
      <c r="AL90" s="91" t="s">
        <v>2592</v>
      </c>
      <c r="AM90" s="91" t="s">
        <v>1776</v>
      </c>
      <c r="AO90" s="9"/>
      <c r="AP90" s="2"/>
    </row>
    <row r="91" customFormat="false" ht="14.25" hidden="false" customHeight="false" outlineLevel="0" collapsed="false">
      <c r="A91" s="87" t="s">
        <v>2962</v>
      </c>
      <c r="B91" s="1" t="n">
        <v>2</v>
      </c>
      <c r="D91" s="1"/>
      <c r="AO91" s="9"/>
      <c r="AP91" s="2"/>
    </row>
    <row r="92" customFormat="false" ht="14.25" hidden="false" customHeight="false" outlineLevel="0" collapsed="false">
      <c r="A92" s="87" t="s">
        <v>2963</v>
      </c>
      <c r="B92" s="1" t="n">
        <v>2</v>
      </c>
      <c r="D92" s="1"/>
      <c r="AO92" s="9"/>
      <c r="AP92" s="2"/>
    </row>
    <row r="93" customFormat="false" ht="14.25" hidden="false" customHeight="false" outlineLevel="0" collapsed="false">
      <c r="A93" s="87"/>
      <c r="D93" s="1"/>
      <c r="AO93" s="9"/>
      <c r="AP93" s="2"/>
    </row>
    <row r="94" customFormat="false" ht="14.25" hidden="false" customHeight="false" outlineLevel="0" collapsed="false">
      <c r="A94" s="99" t="s">
        <v>1683</v>
      </c>
      <c r="B94" s="1" t="n">
        <v>1</v>
      </c>
      <c r="C94" s="27" t="n">
        <v>2018</v>
      </c>
      <c r="D94" s="1" t="n">
        <v>32</v>
      </c>
      <c r="E94" s="100" t="n">
        <v>32</v>
      </c>
      <c r="F94" s="27" t="s">
        <v>67</v>
      </c>
      <c r="G94" s="89" t="s">
        <v>2964</v>
      </c>
      <c r="H94" s="89" t="s">
        <v>776</v>
      </c>
      <c r="I94" s="90" t="s">
        <v>2635</v>
      </c>
      <c r="J94" s="89" t="s">
        <v>2636</v>
      </c>
      <c r="K94" s="89" t="s">
        <v>84</v>
      </c>
      <c r="L94" s="90" t="s">
        <v>2637</v>
      </c>
      <c r="M94" s="89" t="s">
        <v>84</v>
      </c>
      <c r="N94" s="89" t="s">
        <v>84</v>
      </c>
      <c r="O94" s="89" t="s">
        <v>84</v>
      </c>
      <c r="P94" s="89" t="s">
        <v>84</v>
      </c>
      <c r="Q94" s="89" t="s">
        <v>84</v>
      </c>
      <c r="R94" s="89" t="s">
        <v>84</v>
      </c>
      <c r="S94" s="89" t="s">
        <v>84</v>
      </c>
      <c r="T94" s="89" t="s">
        <v>84</v>
      </c>
      <c r="U94" s="89" t="s">
        <v>84</v>
      </c>
      <c r="V94" s="89" t="s">
        <v>84</v>
      </c>
      <c r="W94" s="89" t="s">
        <v>84</v>
      </c>
      <c r="X94" s="89" t="s">
        <v>84</v>
      </c>
      <c r="Y94" s="89" t="s">
        <v>84</v>
      </c>
      <c r="Z94" s="89" t="s">
        <v>84</v>
      </c>
      <c r="AB94" s="90" t="s">
        <v>84</v>
      </c>
      <c r="AC94" s="89" t="s">
        <v>2638</v>
      </c>
      <c r="AD94" s="89" t="s">
        <v>2639</v>
      </c>
      <c r="AE94" s="101" t="s">
        <v>2640</v>
      </c>
      <c r="AF94" s="89" t="s">
        <v>2641</v>
      </c>
      <c r="AG94" s="89" t="s">
        <v>2642</v>
      </c>
      <c r="AH94" s="89" t="s">
        <v>2643</v>
      </c>
      <c r="AI94" s="89" t="s">
        <v>2644</v>
      </c>
      <c r="AJ94" s="89" t="s">
        <v>2645</v>
      </c>
      <c r="AK94" s="123" t="s">
        <v>2646</v>
      </c>
      <c r="AL94" s="91" t="s">
        <v>2647</v>
      </c>
      <c r="AM94" s="91" t="s">
        <v>1826</v>
      </c>
      <c r="AO94" s="9"/>
      <c r="AP94" s="2"/>
    </row>
    <row r="95" customFormat="false" ht="14.25" hidden="false" customHeight="false" outlineLevel="0" collapsed="false">
      <c r="A95" s="87"/>
      <c r="D95" s="1"/>
      <c r="AO95" s="9"/>
      <c r="AP95" s="2"/>
    </row>
    <row r="96" customFormat="false" ht="14.25" hidden="false" customHeight="false" outlineLevel="0" collapsed="false">
      <c r="A96" s="99" t="s">
        <v>2650</v>
      </c>
      <c r="B96" s="1" t="n">
        <v>1</v>
      </c>
      <c r="C96" s="27" t="s">
        <v>2651</v>
      </c>
      <c r="D96" s="105" t="s">
        <v>2652</v>
      </c>
      <c r="E96" s="100" t="n">
        <v>197</v>
      </c>
      <c r="F96" s="27" t="s">
        <v>114</v>
      </c>
      <c r="G96" s="89" t="s">
        <v>2965</v>
      </c>
      <c r="H96" s="89" t="s">
        <v>2966</v>
      </c>
      <c r="I96" s="90" t="s">
        <v>84</v>
      </c>
      <c r="J96" s="89" t="s">
        <v>84</v>
      </c>
      <c r="K96" s="89" t="s">
        <v>84</v>
      </c>
      <c r="L96" s="90" t="s">
        <v>84</v>
      </c>
      <c r="M96" s="89" t="s">
        <v>84</v>
      </c>
      <c r="N96" s="89" t="s">
        <v>84</v>
      </c>
      <c r="O96" s="89" t="s">
        <v>84</v>
      </c>
      <c r="P96" s="89" t="s">
        <v>84</v>
      </c>
      <c r="Q96" s="89" t="s">
        <v>84</v>
      </c>
      <c r="R96" s="89" t="s">
        <v>84</v>
      </c>
      <c r="S96" s="89" t="s">
        <v>84</v>
      </c>
      <c r="T96" s="89" t="s">
        <v>84</v>
      </c>
      <c r="U96" s="89" t="s">
        <v>84</v>
      </c>
      <c r="V96" s="89" t="s">
        <v>84</v>
      </c>
      <c r="W96" s="89" t="s">
        <v>84</v>
      </c>
      <c r="X96" s="89" t="s">
        <v>84</v>
      </c>
      <c r="Y96" s="89" t="s">
        <v>84</v>
      </c>
      <c r="Z96" s="89" t="s">
        <v>84</v>
      </c>
      <c r="AB96" s="90" t="s">
        <v>84</v>
      </c>
      <c r="AC96" s="89" t="s">
        <v>2656</v>
      </c>
      <c r="AD96" s="89" t="s">
        <v>2657</v>
      </c>
      <c r="AE96" s="89" t="s">
        <v>2658</v>
      </c>
      <c r="AF96" s="89" t="s">
        <v>2659</v>
      </c>
      <c r="AG96" s="89" t="s">
        <v>2660</v>
      </c>
      <c r="AH96" s="89" t="s">
        <v>2661</v>
      </c>
      <c r="AI96" s="89" t="s">
        <v>2662</v>
      </c>
      <c r="AJ96" s="89" t="s">
        <v>2663</v>
      </c>
      <c r="AK96" s="90" t="s">
        <v>2664</v>
      </c>
      <c r="AL96" s="91" t="s">
        <v>2665</v>
      </c>
      <c r="AM96" s="91" t="s">
        <v>1776</v>
      </c>
      <c r="AO96" s="9"/>
      <c r="AP96" s="14"/>
    </row>
    <row r="97" customFormat="false" ht="16.25" hidden="false" customHeight="false" outlineLevel="0" collapsed="false">
      <c r="A97" s="99" t="s">
        <v>2668</v>
      </c>
      <c r="B97" s="1" t="n">
        <v>2</v>
      </c>
      <c r="C97" s="124" t="s">
        <v>2669</v>
      </c>
      <c r="D97" s="105" t="s">
        <v>2670</v>
      </c>
      <c r="E97" s="27" t="n">
        <v>153</v>
      </c>
      <c r="F97" s="27" t="s">
        <v>114</v>
      </c>
      <c r="G97" s="89" t="s">
        <v>2653</v>
      </c>
      <c r="AC97" s="89" t="s">
        <v>2671</v>
      </c>
      <c r="AD97" s="89" t="s">
        <v>2672</v>
      </c>
      <c r="AE97" s="89" t="s">
        <v>2673</v>
      </c>
      <c r="AF97" s="89" t="s">
        <v>2674</v>
      </c>
      <c r="AG97" s="89" t="s">
        <v>2675</v>
      </c>
      <c r="AH97" s="89" t="s">
        <v>2676</v>
      </c>
      <c r="AI97" s="89" t="s">
        <v>2677</v>
      </c>
      <c r="AJ97" s="89" t="s">
        <v>2678</v>
      </c>
      <c r="AK97" s="90" t="s">
        <v>2679</v>
      </c>
      <c r="AL97" s="125" t="s">
        <v>2680</v>
      </c>
      <c r="AO97" s="9"/>
      <c r="AP97" s="14"/>
    </row>
    <row r="98" customFormat="false" ht="14.25" hidden="false" customHeight="false" outlineLevel="0" collapsed="false">
      <c r="A98" s="99" t="s">
        <v>2681</v>
      </c>
      <c r="B98" s="1" t="n">
        <v>2</v>
      </c>
      <c r="C98" s="27" t="n">
        <v>1994</v>
      </c>
      <c r="D98" s="1" t="n">
        <v>22</v>
      </c>
      <c r="E98" s="27" t="n">
        <v>44</v>
      </c>
      <c r="F98" s="27" t="s">
        <v>114</v>
      </c>
      <c r="G98" s="1"/>
      <c r="AC98" s="89" t="s">
        <v>2682</v>
      </c>
      <c r="AD98" s="89" t="s">
        <v>2683</v>
      </c>
      <c r="AE98" s="89" t="s">
        <v>2684</v>
      </c>
      <c r="AF98" s="89" t="s">
        <v>2685</v>
      </c>
      <c r="AG98" s="89" t="s">
        <v>2686</v>
      </c>
      <c r="AH98" s="89" t="s">
        <v>2687</v>
      </c>
      <c r="AI98" s="89" t="s">
        <v>2688</v>
      </c>
      <c r="AJ98" s="89" t="s">
        <v>2689</v>
      </c>
      <c r="AK98" s="90" t="s">
        <v>2690</v>
      </c>
      <c r="AL98" s="125" t="s">
        <v>2691</v>
      </c>
      <c r="AO98" s="9"/>
      <c r="AP98" s="14"/>
    </row>
    <row r="99" customFormat="false" ht="14.25" hidden="false" customHeight="false" outlineLevel="0" collapsed="false">
      <c r="AO99" s="9"/>
      <c r="AP99" s="14"/>
    </row>
    <row r="100" customFormat="false" ht="16.25" hidden="false" customHeight="false" outlineLevel="0" collapsed="false">
      <c r="A100" s="99" t="s">
        <v>2692</v>
      </c>
      <c r="B100" s="1" t="n">
        <v>1</v>
      </c>
      <c r="C100" s="27" t="s">
        <v>798</v>
      </c>
      <c r="D100" s="1" t="n">
        <v>461</v>
      </c>
      <c r="E100" s="100" t="n">
        <v>453</v>
      </c>
      <c r="F100" s="27" t="s">
        <v>114</v>
      </c>
      <c r="G100" s="89" t="s">
        <v>2967</v>
      </c>
      <c r="H100" s="89" t="s">
        <v>803</v>
      </c>
      <c r="I100" s="90" t="s">
        <v>2695</v>
      </c>
      <c r="J100" s="89" t="s">
        <v>2696</v>
      </c>
      <c r="K100" s="89" t="s">
        <v>2697</v>
      </c>
      <c r="L100" s="90" t="s">
        <v>2698</v>
      </c>
      <c r="M100" s="89" t="s">
        <v>84</v>
      </c>
      <c r="N100" s="89" t="s">
        <v>84</v>
      </c>
      <c r="O100" s="89" t="s">
        <v>84</v>
      </c>
      <c r="P100" s="89" t="s">
        <v>84</v>
      </c>
      <c r="Q100" s="89" t="s">
        <v>84</v>
      </c>
      <c r="R100" s="89" t="s">
        <v>84</v>
      </c>
      <c r="S100" s="89" t="s">
        <v>84</v>
      </c>
      <c r="T100" s="89" t="s">
        <v>84</v>
      </c>
      <c r="U100" s="89" t="s">
        <v>84</v>
      </c>
      <c r="V100" s="89" t="s">
        <v>84</v>
      </c>
      <c r="W100" s="89" t="s">
        <v>84</v>
      </c>
      <c r="X100" s="89" t="s">
        <v>84</v>
      </c>
      <c r="Y100" s="89" t="s">
        <v>84</v>
      </c>
      <c r="Z100" s="89" t="s">
        <v>84</v>
      </c>
      <c r="AB100" s="90" t="s">
        <v>84</v>
      </c>
      <c r="AC100" s="89" t="s">
        <v>2699</v>
      </c>
      <c r="AD100" s="101" t="s">
        <v>2700</v>
      </c>
      <c r="AE100" s="89" t="s">
        <v>2701</v>
      </c>
      <c r="AF100" s="89" t="s">
        <v>2701</v>
      </c>
      <c r="AG100" s="101" t="s">
        <v>2702</v>
      </c>
      <c r="AH100" s="101" t="s">
        <v>2703</v>
      </c>
      <c r="AI100" s="101" t="s">
        <v>2704</v>
      </c>
      <c r="AJ100" s="101" t="s">
        <v>2705</v>
      </c>
      <c r="AK100" s="104" t="s">
        <v>2706</v>
      </c>
      <c r="AL100" s="108" t="s">
        <v>2707</v>
      </c>
      <c r="AM100" s="91" t="s">
        <v>1776</v>
      </c>
      <c r="AO100" s="9"/>
      <c r="AP100" s="2"/>
    </row>
    <row r="101" customFormat="false" ht="14.25" hidden="false" customHeight="false" outlineLevel="0" collapsed="false">
      <c r="A101" s="87"/>
      <c r="AO101" s="9"/>
      <c r="AP101" s="2"/>
    </row>
    <row r="102" customFormat="false" ht="14.25" hidden="false" customHeight="false" outlineLevel="0" collapsed="false">
      <c r="A102" s="113" t="s">
        <v>1684</v>
      </c>
      <c r="B102" s="1" t="n">
        <v>1</v>
      </c>
      <c r="C102" s="27" t="s">
        <v>2711</v>
      </c>
      <c r="D102" s="1" t="n">
        <v>1775</v>
      </c>
      <c r="E102" s="100" t="n">
        <v>1914</v>
      </c>
      <c r="F102" s="27" t="s">
        <v>67</v>
      </c>
      <c r="G102" s="89" t="s">
        <v>2968</v>
      </c>
      <c r="H102" s="73" t="s">
        <v>2969</v>
      </c>
      <c r="I102" s="90" t="s">
        <v>2715</v>
      </c>
      <c r="J102" s="89" t="s">
        <v>84</v>
      </c>
      <c r="K102" s="89" t="s">
        <v>84</v>
      </c>
      <c r="L102" s="90" t="s">
        <v>84</v>
      </c>
      <c r="M102" s="89" t="s">
        <v>2716</v>
      </c>
      <c r="N102" s="89" t="s">
        <v>2717</v>
      </c>
      <c r="O102" s="89" t="s">
        <v>84</v>
      </c>
      <c r="P102" s="89" t="s">
        <v>84</v>
      </c>
      <c r="Q102" s="89" t="s">
        <v>2718</v>
      </c>
      <c r="R102" s="73" t="s">
        <v>2970</v>
      </c>
      <c r="S102" s="89" t="s">
        <v>2720</v>
      </c>
      <c r="T102" s="89" t="s">
        <v>2721</v>
      </c>
      <c r="U102" s="89" t="s">
        <v>2722</v>
      </c>
      <c r="V102" s="89" t="s">
        <v>84</v>
      </c>
      <c r="W102" s="89" t="s">
        <v>84</v>
      </c>
      <c r="X102" s="89" t="s">
        <v>84</v>
      </c>
      <c r="Y102" s="89" t="s">
        <v>84</v>
      </c>
      <c r="Z102" s="89" t="s">
        <v>84</v>
      </c>
      <c r="AB102" s="90" t="s">
        <v>84</v>
      </c>
      <c r="AC102" s="89" t="s">
        <v>2723</v>
      </c>
      <c r="AD102" s="89" t="s">
        <v>2724</v>
      </c>
      <c r="AE102" s="89" t="s">
        <v>2725</v>
      </c>
      <c r="AF102" s="89" t="s">
        <v>2726</v>
      </c>
      <c r="AG102" s="89" t="s">
        <v>2727</v>
      </c>
      <c r="AH102" s="89" t="s">
        <v>2728</v>
      </c>
      <c r="AI102" s="89" t="s">
        <v>2729</v>
      </c>
      <c r="AJ102" s="89" t="s">
        <v>2730</v>
      </c>
      <c r="AK102" s="90" t="s">
        <v>2731</v>
      </c>
      <c r="AL102" s="91" t="s">
        <v>2732</v>
      </c>
      <c r="AM102" s="91" t="s">
        <v>1776</v>
      </c>
      <c r="AO102" s="9"/>
      <c r="AP102" s="2"/>
    </row>
    <row r="103" customFormat="false" ht="14.25" hidden="false" customHeight="false" outlineLevel="0" collapsed="false">
      <c r="H103" s="73"/>
      <c r="R103" s="73"/>
      <c r="AO103" s="9"/>
      <c r="AP103" s="2"/>
    </row>
    <row r="104" customFormat="false" ht="14.25" hidden="false" customHeight="false" outlineLevel="0" collapsed="false">
      <c r="A104" s="99" t="s">
        <v>1685</v>
      </c>
      <c r="B104" s="1" t="n">
        <v>1</v>
      </c>
      <c r="C104" s="27" t="s">
        <v>798</v>
      </c>
      <c r="D104" s="1" t="n">
        <v>25</v>
      </c>
      <c r="E104" s="100" t="n">
        <v>25</v>
      </c>
      <c r="F104" s="27" t="s">
        <v>114</v>
      </c>
      <c r="G104" s="89" t="s">
        <v>2971</v>
      </c>
      <c r="H104" s="89" t="s">
        <v>840</v>
      </c>
      <c r="I104" s="90" t="s">
        <v>2738</v>
      </c>
      <c r="J104" s="89" t="s">
        <v>2739</v>
      </c>
      <c r="K104" s="89" t="s">
        <v>84</v>
      </c>
      <c r="L104" s="90" t="s">
        <v>84</v>
      </c>
      <c r="M104" s="89" t="s">
        <v>2740</v>
      </c>
      <c r="N104" s="89" t="s">
        <v>84</v>
      </c>
      <c r="O104" s="89" t="s">
        <v>84</v>
      </c>
      <c r="P104" s="89" t="s">
        <v>84</v>
      </c>
      <c r="Q104" s="89" t="s">
        <v>84</v>
      </c>
      <c r="R104" s="89" t="s">
        <v>84</v>
      </c>
      <c r="S104" s="89" t="s">
        <v>84</v>
      </c>
      <c r="T104" s="89" t="s">
        <v>84</v>
      </c>
      <c r="U104" s="89" t="s">
        <v>84</v>
      </c>
      <c r="V104" s="89" t="s">
        <v>84</v>
      </c>
      <c r="W104" s="89" t="s">
        <v>84</v>
      </c>
      <c r="X104" s="89" t="s">
        <v>84</v>
      </c>
      <c r="Y104" s="89" t="s">
        <v>84</v>
      </c>
      <c r="Z104" s="89" t="s">
        <v>84</v>
      </c>
      <c r="AB104" s="90" t="s">
        <v>84</v>
      </c>
      <c r="AC104" s="101" t="s">
        <v>2741</v>
      </c>
      <c r="AD104" s="89" t="s">
        <v>2742</v>
      </c>
      <c r="AE104" s="101" t="s">
        <v>2743</v>
      </c>
      <c r="AF104" s="89" t="s">
        <v>2744</v>
      </c>
      <c r="AG104" s="89" t="s">
        <v>2745</v>
      </c>
      <c r="AH104" s="89" t="s">
        <v>2746</v>
      </c>
      <c r="AI104" s="89" t="s">
        <v>2747</v>
      </c>
      <c r="AJ104" s="89" t="s">
        <v>2748</v>
      </c>
      <c r="AK104" s="90" t="s">
        <v>2749</v>
      </c>
      <c r="AL104" s="4" t="s">
        <v>2750</v>
      </c>
      <c r="AM104" s="91" t="s">
        <v>1826</v>
      </c>
      <c r="AN104" s="89"/>
      <c r="AO104" s="9"/>
      <c r="AP104" s="2"/>
    </row>
    <row r="105" customFormat="false" ht="14.25" hidden="false" customHeight="false" outlineLevel="0" collapsed="false">
      <c r="AL105" s="4"/>
      <c r="AN105" s="89"/>
      <c r="AO105" s="9"/>
      <c r="AP105" s="2"/>
    </row>
    <row r="106" customFormat="false" ht="14.25" hidden="false" customHeight="false" outlineLevel="0" collapsed="false">
      <c r="A106" s="127" t="s">
        <v>2752</v>
      </c>
      <c r="B106" s="1" t="n">
        <v>1</v>
      </c>
      <c r="C106" s="27" t="n">
        <v>2024</v>
      </c>
      <c r="D106" s="1" t="n">
        <v>19</v>
      </c>
      <c r="E106" s="27" t="n">
        <v>19</v>
      </c>
      <c r="F106" s="27" t="s">
        <v>67</v>
      </c>
      <c r="G106" s="89" t="s">
        <v>2972</v>
      </c>
      <c r="H106" s="89" t="s">
        <v>2973</v>
      </c>
      <c r="I106" s="90" t="s">
        <v>84</v>
      </c>
      <c r="J106" s="89" t="s">
        <v>84</v>
      </c>
      <c r="K106" s="89" t="s">
        <v>84</v>
      </c>
      <c r="L106" s="90" t="s">
        <v>84</v>
      </c>
      <c r="M106" s="89" t="s">
        <v>84</v>
      </c>
      <c r="N106" s="89" t="s">
        <v>84</v>
      </c>
      <c r="O106" s="89" t="s">
        <v>84</v>
      </c>
      <c r="P106" s="89" t="s">
        <v>84</v>
      </c>
      <c r="Q106" s="89" t="s">
        <v>84</v>
      </c>
      <c r="R106" s="89" t="s">
        <v>2755</v>
      </c>
      <c r="S106" s="89" t="s">
        <v>84</v>
      </c>
      <c r="T106" s="89" t="s">
        <v>84</v>
      </c>
      <c r="U106" s="89" t="s">
        <v>84</v>
      </c>
      <c r="V106" s="89" t="s">
        <v>84</v>
      </c>
      <c r="W106" s="89" t="s">
        <v>84</v>
      </c>
      <c r="X106" s="89" t="s">
        <v>84</v>
      </c>
      <c r="Y106" s="89" t="s">
        <v>84</v>
      </c>
      <c r="Z106" s="89" t="s">
        <v>84</v>
      </c>
      <c r="AA106" s="89" t="s">
        <v>84</v>
      </c>
      <c r="AB106" s="90" t="s">
        <v>84</v>
      </c>
      <c r="AC106" s="128" t="s">
        <v>2756</v>
      </c>
      <c r="AD106" s="128" t="s">
        <v>2757</v>
      </c>
      <c r="AE106" s="128" t="s">
        <v>2758</v>
      </c>
      <c r="AF106" s="128" t="s">
        <v>2759</v>
      </c>
      <c r="AG106" s="128" t="s">
        <v>2760</v>
      </c>
      <c r="AH106" s="128" t="s">
        <v>2761</v>
      </c>
      <c r="AI106" s="128" t="s">
        <v>2762</v>
      </c>
      <c r="AJ106" s="128" t="s">
        <v>2763</v>
      </c>
      <c r="AK106" s="129" t="s">
        <v>2764</v>
      </c>
      <c r="AL106" s="4" t="s">
        <v>2765</v>
      </c>
      <c r="AM106" s="91" t="s">
        <v>1826</v>
      </c>
      <c r="AN106" s="108"/>
      <c r="AO106" s="9"/>
      <c r="AP106" s="2"/>
    </row>
    <row r="107" customFormat="false" ht="14.25" hidden="false" customHeight="false" outlineLevel="0" collapsed="false">
      <c r="AL107" s="4"/>
      <c r="AN107" s="89"/>
      <c r="AO107" s="9"/>
      <c r="AP107" s="2"/>
    </row>
    <row r="108" customFormat="false" ht="14.25" hidden="false" customHeight="false" outlineLevel="0" collapsed="false">
      <c r="A108" s="87" t="s">
        <v>1676</v>
      </c>
      <c r="B108" s="1" t="n">
        <v>1</v>
      </c>
      <c r="C108" s="27" t="s">
        <v>857</v>
      </c>
      <c r="D108" s="1" t="n">
        <v>1123</v>
      </c>
      <c r="E108" s="100" t="n">
        <v>2569</v>
      </c>
      <c r="F108" s="27" t="s">
        <v>2974</v>
      </c>
      <c r="K108" s="89" t="s">
        <v>84</v>
      </c>
      <c r="L108" s="106" t="s">
        <v>84</v>
      </c>
      <c r="N108" s="89" t="s">
        <v>84</v>
      </c>
      <c r="O108" s="89" t="s">
        <v>84</v>
      </c>
      <c r="P108" s="89" t="s">
        <v>84</v>
      </c>
      <c r="AM108" s="91" t="s">
        <v>1776</v>
      </c>
      <c r="AO108" s="9"/>
      <c r="AP108" s="14"/>
    </row>
    <row r="109" customFormat="false" ht="14.25" hidden="false" customHeight="false" outlineLevel="0" collapsed="false">
      <c r="A109" s="1" t="s">
        <v>2769</v>
      </c>
      <c r="B109" s="1" t="n">
        <v>2</v>
      </c>
      <c r="C109" s="27" t="s">
        <v>84</v>
      </c>
      <c r="D109" s="1" t="n">
        <v>3164</v>
      </c>
      <c r="E109" s="27" t="s">
        <v>84</v>
      </c>
      <c r="G109" s="89" t="s">
        <v>2975</v>
      </c>
      <c r="H109" s="89" t="s">
        <v>2976</v>
      </c>
      <c r="I109" s="90" t="s">
        <v>84</v>
      </c>
      <c r="J109" s="89" t="s">
        <v>84</v>
      </c>
      <c r="K109" s="89" t="s">
        <v>84</v>
      </c>
      <c r="L109" s="106" t="s">
        <v>84</v>
      </c>
      <c r="M109" s="89" t="s">
        <v>84</v>
      </c>
      <c r="N109" s="89" t="s">
        <v>84</v>
      </c>
      <c r="O109" s="89" t="s">
        <v>84</v>
      </c>
      <c r="P109" s="89" t="s">
        <v>84</v>
      </c>
      <c r="R109" s="89" t="s">
        <v>84</v>
      </c>
      <c r="S109" s="89" t="s">
        <v>84</v>
      </c>
      <c r="T109" s="89" t="s">
        <v>84</v>
      </c>
      <c r="U109" s="89" t="s">
        <v>84</v>
      </c>
      <c r="V109" s="89" t="s">
        <v>84</v>
      </c>
      <c r="W109" s="89" t="s">
        <v>84</v>
      </c>
      <c r="X109" s="89" t="s">
        <v>84</v>
      </c>
      <c r="Y109" s="89" t="s">
        <v>84</v>
      </c>
      <c r="Z109" s="89" t="s">
        <v>84</v>
      </c>
      <c r="AA109" s="89" t="s">
        <v>84</v>
      </c>
      <c r="AB109" s="89" t="s">
        <v>84</v>
      </c>
      <c r="AD109" s="89" t="s">
        <v>84</v>
      </c>
      <c r="AE109" s="89" t="s">
        <v>84</v>
      </c>
      <c r="AF109" s="89" t="s">
        <v>84</v>
      </c>
      <c r="AG109" s="89" t="s">
        <v>84</v>
      </c>
      <c r="AH109" s="89" t="s">
        <v>84</v>
      </c>
      <c r="AI109" s="89" t="s">
        <v>84</v>
      </c>
      <c r="AJ109" s="89" t="s">
        <v>84</v>
      </c>
      <c r="AO109" s="9"/>
      <c r="AP109" s="14"/>
    </row>
    <row r="110" customFormat="false" ht="14.25" hidden="false" customHeight="false" outlineLevel="0" collapsed="false">
      <c r="A110" s="1" t="s">
        <v>2773</v>
      </c>
      <c r="B110" s="1" t="n">
        <v>2</v>
      </c>
      <c r="C110" s="27" t="s">
        <v>2774</v>
      </c>
      <c r="D110" s="1" t="n">
        <v>1123</v>
      </c>
      <c r="G110" s="89" t="s">
        <v>2977</v>
      </c>
      <c r="H110" s="89" t="s">
        <v>861</v>
      </c>
      <c r="I110" s="90" t="s">
        <v>2778</v>
      </c>
      <c r="J110" s="89" t="s">
        <v>2779</v>
      </c>
      <c r="K110" s="89" t="s">
        <v>84</v>
      </c>
      <c r="L110" s="106" t="s">
        <v>84</v>
      </c>
      <c r="M110" s="89" t="s">
        <v>2780</v>
      </c>
      <c r="N110" s="89" t="s">
        <v>84</v>
      </c>
      <c r="O110" s="89" t="s">
        <v>84</v>
      </c>
      <c r="P110" s="89" t="s">
        <v>84</v>
      </c>
      <c r="R110" s="73" t="s">
        <v>2978</v>
      </c>
      <c r="S110" s="89" t="s">
        <v>84</v>
      </c>
      <c r="T110" s="89" t="s">
        <v>84</v>
      </c>
      <c r="U110" s="89" t="s">
        <v>84</v>
      </c>
      <c r="V110" s="89" t="s">
        <v>84</v>
      </c>
      <c r="W110" s="89" t="s">
        <v>84</v>
      </c>
      <c r="X110" s="89" t="s">
        <v>84</v>
      </c>
      <c r="Y110" s="89" t="s">
        <v>84</v>
      </c>
      <c r="Z110" s="89" t="s">
        <v>84</v>
      </c>
      <c r="AA110" s="89" t="s">
        <v>2782</v>
      </c>
      <c r="AB110" s="89" t="s">
        <v>84</v>
      </c>
      <c r="AD110" s="89" t="s">
        <v>2783</v>
      </c>
      <c r="AE110" s="89" t="s">
        <v>2784</v>
      </c>
      <c r="AF110" s="89" t="s">
        <v>2785</v>
      </c>
      <c r="AG110" s="89" t="s">
        <v>2786</v>
      </c>
      <c r="AH110" s="89" t="s">
        <v>2787</v>
      </c>
      <c r="AI110" s="89" t="s">
        <v>2788</v>
      </c>
      <c r="AJ110" s="89" t="s">
        <v>2789</v>
      </c>
      <c r="AK110" s="90" t="s">
        <v>2790</v>
      </c>
      <c r="AO110" s="9"/>
      <c r="AP110" s="2"/>
      <c r="AT110" s="27"/>
    </row>
    <row r="111" customFormat="false" ht="14.25" hidden="false" customHeight="false" outlineLevel="0" collapsed="false">
      <c r="A111" s="1" t="s">
        <v>2791</v>
      </c>
      <c r="B111" s="1" t="n">
        <v>2</v>
      </c>
      <c r="C111" s="27" t="s">
        <v>2792</v>
      </c>
      <c r="D111" s="1" t="n">
        <v>758</v>
      </c>
      <c r="G111" s="89" t="s">
        <v>2979</v>
      </c>
      <c r="H111" s="89" t="s">
        <v>2980</v>
      </c>
      <c r="I111" s="90" t="s">
        <v>2796</v>
      </c>
      <c r="J111" s="89" t="s">
        <v>2797</v>
      </c>
      <c r="K111" s="89" t="s">
        <v>84</v>
      </c>
      <c r="L111" s="106" t="s">
        <v>84</v>
      </c>
      <c r="M111" s="89" t="s">
        <v>2798</v>
      </c>
      <c r="N111" s="89" t="s">
        <v>84</v>
      </c>
      <c r="O111" s="89" t="s">
        <v>84</v>
      </c>
      <c r="P111" s="89" t="s">
        <v>84</v>
      </c>
      <c r="R111" s="73" t="s">
        <v>2981</v>
      </c>
      <c r="S111" s="89" t="s">
        <v>84</v>
      </c>
      <c r="T111" s="89" t="s">
        <v>84</v>
      </c>
      <c r="U111" s="89" t="s">
        <v>84</v>
      </c>
      <c r="V111" s="89" t="s">
        <v>84</v>
      </c>
      <c r="W111" s="89" t="s">
        <v>84</v>
      </c>
      <c r="X111" s="89" t="s">
        <v>84</v>
      </c>
      <c r="Y111" s="89" t="s">
        <v>84</v>
      </c>
      <c r="Z111" s="89" t="s">
        <v>84</v>
      </c>
      <c r="AA111" s="89" t="s">
        <v>2800</v>
      </c>
      <c r="AB111" s="89" t="s">
        <v>84</v>
      </c>
      <c r="AD111" s="89" t="s">
        <v>2801</v>
      </c>
      <c r="AE111" s="89" t="s">
        <v>2802</v>
      </c>
      <c r="AF111" s="89" t="s">
        <v>2803</v>
      </c>
      <c r="AG111" s="89" t="s">
        <v>2804</v>
      </c>
      <c r="AH111" s="89" t="s">
        <v>2805</v>
      </c>
      <c r="AI111" s="89" t="s">
        <v>2806</v>
      </c>
      <c r="AJ111" s="89" t="s">
        <v>2807</v>
      </c>
      <c r="AK111" s="90" t="s">
        <v>2808</v>
      </c>
      <c r="AO111" s="9"/>
      <c r="AP111" s="2"/>
      <c r="AT111" s="27"/>
    </row>
    <row r="112" customFormat="false" ht="14.25" hidden="false" customHeight="false" outlineLevel="0" collapsed="false">
      <c r="A112" s="1" t="s">
        <v>2809</v>
      </c>
      <c r="B112" s="1" t="n">
        <v>2</v>
      </c>
      <c r="C112" s="27" t="s">
        <v>2810</v>
      </c>
      <c r="D112" s="1" t="n">
        <v>566</v>
      </c>
      <c r="G112" s="89" t="s">
        <v>2982</v>
      </c>
      <c r="H112" s="89" t="s">
        <v>2983</v>
      </c>
      <c r="I112" s="90" t="s">
        <v>2813</v>
      </c>
      <c r="J112" s="89" t="s">
        <v>2814</v>
      </c>
      <c r="K112" s="89" t="s">
        <v>84</v>
      </c>
      <c r="L112" s="106" t="s">
        <v>84</v>
      </c>
      <c r="M112" s="89" t="s">
        <v>2021</v>
      </c>
      <c r="N112" s="89" t="s">
        <v>84</v>
      </c>
      <c r="O112" s="89" t="s">
        <v>84</v>
      </c>
      <c r="P112" s="89" t="s">
        <v>84</v>
      </c>
      <c r="R112" s="73" t="s">
        <v>2984</v>
      </c>
      <c r="S112" s="89" t="s">
        <v>84</v>
      </c>
      <c r="T112" s="89" t="s">
        <v>84</v>
      </c>
      <c r="U112" s="89" t="s">
        <v>84</v>
      </c>
      <c r="V112" s="89" t="s">
        <v>84</v>
      </c>
      <c r="W112" s="89" t="s">
        <v>84</v>
      </c>
      <c r="X112" s="89" t="s">
        <v>84</v>
      </c>
      <c r="Y112" s="89" t="s">
        <v>84</v>
      </c>
      <c r="Z112" s="89" t="s">
        <v>84</v>
      </c>
      <c r="AA112" s="89" t="s">
        <v>2816</v>
      </c>
      <c r="AB112" s="89" t="s">
        <v>84</v>
      </c>
      <c r="AD112" s="89" t="s">
        <v>2817</v>
      </c>
      <c r="AE112" s="89" t="s">
        <v>2818</v>
      </c>
      <c r="AF112" s="89" t="s">
        <v>2819</v>
      </c>
      <c r="AG112" s="89" t="s">
        <v>2820</v>
      </c>
      <c r="AH112" s="89" t="s">
        <v>2821</v>
      </c>
      <c r="AI112" s="89" t="s">
        <v>2822</v>
      </c>
      <c r="AJ112" s="89" t="s">
        <v>2823</v>
      </c>
      <c r="AK112" s="90" t="s">
        <v>2824</v>
      </c>
      <c r="AO112" s="9"/>
      <c r="AP112" s="2"/>
      <c r="AT112" s="27"/>
    </row>
    <row r="113" customFormat="false" ht="14.25" hidden="false" customHeight="false" outlineLevel="0" collapsed="false">
      <c r="A113" s="1" t="s">
        <v>2825</v>
      </c>
      <c r="B113" s="1" t="n">
        <v>2</v>
      </c>
      <c r="C113" s="27" t="s">
        <v>2826</v>
      </c>
      <c r="D113" s="1" t="n">
        <v>121</v>
      </c>
      <c r="G113" s="89" t="s">
        <v>2985</v>
      </c>
      <c r="H113" s="89" t="s">
        <v>2986</v>
      </c>
      <c r="I113" s="90" t="s">
        <v>2830</v>
      </c>
      <c r="J113" s="89" t="s">
        <v>2831</v>
      </c>
      <c r="K113" s="89" t="s">
        <v>84</v>
      </c>
      <c r="L113" s="106" t="s">
        <v>84</v>
      </c>
      <c r="M113" s="89" t="s">
        <v>2832</v>
      </c>
      <c r="N113" s="89" t="s">
        <v>84</v>
      </c>
      <c r="O113" s="89" t="s">
        <v>84</v>
      </c>
      <c r="P113" s="89" t="s">
        <v>84</v>
      </c>
      <c r="R113" s="73" t="s">
        <v>2987</v>
      </c>
      <c r="S113" s="89" t="s">
        <v>84</v>
      </c>
      <c r="T113" s="89" t="s">
        <v>84</v>
      </c>
      <c r="U113" s="89" t="s">
        <v>84</v>
      </c>
      <c r="V113" s="89" t="s">
        <v>84</v>
      </c>
      <c r="W113" s="89" t="s">
        <v>84</v>
      </c>
      <c r="X113" s="89" t="s">
        <v>84</v>
      </c>
      <c r="Y113" s="89" t="s">
        <v>84</v>
      </c>
      <c r="Z113" s="89" t="s">
        <v>84</v>
      </c>
      <c r="AA113" s="89" t="s">
        <v>2834</v>
      </c>
      <c r="AB113" s="89" t="s">
        <v>84</v>
      </c>
      <c r="AD113" s="89" t="s">
        <v>2835</v>
      </c>
      <c r="AE113" s="89" t="s">
        <v>2836</v>
      </c>
      <c r="AF113" s="89" t="s">
        <v>2837</v>
      </c>
      <c r="AG113" s="89" t="s">
        <v>2838</v>
      </c>
      <c r="AH113" s="89" t="s">
        <v>2839</v>
      </c>
      <c r="AI113" s="89" t="s">
        <v>2840</v>
      </c>
      <c r="AJ113" s="89" t="s">
        <v>2841</v>
      </c>
      <c r="AK113" s="90" t="s">
        <v>2842</v>
      </c>
      <c r="AO113" s="9"/>
      <c r="AP113" s="2"/>
      <c r="AT113" s="27"/>
    </row>
    <row r="114" customFormat="false" ht="14.25" hidden="false" customHeight="false" outlineLevel="0" collapsed="false">
      <c r="A114" s="1" t="s">
        <v>2843</v>
      </c>
      <c r="B114" s="1" t="n">
        <v>2</v>
      </c>
      <c r="C114" s="27" t="n">
        <v>2015</v>
      </c>
      <c r="D114" s="1" t="n">
        <v>2</v>
      </c>
      <c r="G114" s="89" t="s">
        <v>2988</v>
      </c>
      <c r="H114" s="89" t="s">
        <v>2989</v>
      </c>
      <c r="I114" s="90" t="s">
        <v>2846</v>
      </c>
      <c r="J114" s="89" t="s">
        <v>2847</v>
      </c>
      <c r="K114" s="89" t="s">
        <v>84</v>
      </c>
      <c r="L114" s="106" t="s">
        <v>84</v>
      </c>
      <c r="M114" s="89" t="s">
        <v>2848</v>
      </c>
      <c r="N114" s="89" t="s">
        <v>84</v>
      </c>
      <c r="O114" s="89" t="s">
        <v>84</v>
      </c>
      <c r="P114" s="89" t="s">
        <v>84</v>
      </c>
      <c r="R114" s="73" t="s">
        <v>2990</v>
      </c>
      <c r="S114" s="89" t="s">
        <v>84</v>
      </c>
      <c r="T114" s="89" t="s">
        <v>84</v>
      </c>
      <c r="U114" s="89" t="s">
        <v>84</v>
      </c>
      <c r="V114" s="89" t="s">
        <v>84</v>
      </c>
      <c r="W114" s="89" t="s">
        <v>84</v>
      </c>
      <c r="X114" s="89" t="s">
        <v>84</v>
      </c>
      <c r="Y114" s="89" t="s">
        <v>84</v>
      </c>
      <c r="Z114" s="89" t="s">
        <v>84</v>
      </c>
      <c r="AA114" s="89" t="s">
        <v>2850</v>
      </c>
      <c r="AB114" s="89" t="s">
        <v>84</v>
      </c>
      <c r="AD114" s="89" t="s">
        <v>2851</v>
      </c>
      <c r="AE114" s="89" t="s">
        <v>2852</v>
      </c>
      <c r="AF114" s="89" t="s">
        <v>2853</v>
      </c>
      <c r="AG114" s="89" t="s">
        <v>2854</v>
      </c>
      <c r="AH114" s="89" t="s">
        <v>2855</v>
      </c>
      <c r="AI114" s="89" t="s">
        <v>2856</v>
      </c>
      <c r="AJ114" s="89" t="s">
        <v>2857</v>
      </c>
      <c r="AK114" s="90" t="s">
        <v>2858</v>
      </c>
      <c r="AO114" s="9"/>
      <c r="AP114" s="2"/>
      <c r="AS114" s="2"/>
      <c r="AT114" s="27"/>
    </row>
    <row r="115" customFormat="false" ht="14.25" hidden="false" customHeight="false" outlineLevel="0" collapsed="false">
      <c r="AO115" s="9"/>
      <c r="AP115" s="2"/>
      <c r="AS115" s="2"/>
      <c r="AT115" s="27"/>
    </row>
    <row r="116" customFormat="false" ht="14.25" hidden="false" customHeight="false" outlineLevel="0" collapsed="false">
      <c r="N116" s="93"/>
      <c r="O116" s="93"/>
      <c r="P116" s="93"/>
      <c r="Q116" s="93"/>
      <c r="R116" s="93"/>
      <c r="S116" s="93"/>
      <c r="T116" s="93"/>
      <c r="AO116" s="9"/>
      <c r="AP116" s="2"/>
    </row>
    <row r="117" customFormat="false" ht="14.25" hidden="false" customHeight="false" outlineLevel="0" collapsed="false">
      <c r="AO117" s="9"/>
      <c r="AP117" s="2"/>
    </row>
    <row r="118" customFormat="false" ht="14.25" hidden="false" customHeight="false" outlineLevel="0" collapsed="false">
      <c r="A118" s="2"/>
      <c r="B118" s="2"/>
      <c r="AO118" s="9"/>
      <c r="AP118" s="2"/>
    </row>
    <row r="119" customFormat="false" ht="14.25" hidden="false" customHeight="false" outlineLevel="0" collapsed="false">
      <c r="AO119" s="9"/>
      <c r="AP119" s="2"/>
    </row>
    <row r="120" customFormat="false" ht="14.25" hidden="false" customHeight="false" outlineLevel="0" collapsed="false">
      <c r="AO120" s="9"/>
      <c r="AP120" s="2"/>
    </row>
    <row r="121" customFormat="false" ht="14.25" hidden="false" customHeight="false" outlineLevel="0" collapsed="false">
      <c r="AO121" s="9"/>
      <c r="AP121" s="2"/>
    </row>
    <row r="122" customFormat="false" ht="14.25" hidden="false" customHeight="false" outlineLevel="0" collapsed="false">
      <c r="E122" s="118"/>
      <c r="G122" s="93"/>
      <c r="H122" s="1"/>
      <c r="AP122" s="2"/>
    </row>
    <row r="123" customFormat="false" ht="14.25" hidden="false" customHeight="false" outlineLevel="0" collapsed="false">
      <c r="E123" s="118"/>
      <c r="G123" s="93"/>
      <c r="H123" s="93"/>
      <c r="I123" s="94"/>
      <c r="J123" s="93"/>
      <c r="K123" s="93"/>
      <c r="AO123" s="9"/>
      <c r="AP123" s="2"/>
    </row>
    <row r="124" customFormat="false" ht="13.8" hidden="false" customHeight="false" outlineLevel="0" collapsed="false">
      <c r="D124" s="89"/>
      <c r="E124" s="88"/>
      <c r="G124" s="27"/>
      <c r="H124" s="27"/>
      <c r="I124" s="130"/>
      <c r="J124" s="27"/>
      <c r="K124" s="27"/>
      <c r="AO124" s="9"/>
      <c r="AP124" s="2"/>
    </row>
    <row r="125" customFormat="false" ht="13.8" hidden="false" customHeight="false" outlineLevel="0" collapsed="false">
      <c r="D125" s="89"/>
      <c r="E125" s="89"/>
      <c r="G125" s="27"/>
      <c r="H125" s="27"/>
      <c r="I125" s="130"/>
      <c r="J125" s="27"/>
      <c r="L125" s="3"/>
      <c r="AO125" s="9"/>
      <c r="AP125" s="21"/>
    </row>
    <row r="126" customFormat="false" ht="13.8" hidden="false" customHeight="false" outlineLevel="0" collapsed="false">
      <c r="D126" s="89"/>
      <c r="E126" s="89"/>
      <c r="G126" s="27"/>
      <c r="H126" s="27"/>
      <c r="I126" s="130"/>
      <c r="L126" s="3"/>
    </row>
    <row r="127" customFormat="false" ht="13.8" hidden="false" customHeight="false" outlineLevel="0" collapsed="false">
      <c r="D127" s="89"/>
      <c r="G127" s="27"/>
      <c r="H127" s="27"/>
      <c r="I127" s="130"/>
      <c r="J127" s="27"/>
      <c r="L127" s="3"/>
    </row>
    <row r="128" customFormat="false" ht="13.8" hidden="false" customHeight="false" outlineLevel="0" collapsed="false">
      <c r="D128" s="89"/>
      <c r="E128" s="89"/>
      <c r="G128" s="27"/>
      <c r="H128" s="27"/>
      <c r="I128" s="130"/>
      <c r="L128" s="3"/>
    </row>
    <row r="129" customFormat="false" ht="13.8" hidden="false" customHeight="false" outlineLevel="0" collapsed="false">
      <c r="D129" s="89"/>
      <c r="E129" s="89"/>
      <c r="G129" s="27"/>
      <c r="H129" s="27"/>
      <c r="I129" s="130"/>
    </row>
    <row r="130" customFormat="false" ht="13.8" hidden="false" customHeight="false" outlineLevel="0" collapsed="false">
      <c r="D130" s="89"/>
      <c r="E130" s="89"/>
      <c r="G130" s="27"/>
      <c r="H130" s="27"/>
      <c r="I130" s="130"/>
    </row>
    <row r="131" customFormat="false" ht="14.25" hidden="false" customHeight="false" outlineLevel="0" collapsed="false">
      <c r="D131" s="89"/>
      <c r="G131" s="27"/>
      <c r="H131" s="27"/>
      <c r="I131" s="130"/>
    </row>
    <row r="132" customFormat="false" ht="14.25" hidden="false" customHeight="false" outlineLevel="0" collapsed="false">
      <c r="D132" s="89"/>
      <c r="G132" s="27"/>
      <c r="H132" s="27"/>
      <c r="I132" s="130"/>
    </row>
    <row r="133" customFormat="false" ht="14.25" hidden="false" customHeight="false" outlineLevel="0" collapsed="false">
      <c r="G133" s="27"/>
      <c r="H133" s="27"/>
      <c r="I133" s="130"/>
    </row>
    <row r="134" customFormat="false" ht="14.25" hidden="false" customHeight="false" outlineLevel="0" collapsed="false">
      <c r="G134" s="27"/>
      <c r="H134" s="27"/>
      <c r="I134" s="130"/>
    </row>
    <row r="135" customFormat="false" ht="14.25" hidden="false" customHeight="false" outlineLevel="0" collapsed="false">
      <c r="G135" s="27"/>
      <c r="H135" s="27"/>
      <c r="I135" s="130"/>
    </row>
    <row r="136" customFormat="false" ht="14.25" hidden="false" customHeight="false" outlineLevel="0" collapsed="false">
      <c r="G136" s="27"/>
      <c r="H136" s="27"/>
      <c r="I136" s="130"/>
    </row>
    <row r="137" customFormat="false" ht="14.25" hidden="false" customHeight="false" outlineLevel="0" collapsed="false">
      <c r="G137" s="27"/>
      <c r="H137" s="27"/>
      <c r="I137" s="130"/>
    </row>
    <row r="138" customFormat="false" ht="14.25" hidden="false" customHeight="false" outlineLevel="0" collapsed="false">
      <c r="G138" s="27"/>
      <c r="H138" s="27"/>
      <c r="I138" s="130"/>
    </row>
    <row r="139" customFormat="false" ht="14.25" hidden="false" customHeight="false" outlineLevel="0" collapsed="false">
      <c r="G139" s="27"/>
      <c r="H139" s="27"/>
      <c r="I139" s="130"/>
    </row>
    <row r="140" customFormat="false" ht="14.25" hidden="false" customHeight="false" outlineLevel="0" collapsed="false">
      <c r="G140" s="27"/>
      <c r="H140" s="27"/>
      <c r="I140" s="13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D38" activeCellId="0" sqref="D38"/>
    </sheetView>
  </sheetViews>
  <sheetFormatPr defaultColWidth="10.9140625" defaultRowHeight="14.25" customHeight="false" zeroHeight="false" outlineLevelRow="0" outlineLevelCol="0"/>
  <cols>
    <col collapsed="false" customWidth="true" hidden="false" outlineLevel="0" max="1" min="1" style="89" width="14.48"/>
    <col collapsed="false" customWidth="true" hidden="false" outlineLevel="0" max="2" min="2" style="89" width="6.45"/>
    <col collapsed="false" customWidth="true" hidden="false" outlineLevel="0" max="3" min="3" style="89" width="4.45"/>
    <col collapsed="false" customWidth="true" hidden="false" outlineLevel="0" max="4" min="4" style="90" width="8.36"/>
    <col collapsed="false" customWidth="true" hidden="false" outlineLevel="0" max="5" min="5" style="89" width="4.36"/>
    <col collapsed="false" customWidth="true" hidden="false" outlineLevel="0" max="6" min="6" style="89" width="17.73"/>
    <col collapsed="false" customWidth="true" hidden="false" outlineLevel="0" max="7" min="7" style="89" width="3.78"/>
    <col collapsed="false" customWidth="true" hidden="false" outlineLevel="0" max="8" min="8" style="90" width="14.26"/>
    <col collapsed="false" customWidth="true" hidden="false" outlineLevel="0" max="9" min="9" style="89" width="12.9"/>
    <col collapsed="false" customWidth="true" hidden="false" outlineLevel="0" max="10" min="10" style="89" width="17.38"/>
    <col collapsed="false" customWidth="true" hidden="false" outlineLevel="0" max="11" min="11" style="89" width="17.05"/>
    <col collapsed="false" customWidth="true" hidden="false" outlineLevel="0" max="12" min="12" style="89" width="47.15"/>
    <col collapsed="false" customWidth="true" hidden="false" outlineLevel="0" max="13" min="13" style="90" width="6.24"/>
    <col collapsed="false" customWidth="true" hidden="false" outlineLevel="0" max="14" min="14" style="89" width="5.18"/>
    <col collapsed="false" customWidth="true" hidden="false" outlineLevel="0" max="15" min="15" style="89" width="12.27"/>
    <col collapsed="false" customWidth="true" hidden="false" outlineLevel="0" max="16" min="16" style="90" width="21"/>
    <col collapsed="false" customWidth="true" hidden="false" outlineLevel="0" max="17" min="17" style="89" width="13.37"/>
    <col collapsed="false" customWidth="true" hidden="false" outlineLevel="0" max="18" min="18" style="89" width="19.18"/>
    <col collapsed="false" customWidth="false" hidden="false" outlineLevel="0" max="19" min="19" style="89" width="10.91"/>
    <col collapsed="false" customWidth="true" hidden="false" outlineLevel="0" max="20" min="20" style="89" width="13.63"/>
    <col collapsed="false" customWidth="false" hidden="false" outlineLevel="0" max="21" min="21" style="90" width="10.91"/>
    <col collapsed="false" customWidth="false" hidden="false" outlineLevel="0" max="22" min="22" style="89" width="10.91"/>
    <col collapsed="false" customWidth="false" hidden="false" outlineLevel="0" max="23" min="23" style="90" width="10.91"/>
    <col collapsed="false" customWidth="true" hidden="false" outlineLevel="0" max="24" min="24" style="89" width="11.54"/>
    <col collapsed="false" customWidth="true" hidden="false" outlineLevel="0" max="25" min="25" style="89" width="4.63"/>
    <col collapsed="false" customWidth="true" hidden="false" outlineLevel="0" max="26" min="26" style="89" width="15.72"/>
    <col collapsed="false" customWidth="false" hidden="false" outlineLevel="0" max="16384" min="27" style="89" width="10.91"/>
  </cols>
  <sheetData>
    <row r="1" s="136" customFormat="true" ht="14.25" hidden="false" customHeight="false" outlineLevel="0" collapsed="false">
      <c r="B1" s="137" t="s">
        <v>2991</v>
      </c>
      <c r="C1" s="137"/>
      <c r="D1" s="137"/>
      <c r="E1" s="137" t="s">
        <v>2992</v>
      </c>
      <c r="F1" s="137"/>
      <c r="G1" s="137"/>
      <c r="H1" s="137"/>
      <c r="I1" s="137" t="s">
        <v>2993</v>
      </c>
      <c r="J1" s="137"/>
      <c r="K1" s="137"/>
      <c r="L1" s="137"/>
      <c r="M1" s="137"/>
      <c r="N1" s="137" t="s">
        <v>2994</v>
      </c>
      <c r="O1" s="137"/>
      <c r="P1" s="137"/>
      <c r="Q1" s="137" t="s">
        <v>1154</v>
      </c>
      <c r="R1" s="137"/>
      <c r="S1" s="137"/>
      <c r="T1" s="137"/>
      <c r="U1" s="137"/>
      <c r="V1" s="137" t="s">
        <v>2995</v>
      </c>
      <c r="W1" s="137"/>
      <c r="X1" s="137" t="s">
        <v>2996</v>
      </c>
      <c r="Y1" s="137"/>
      <c r="Z1" s="137"/>
    </row>
    <row r="2" customFormat="false" ht="14.25" hidden="false" customHeight="false" outlineLevel="0" collapsed="false">
      <c r="A2" s="93" t="s">
        <v>1721</v>
      </c>
      <c r="B2" s="89" t="s">
        <v>1560</v>
      </c>
      <c r="C2" s="89" t="s">
        <v>2997</v>
      </c>
      <c r="D2" s="90" t="s">
        <v>2998</v>
      </c>
      <c r="E2" s="89" t="s">
        <v>134</v>
      </c>
      <c r="F2" s="89" t="s">
        <v>2999</v>
      </c>
      <c r="G2" s="89" t="s">
        <v>361</v>
      </c>
      <c r="H2" s="90" t="s">
        <v>1064</v>
      </c>
      <c r="I2" s="89" t="s">
        <v>3000</v>
      </c>
      <c r="J2" s="89" t="s">
        <v>3001</v>
      </c>
      <c r="K2" s="89" t="s">
        <v>3002</v>
      </c>
      <c r="L2" s="73" t="s">
        <v>3003</v>
      </c>
      <c r="M2" s="90" t="s">
        <v>143</v>
      </c>
      <c r="N2" s="89" t="s">
        <v>61</v>
      </c>
      <c r="O2" s="89" t="s">
        <v>3004</v>
      </c>
      <c r="P2" s="90" t="s">
        <v>3005</v>
      </c>
      <c r="Q2" s="89" t="s">
        <v>3006</v>
      </c>
      <c r="R2" s="89" t="s">
        <v>3007</v>
      </c>
      <c r="S2" s="89" t="s">
        <v>3008</v>
      </c>
      <c r="T2" s="89" t="s">
        <v>3009</v>
      </c>
      <c r="U2" s="90" t="s">
        <v>892</v>
      </c>
      <c r="V2" s="89" t="s">
        <v>3010</v>
      </c>
      <c r="W2" s="90" t="s">
        <v>52</v>
      </c>
      <c r="X2" s="89" t="s">
        <v>3011</v>
      </c>
      <c r="Y2" s="89" t="s">
        <v>1189</v>
      </c>
      <c r="Z2" s="89" t="s">
        <v>3012</v>
      </c>
    </row>
    <row r="3" customFormat="false" ht="14.25" hidden="false" customHeight="false" outlineLevel="0" collapsed="false">
      <c r="A3" s="101" t="s">
        <v>1760</v>
      </c>
      <c r="B3" s="89" t="n">
        <v>6</v>
      </c>
      <c r="C3" s="89" t="n">
        <v>2</v>
      </c>
      <c r="D3" s="90" t="s">
        <v>3013</v>
      </c>
      <c r="E3" s="89" t="s">
        <v>3014</v>
      </c>
      <c r="F3" s="89" t="s">
        <v>3013</v>
      </c>
      <c r="G3" s="89" t="s">
        <v>3014</v>
      </c>
      <c r="I3" s="89" t="n">
        <v>1</v>
      </c>
      <c r="J3" s="89" t="n">
        <v>1</v>
      </c>
      <c r="K3" s="89" t="s">
        <v>3015</v>
      </c>
      <c r="M3" s="90" t="n">
        <v>1</v>
      </c>
      <c r="N3" s="89" t="n">
        <v>1</v>
      </c>
      <c r="P3" s="90" t="s">
        <v>3014</v>
      </c>
      <c r="Q3" s="89" t="s">
        <v>3013</v>
      </c>
      <c r="U3" s="90" t="n">
        <v>2</v>
      </c>
      <c r="W3" s="90" t="n">
        <v>1</v>
      </c>
      <c r="X3" s="89" t="n">
        <v>1</v>
      </c>
      <c r="Z3" s="89" t="n">
        <v>1</v>
      </c>
    </row>
    <row r="4" customFormat="false" ht="14.25" hidden="false" customHeight="false" outlineLevel="0" collapsed="false">
      <c r="A4" s="101" t="s">
        <v>81</v>
      </c>
      <c r="B4" s="89" t="n">
        <v>83</v>
      </c>
      <c r="C4" s="89" t="n">
        <v>4</v>
      </c>
      <c r="D4" s="90" t="s">
        <v>3014</v>
      </c>
      <c r="E4" s="89" t="n">
        <v>1</v>
      </c>
      <c r="Q4" s="89" t="n">
        <v>2</v>
      </c>
      <c r="W4" s="90" t="s">
        <v>3014</v>
      </c>
    </row>
    <row r="5" customFormat="false" ht="14.25" hidden="false" customHeight="false" outlineLevel="0" collapsed="false">
      <c r="A5" s="101" t="s">
        <v>1829</v>
      </c>
      <c r="B5" s="89" t="s">
        <v>3016</v>
      </c>
      <c r="C5" s="89" t="n">
        <v>2</v>
      </c>
      <c r="D5" s="90" t="n">
        <v>1</v>
      </c>
      <c r="E5" s="89" t="n">
        <v>1</v>
      </c>
      <c r="G5" s="89" t="s">
        <v>3014</v>
      </c>
      <c r="I5" s="89" t="s">
        <v>3017</v>
      </c>
      <c r="J5" s="89" t="s">
        <v>3017</v>
      </c>
      <c r="K5" s="89" t="s">
        <v>3013</v>
      </c>
      <c r="L5" s="89" t="s">
        <v>3014</v>
      </c>
      <c r="M5" s="90" t="s">
        <v>3014</v>
      </c>
      <c r="N5" s="89" t="s">
        <v>3014</v>
      </c>
      <c r="O5" s="89" t="s">
        <v>3014</v>
      </c>
      <c r="Q5" s="89" t="s">
        <v>3013</v>
      </c>
      <c r="U5" s="90" t="s">
        <v>3014</v>
      </c>
      <c r="V5" s="89" t="s">
        <v>3014</v>
      </c>
      <c r="W5" s="90" t="s">
        <v>3014</v>
      </c>
      <c r="X5" s="89" t="s">
        <v>3014</v>
      </c>
      <c r="Y5" s="89" t="s">
        <v>3017</v>
      </c>
      <c r="Z5" s="89" t="s">
        <v>3017</v>
      </c>
    </row>
    <row r="6" customFormat="false" ht="14.25" hidden="false" customHeight="false" outlineLevel="0" collapsed="false">
      <c r="A6" s="101" t="s">
        <v>1846</v>
      </c>
      <c r="B6" s="89" t="s">
        <v>3018</v>
      </c>
      <c r="C6" s="89" t="s">
        <v>3013</v>
      </c>
      <c r="D6" s="90" t="s">
        <v>3014</v>
      </c>
      <c r="E6" s="89" t="s">
        <v>3014</v>
      </c>
      <c r="G6" s="89" t="s">
        <v>3014</v>
      </c>
      <c r="I6" s="89" t="s">
        <v>3014</v>
      </c>
      <c r="J6" s="89" t="s">
        <v>3014</v>
      </c>
      <c r="K6" s="89" t="s">
        <v>3013</v>
      </c>
      <c r="M6" s="90" t="s">
        <v>3014</v>
      </c>
      <c r="N6" s="89" t="s">
        <v>3014</v>
      </c>
      <c r="Q6" s="89" t="s">
        <v>3014</v>
      </c>
    </row>
    <row r="7" customFormat="false" ht="14.25" hidden="false" customHeight="false" outlineLevel="0" collapsed="false">
      <c r="A7" s="101" t="s">
        <v>1868</v>
      </c>
      <c r="E7" s="89" t="s">
        <v>3014</v>
      </c>
      <c r="F7" s="89" t="s">
        <v>3013</v>
      </c>
      <c r="I7" s="89" t="s">
        <v>3014</v>
      </c>
      <c r="J7" s="89" t="s">
        <v>3014</v>
      </c>
      <c r="K7" s="89" t="s">
        <v>3018</v>
      </c>
      <c r="M7" s="90" t="s">
        <v>3014</v>
      </c>
      <c r="N7" s="89" t="s">
        <v>3014</v>
      </c>
      <c r="S7" s="89" t="s">
        <v>3014</v>
      </c>
      <c r="U7" s="90" t="s">
        <v>3017</v>
      </c>
      <c r="Z7" s="89" t="s">
        <v>3017</v>
      </c>
    </row>
    <row r="8" customFormat="false" ht="14.25" hidden="false" customHeight="false" outlineLevel="0" collapsed="false">
      <c r="A8" s="101" t="s">
        <v>1885</v>
      </c>
      <c r="B8" s="89" t="s">
        <v>3019</v>
      </c>
      <c r="C8" s="89" t="s">
        <v>3020</v>
      </c>
      <c r="D8" s="90" t="s">
        <v>3014</v>
      </c>
      <c r="G8" s="89" t="s">
        <v>3015</v>
      </c>
      <c r="J8" s="89" t="s">
        <v>3017</v>
      </c>
      <c r="K8" s="89" t="s">
        <v>3021</v>
      </c>
      <c r="N8" s="89" t="s">
        <v>3014</v>
      </c>
      <c r="T8" s="89" t="s">
        <v>3016</v>
      </c>
    </row>
    <row r="9" customFormat="false" ht="14.25" hidden="false" customHeight="false" outlineLevel="0" collapsed="false">
      <c r="A9" s="100" t="s">
        <v>1677</v>
      </c>
      <c r="B9" s="89" t="n">
        <v>5</v>
      </c>
      <c r="C9" s="89" t="n">
        <v>1</v>
      </c>
      <c r="D9" s="90" t="n">
        <v>1</v>
      </c>
      <c r="E9" s="89" t="n">
        <v>1</v>
      </c>
      <c r="F9" s="89" t="n">
        <v>1</v>
      </c>
      <c r="G9" s="89" t="n">
        <v>1</v>
      </c>
      <c r="I9" s="89" t="n">
        <v>1</v>
      </c>
      <c r="K9" s="89" t="s">
        <v>3021</v>
      </c>
      <c r="N9" s="89" t="n">
        <v>1</v>
      </c>
      <c r="Q9" s="89" t="n">
        <v>2</v>
      </c>
      <c r="U9" s="90" t="s">
        <v>3017</v>
      </c>
      <c r="V9" s="89" t="s">
        <v>3017</v>
      </c>
    </row>
    <row r="10" customFormat="false" ht="14.25" hidden="false" customHeight="false" outlineLevel="0" collapsed="false">
      <c r="A10" s="101" t="s">
        <v>1916</v>
      </c>
      <c r="B10" s="89" t="s">
        <v>3013</v>
      </c>
      <c r="C10" s="89" t="s">
        <v>3013</v>
      </c>
      <c r="D10" s="90" t="s">
        <v>3013</v>
      </c>
      <c r="E10" s="89" t="s">
        <v>3013</v>
      </c>
      <c r="F10" s="89" t="s">
        <v>3014</v>
      </c>
      <c r="G10" s="89" t="s">
        <v>3013</v>
      </c>
      <c r="I10" s="89" t="s">
        <v>3014</v>
      </c>
      <c r="J10" s="89" t="s">
        <v>3014</v>
      </c>
      <c r="K10" s="89" t="s">
        <v>3015</v>
      </c>
      <c r="M10" s="90" t="s">
        <v>3014</v>
      </c>
      <c r="N10" s="89" t="s">
        <v>3014</v>
      </c>
      <c r="P10" s="90" t="s">
        <v>3014</v>
      </c>
      <c r="Q10" s="89" t="s">
        <v>3013</v>
      </c>
      <c r="U10" s="90" t="s">
        <v>3014</v>
      </c>
      <c r="W10" s="90" t="s">
        <v>3014</v>
      </c>
    </row>
    <row r="11" customFormat="false" ht="14.25" hidden="false" customHeight="false" outlineLevel="0" collapsed="false">
      <c r="A11" s="101" t="s">
        <v>1938</v>
      </c>
      <c r="B11" s="89" t="s">
        <v>3013</v>
      </c>
      <c r="C11" s="89" t="s">
        <v>3013</v>
      </c>
      <c r="D11" s="90" t="s">
        <v>3013</v>
      </c>
      <c r="E11" s="89" t="s">
        <v>3014</v>
      </c>
      <c r="F11" s="89" t="s">
        <v>3017</v>
      </c>
      <c r="G11" s="89" t="s">
        <v>3014</v>
      </c>
      <c r="I11" s="89" t="s">
        <v>3014</v>
      </c>
      <c r="J11" s="89" t="s">
        <v>3014</v>
      </c>
      <c r="K11" s="89" t="s">
        <v>3013</v>
      </c>
      <c r="M11" s="90" t="s">
        <v>3014</v>
      </c>
      <c r="N11" s="89" t="s">
        <v>3014</v>
      </c>
      <c r="P11" s="90" t="s">
        <v>3014</v>
      </c>
      <c r="Q11" s="89" t="s">
        <v>3013</v>
      </c>
      <c r="U11" s="90" t="s">
        <v>3014</v>
      </c>
      <c r="W11" s="90" t="s">
        <v>3017</v>
      </c>
    </row>
    <row r="12" customFormat="false" ht="14.25" hidden="false" customHeight="false" outlineLevel="0" collapsed="false">
      <c r="A12" s="101" t="s">
        <v>1961</v>
      </c>
      <c r="B12" s="89" t="s">
        <v>3022</v>
      </c>
      <c r="C12" s="89" t="s">
        <v>3018</v>
      </c>
      <c r="D12" s="90" t="s">
        <v>3023</v>
      </c>
      <c r="E12" s="89" t="s">
        <v>3023</v>
      </c>
      <c r="F12" s="89" t="s">
        <v>3014</v>
      </c>
      <c r="G12" s="89" t="s">
        <v>3013</v>
      </c>
      <c r="I12" s="89" t="s">
        <v>3014</v>
      </c>
      <c r="J12" s="89" t="s">
        <v>3014</v>
      </c>
      <c r="K12" s="89" t="s">
        <v>3015</v>
      </c>
      <c r="M12" s="90" t="s">
        <v>3020</v>
      </c>
      <c r="N12" s="89" t="s">
        <v>3014</v>
      </c>
      <c r="O12" s="89" t="s">
        <v>3024</v>
      </c>
      <c r="Q12" s="89" t="s">
        <v>3025</v>
      </c>
      <c r="T12" s="89" t="s">
        <v>3021</v>
      </c>
      <c r="U12" s="90" t="s">
        <v>3020</v>
      </c>
      <c r="W12" s="90" t="s">
        <v>3017</v>
      </c>
      <c r="X12" s="89" t="s">
        <v>3017</v>
      </c>
      <c r="Y12" s="89" t="s">
        <v>3017</v>
      </c>
      <c r="Z12" s="89" t="s">
        <v>3017</v>
      </c>
    </row>
    <row r="13" customFormat="false" ht="14.25" hidden="false" customHeight="false" outlineLevel="0" collapsed="false">
      <c r="A13" s="101" t="s">
        <v>2025</v>
      </c>
      <c r="B13" s="89" t="s">
        <v>3018</v>
      </c>
      <c r="C13" s="89" t="s">
        <v>3013</v>
      </c>
      <c r="D13" s="90" t="s">
        <v>3013</v>
      </c>
      <c r="E13" s="89" t="s">
        <v>3014</v>
      </c>
      <c r="F13" s="89" t="s">
        <v>3014</v>
      </c>
      <c r="G13" s="89" t="s">
        <v>3014</v>
      </c>
      <c r="I13" s="89" t="s">
        <v>3014</v>
      </c>
      <c r="J13" s="89" t="s">
        <v>3014</v>
      </c>
      <c r="K13" s="89" t="s">
        <v>3015</v>
      </c>
      <c r="M13" s="90" t="s">
        <v>3013</v>
      </c>
      <c r="N13" s="89" t="s">
        <v>3014</v>
      </c>
      <c r="Q13" s="89" t="s">
        <v>3013</v>
      </c>
      <c r="S13" s="89" t="s">
        <v>3014</v>
      </c>
      <c r="U13" s="90" t="s">
        <v>3014</v>
      </c>
      <c r="W13" s="90" t="s">
        <v>3014</v>
      </c>
    </row>
    <row r="14" customFormat="false" ht="14.25" hidden="false" customHeight="false" outlineLevel="0" collapsed="false">
      <c r="A14" s="101" t="s">
        <v>2044</v>
      </c>
      <c r="B14" s="89" t="s">
        <v>3016</v>
      </c>
      <c r="C14" s="89" t="s">
        <v>3013</v>
      </c>
      <c r="D14" s="90" t="s">
        <v>3014</v>
      </c>
      <c r="E14" s="89" t="s">
        <v>3014</v>
      </c>
      <c r="I14" s="89" t="s">
        <v>3014</v>
      </c>
      <c r="K14" s="89" t="s">
        <v>3013</v>
      </c>
      <c r="M14" s="90" t="s">
        <v>3014</v>
      </c>
      <c r="N14" s="89" t="s">
        <v>3014</v>
      </c>
      <c r="Q14" s="89" t="s">
        <v>3013</v>
      </c>
    </row>
    <row r="15" customFormat="false" ht="14.25" hidden="false" customHeight="false" outlineLevel="0" collapsed="false">
      <c r="A15" s="101" t="s">
        <v>2057</v>
      </c>
      <c r="B15" s="89" t="s">
        <v>3026</v>
      </c>
      <c r="C15" s="89" t="s">
        <v>3013</v>
      </c>
      <c r="D15" s="90" t="s">
        <v>3014</v>
      </c>
      <c r="E15" s="89" t="s">
        <v>3014</v>
      </c>
    </row>
    <row r="16" customFormat="false" ht="14.25" hidden="false" customHeight="false" outlineLevel="0" collapsed="false">
      <c r="A16" s="101" t="s">
        <v>2072</v>
      </c>
      <c r="B16" s="89" t="s">
        <v>3019</v>
      </c>
      <c r="C16" s="89" t="s">
        <v>3013</v>
      </c>
      <c r="D16" s="90" t="s">
        <v>3014</v>
      </c>
      <c r="E16" s="89" t="s">
        <v>3014</v>
      </c>
    </row>
    <row r="17" customFormat="false" ht="14.25" hidden="false" customHeight="false" outlineLevel="0" collapsed="false">
      <c r="A17" s="101" t="s">
        <v>2087</v>
      </c>
      <c r="B17" s="89" t="s">
        <v>3016</v>
      </c>
      <c r="C17" s="89" t="s">
        <v>3013</v>
      </c>
      <c r="D17" s="90" t="s">
        <v>3014</v>
      </c>
      <c r="E17" s="89" t="s">
        <v>3014</v>
      </c>
      <c r="G17" s="89" t="s">
        <v>3014</v>
      </c>
      <c r="H17" s="90" t="s">
        <v>3014</v>
      </c>
      <c r="J17" s="89" t="s">
        <v>3013</v>
      </c>
      <c r="K17" s="89" t="s">
        <v>3013</v>
      </c>
      <c r="M17" s="90" t="s">
        <v>3014</v>
      </c>
      <c r="N17" s="89" t="s">
        <v>3014</v>
      </c>
      <c r="Q17" s="89" t="s">
        <v>3013</v>
      </c>
      <c r="R17" s="89" t="s">
        <v>3014</v>
      </c>
      <c r="T17" s="89" t="s">
        <v>3015</v>
      </c>
    </row>
    <row r="18" customFormat="false" ht="14.25" hidden="false" customHeight="false" outlineLevel="0" collapsed="false">
      <c r="A18" s="101" t="s">
        <v>2106</v>
      </c>
      <c r="B18" s="89" t="s">
        <v>3027</v>
      </c>
      <c r="C18" s="89" t="s">
        <v>3013</v>
      </c>
      <c r="D18" s="90" t="s">
        <v>3014</v>
      </c>
      <c r="W18" s="90" t="s">
        <v>3014</v>
      </c>
    </row>
    <row r="19" customFormat="false" ht="14.25" hidden="false" customHeight="false" outlineLevel="0" collapsed="false">
      <c r="A19" s="101" t="s">
        <v>2123</v>
      </c>
      <c r="B19" s="89" t="s">
        <v>3028</v>
      </c>
      <c r="C19" s="89" t="s">
        <v>3020</v>
      </c>
      <c r="D19" s="90" t="s">
        <v>3021</v>
      </c>
      <c r="W19" s="90" t="s">
        <v>3014</v>
      </c>
    </row>
    <row r="20" customFormat="false" ht="14.25" hidden="false" customHeight="false" outlineLevel="0" collapsed="false">
      <c r="A20" s="101" t="s">
        <v>2140</v>
      </c>
      <c r="B20" s="89" t="s">
        <v>3029</v>
      </c>
      <c r="C20" s="89" t="s">
        <v>3021</v>
      </c>
      <c r="D20" s="90" t="s">
        <v>3021</v>
      </c>
      <c r="W20" s="90" t="s">
        <v>3014</v>
      </c>
    </row>
    <row r="21" customFormat="false" ht="14.25" hidden="false" customHeight="false" outlineLevel="0" collapsed="false">
      <c r="A21" s="101" t="s">
        <v>2156</v>
      </c>
      <c r="B21" s="89" t="s">
        <v>3030</v>
      </c>
      <c r="C21" s="89" t="s">
        <v>3013</v>
      </c>
      <c r="D21" s="90" t="s">
        <v>3014</v>
      </c>
      <c r="E21" s="89" t="s">
        <v>3014</v>
      </c>
      <c r="W21" s="90" t="s">
        <v>3014</v>
      </c>
    </row>
    <row r="22" customFormat="false" ht="14.25" hidden="false" customHeight="false" outlineLevel="0" collapsed="false">
      <c r="A22" s="101" t="s">
        <v>2170</v>
      </c>
      <c r="E22" s="89" t="s">
        <v>3014</v>
      </c>
      <c r="F22" s="89" t="s">
        <v>3013</v>
      </c>
      <c r="G22" s="89" t="s">
        <v>3014</v>
      </c>
      <c r="I22" s="89" t="s">
        <v>3017</v>
      </c>
      <c r="J22" s="89" t="s">
        <v>3017</v>
      </c>
      <c r="K22" s="89" t="s">
        <v>3021</v>
      </c>
      <c r="M22" s="90" t="s">
        <v>3014</v>
      </c>
      <c r="N22" s="89" t="s">
        <v>3013</v>
      </c>
      <c r="P22" s="90" t="s">
        <v>3014</v>
      </c>
      <c r="S22" s="89" t="s">
        <v>3014</v>
      </c>
      <c r="T22" s="89" t="s">
        <v>3015</v>
      </c>
      <c r="U22" s="90" t="s">
        <v>3014</v>
      </c>
    </row>
    <row r="23" customFormat="false" ht="14.25" hidden="false" customHeight="false" outlineLevel="0" collapsed="false">
      <c r="A23" s="90" t="s">
        <v>2182</v>
      </c>
    </row>
    <row r="24" customFormat="false" ht="14.25" hidden="false" customHeight="false" outlineLevel="0" collapsed="false">
      <c r="A24" s="101" t="s">
        <v>2183</v>
      </c>
      <c r="B24" s="89" t="s">
        <v>3018</v>
      </c>
      <c r="C24" s="89" t="s">
        <v>3013</v>
      </c>
      <c r="D24" s="90" t="s">
        <v>3014</v>
      </c>
      <c r="E24" s="89" t="s">
        <v>3014</v>
      </c>
      <c r="W24" s="90" t="s">
        <v>3014</v>
      </c>
    </row>
    <row r="25" customFormat="false" ht="14.25" hidden="false" customHeight="false" outlineLevel="0" collapsed="false">
      <c r="A25" s="101" t="s">
        <v>2200</v>
      </c>
      <c r="B25" s="89" t="s">
        <v>3031</v>
      </c>
      <c r="C25" s="89" t="s">
        <v>3013</v>
      </c>
      <c r="D25" s="90" t="s">
        <v>3021</v>
      </c>
      <c r="E25" s="89" t="s">
        <v>3032</v>
      </c>
      <c r="F25" s="89" t="s">
        <v>3014</v>
      </c>
      <c r="G25" s="89" t="s">
        <v>3013</v>
      </c>
      <c r="I25" s="89" t="s">
        <v>3014</v>
      </c>
      <c r="J25" s="89" t="s">
        <v>3014</v>
      </c>
      <c r="K25" s="89" t="s">
        <v>3013</v>
      </c>
      <c r="M25" s="90" t="s">
        <v>3014</v>
      </c>
      <c r="N25" s="89" t="s">
        <v>3014</v>
      </c>
      <c r="O25" s="89" t="s">
        <v>3017</v>
      </c>
      <c r="P25" s="90" t="s">
        <v>3033</v>
      </c>
      <c r="Q25" s="89" t="s">
        <v>3013</v>
      </c>
      <c r="S25" s="89" t="s">
        <v>3017</v>
      </c>
      <c r="T25" s="89" t="s">
        <v>3033</v>
      </c>
      <c r="U25" s="90" t="s">
        <v>3014</v>
      </c>
      <c r="X25" s="89" t="s">
        <v>3017</v>
      </c>
      <c r="Y25" s="89" t="s">
        <v>3017</v>
      </c>
      <c r="Z25" s="89" t="s">
        <v>3014</v>
      </c>
    </row>
    <row r="26" customFormat="false" ht="14.25" hidden="false" customHeight="false" outlineLevel="0" collapsed="false">
      <c r="A26" s="101" t="s">
        <v>481</v>
      </c>
      <c r="B26" s="89" t="s">
        <v>3016</v>
      </c>
      <c r="C26" s="89" t="s">
        <v>3013</v>
      </c>
      <c r="D26" s="90" t="s">
        <v>3014</v>
      </c>
      <c r="E26" s="89" t="s">
        <v>3013</v>
      </c>
      <c r="J26" s="89" t="s">
        <v>3013</v>
      </c>
      <c r="K26" s="89" t="s">
        <v>3013</v>
      </c>
      <c r="M26" s="90" t="s">
        <v>3014</v>
      </c>
      <c r="N26" s="89" t="s">
        <v>3014</v>
      </c>
      <c r="Q26" s="89" t="s">
        <v>3013</v>
      </c>
      <c r="U26" s="90" t="s">
        <v>3014</v>
      </c>
      <c r="W26" s="90" t="s">
        <v>3014</v>
      </c>
    </row>
    <row r="27" customFormat="false" ht="14.25" hidden="false" customHeight="false" outlineLevel="0" collapsed="false">
      <c r="A27" s="101" t="s">
        <v>2292</v>
      </c>
      <c r="B27" s="89" t="s">
        <v>3015</v>
      </c>
      <c r="C27" s="89" t="s">
        <v>3013</v>
      </c>
      <c r="D27" s="90" t="s">
        <v>3014</v>
      </c>
      <c r="E27" s="89" t="s">
        <v>3014</v>
      </c>
      <c r="F27" s="89" t="s">
        <v>3014</v>
      </c>
      <c r="G27" s="89" t="s">
        <v>3013</v>
      </c>
      <c r="I27" s="89" t="s">
        <v>3014</v>
      </c>
      <c r="J27" s="89" t="s">
        <v>3014</v>
      </c>
      <c r="K27" s="89" t="s">
        <v>3013</v>
      </c>
      <c r="M27" s="90" t="s">
        <v>3014</v>
      </c>
      <c r="N27" s="89" t="s">
        <v>3014</v>
      </c>
      <c r="P27" s="90" t="s">
        <v>3014</v>
      </c>
      <c r="Q27" s="89" t="s">
        <v>3014</v>
      </c>
      <c r="U27" s="90" t="s">
        <v>3014</v>
      </c>
    </row>
    <row r="28" customFormat="false" ht="14.25" hidden="false" customHeight="false" outlineLevel="0" collapsed="false">
      <c r="A28" s="101" t="s">
        <v>2315</v>
      </c>
      <c r="B28" s="89" t="s">
        <v>3032</v>
      </c>
      <c r="C28" s="89" t="s">
        <v>3017</v>
      </c>
      <c r="D28" s="90" t="s">
        <v>3017</v>
      </c>
      <c r="E28" s="89" t="s">
        <v>3014</v>
      </c>
      <c r="H28" s="90" t="s">
        <v>3014</v>
      </c>
      <c r="J28" s="89" t="s">
        <v>3014</v>
      </c>
      <c r="K28" s="89" t="s">
        <v>3021</v>
      </c>
      <c r="N28" s="89" t="s">
        <v>3017</v>
      </c>
    </row>
    <row r="29" customFormat="false" ht="14.25" hidden="false" customHeight="false" outlineLevel="0" collapsed="false">
      <c r="A29" s="101" t="s">
        <v>2334</v>
      </c>
      <c r="B29" s="89" t="s">
        <v>3034</v>
      </c>
      <c r="C29" s="89" t="s">
        <v>3013</v>
      </c>
      <c r="D29" s="90" t="s">
        <v>3014</v>
      </c>
      <c r="E29" s="89" t="s">
        <v>3014</v>
      </c>
      <c r="G29" s="89" t="s">
        <v>3014</v>
      </c>
      <c r="I29" s="89" t="s">
        <v>3014</v>
      </c>
      <c r="J29" s="89" t="s">
        <v>3014</v>
      </c>
      <c r="K29" s="89" t="s">
        <v>3013</v>
      </c>
      <c r="M29" s="90" t="s">
        <v>3014</v>
      </c>
      <c r="N29" s="89" t="s">
        <v>3014</v>
      </c>
      <c r="O29" s="89" t="s">
        <v>3017</v>
      </c>
      <c r="Q29" s="89" t="s">
        <v>3014</v>
      </c>
      <c r="U29" s="90" t="s">
        <v>3014</v>
      </c>
      <c r="X29" s="89" t="s">
        <v>3014</v>
      </c>
      <c r="Y29" s="89" t="s">
        <v>3017</v>
      </c>
      <c r="Z29" s="89" t="s">
        <v>3014</v>
      </c>
    </row>
    <row r="30" customFormat="false" ht="14.25" hidden="false" customHeight="false" outlineLevel="0" collapsed="false">
      <c r="A30" s="101" t="s">
        <v>2396</v>
      </c>
      <c r="B30" s="89" t="s">
        <v>3013</v>
      </c>
      <c r="C30" s="89" t="s">
        <v>3013</v>
      </c>
      <c r="D30" s="90" t="s">
        <v>3013</v>
      </c>
      <c r="E30" s="89" t="s">
        <v>3013</v>
      </c>
      <c r="G30" s="89" t="s">
        <v>3013</v>
      </c>
      <c r="I30" s="89" t="s">
        <v>3014</v>
      </c>
      <c r="J30" s="89" t="s">
        <v>3014</v>
      </c>
      <c r="K30" s="89" t="s">
        <v>3015</v>
      </c>
      <c r="N30" s="89" t="s">
        <v>3014</v>
      </c>
      <c r="Q30" s="89" t="s">
        <v>3013</v>
      </c>
      <c r="U30" s="90" t="s">
        <v>3014</v>
      </c>
    </row>
    <row r="31" customFormat="false" ht="14.25" hidden="false" customHeight="false" outlineLevel="0" collapsed="false">
      <c r="A31" s="101" t="s">
        <v>2448</v>
      </c>
      <c r="B31" s="89" t="s">
        <v>3016</v>
      </c>
      <c r="C31" s="89" t="s">
        <v>3013</v>
      </c>
      <c r="D31" s="90" t="s">
        <v>3013</v>
      </c>
      <c r="E31" s="89" t="s">
        <v>3014</v>
      </c>
      <c r="F31" s="89" t="s">
        <v>3014</v>
      </c>
      <c r="G31" s="89" t="s">
        <v>3014</v>
      </c>
      <c r="I31" s="89" t="s">
        <v>3014</v>
      </c>
      <c r="J31" s="89" t="s">
        <v>3017</v>
      </c>
      <c r="K31" s="89" t="s">
        <v>3013</v>
      </c>
      <c r="N31" s="89" t="s">
        <v>3014</v>
      </c>
      <c r="Q31" s="89" t="s">
        <v>3013</v>
      </c>
      <c r="W31" s="90" t="s">
        <v>3014</v>
      </c>
    </row>
    <row r="32" customFormat="false" ht="14.25" hidden="false" customHeight="false" outlineLevel="0" collapsed="false">
      <c r="A32" s="101" t="s">
        <v>1679</v>
      </c>
      <c r="B32" s="89" t="s">
        <v>3013</v>
      </c>
      <c r="C32" s="89" t="s">
        <v>3013</v>
      </c>
    </row>
    <row r="33" customFormat="false" ht="14.25" hidden="false" customHeight="false" outlineLevel="0" collapsed="false">
      <c r="A33" s="101" t="s">
        <v>1680</v>
      </c>
      <c r="B33" s="89" t="s">
        <v>3035</v>
      </c>
      <c r="C33" s="89" t="s">
        <v>3013</v>
      </c>
      <c r="D33" s="90" t="s">
        <v>3014</v>
      </c>
      <c r="E33" s="89" t="s">
        <v>3014</v>
      </c>
      <c r="F33" s="89" t="s">
        <v>3014</v>
      </c>
      <c r="I33" s="89" t="s">
        <v>3014</v>
      </c>
      <c r="J33" s="89" t="s">
        <v>3025</v>
      </c>
      <c r="K33" s="89" t="s">
        <v>3013</v>
      </c>
      <c r="M33" s="90" t="s">
        <v>3020</v>
      </c>
      <c r="N33" s="89" t="s">
        <v>3014</v>
      </c>
      <c r="O33" s="89" t="s">
        <v>3024</v>
      </c>
      <c r="P33" s="90" t="s">
        <v>3014</v>
      </c>
      <c r="Q33" s="89" t="s">
        <v>3020</v>
      </c>
      <c r="U33" s="90" t="s">
        <v>3014</v>
      </c>
      <c r="W33" s="90" t="s">
        <v>3014</v>
      </c>
      <c r="X33" s="89" t="s">
        <v>3014</v>
      </c>
      <c r="Z33" s="89" t="s">
        <v>3013</v>
      </c>
    </row>
    <row r="34" customFormat="false" ht="14.25" hidden="false" customHeight="false" outlineLevel="0" collapsed="false">
      <c r="A34" s="101" t="s">
        <v>1681</v>
      </c>
      <c r="B34" s="89" t="s">
        <v>3016</v>
      </c>
      <c r="C34" s="89" t="s">
        <v>3014</v>
      </c>
      <c r="D34" s="90" t="s">
        <v>3014</v>
      </c>
      <c r="E34" s="89" t="s">
        <v>3014</v>
      </c>
      <c r="J34" s="89" t="s">
        <v>3014</v>
      </c>
      <c r="K34" s="89" t="s">
        <v>3013</v>
      </c>
      <c r="N34" s="89" t="s">
        <v>3014</v>
      </c>
    </row>
    <row r="35" customFormat="false" ht="14.25" hidden="false" customHeight="false" outlineLevel="0" collapsed="false">
      <c r="A35" s="101" t="s">
        <v>2519</v>
      </c>
      <c r="B35" s="89" t="s">
        <v>3015</v>
      </c>
      <c r="C35" s="89" t="s">
        <v>3013</v>
      </c>
      <c r="D35" s="90" t="s">
        <v>3014</v>
      </c>
      <c r="E35" s="89" t="s">
        <v>3014</v>
      </c>
      <c r="I35" s="89" t="s">
        <v>3014</v>
      </c>
      <c r="K35" s="89" t="s">
        <v>3013</v>
      </c>
      <c r="N35" s="89" t="s">
        <v>3014</v>
      </c>
    </row>
    <row r="36" customFormat="false" ht="14.25" hidden="false" customHeight="false" outlineLevel="0" collapsed="false">
      <c r="A36" s="101" t="s">
        <v>3036</v>
      </c>
      <c r="B36" s="89" t="s">
        <v>3037</v>
      </c>
    </row>
    <row r="37" customFormat="false" ht="14.25" hidden="false" customHeight="false" outlineLevel="0" collapsed="false">
      <c r="A37" s="101" t="s">
        <v>2544</v>
      </c>
      <c r="B37" s="89" t="s">
        <v>3038</v>
      </c>
    </row>
    <row r="38" customFormat="false" ht="14.25" hidden="false" customHeight="false" outlineLevel="0" collapsed="false">
      <c r="A38" s="101" t="s">
        <v>2551</v>
      </c>
      <c r="B38" s="89" t="s">
        <v>3039</v>
      </c>
      <c r="C38" s="89" t="s">
        <v>3014</v>
      </c>
      <c r="D38" s="90" t="s">
        <v>3014</v>
      </c>
    </row>
    <row r="39" customFormat="false" ht="14.25" hidden="false" customHeight="false" outlineLevel="0" collapsed="false">
      <c r="A39" s="101" t="s">
        <v>2566</v>
      </c>
      <c r="B39" s="89" t="s">
        <v>3040</v>
      </c>
      <c r="D39" s="90" t="s">
        <v>3013</v>
      </c>
    </row>
    <row r="40" customFormat="false" ht="14.25" hidden="false" customHeight="false" outlineLevel="0" collapsed="false">
      <c r="A40" s="101" t="s">
        <v>1683</v>
      </c>
    </row>
    <row r="41" customFormat="false" ht="14.25" hidden="false" customHeight="false" outlineLevel="0" collapsed="false">
      <c r="A41" s="101" t="s">
        <v>1682</v>
      </c>
      <c r="B41" s="89" t="s">
        <v>3013</v>
      </c>
      <c r="C41" s="89" t="s">
        <v>3013</v>
      </c>
      <c r="D41" s="90" t="s">
        <v>3014</v>
      </c>
      <c r="E41" s="89" t="s">
        <v>3014</v>
      </c>
      <c r="G41" s="89" t="s">
        <v>3014</v>
      </c>
      <c r="I41" s="89" t="s">
        <v>3014</v>
      </c>
      <c r="J41" s="89" t="s">
        <v>3014</v>
      </c>
      <c r="K41" s="89" t="s">
        <v>3013</v>
      </c>
      <c r="N41" s="89" t="s">
        <v>3014</v>
      </c>
      <c r="P41" s="90" t="s">
        <v>3014</v>
      </c>
      <c r="U41" s="90" t="s">
        <v>3014</v>
      </c>
      <c r="V41" s="89" t="s">
        <v>3014</v>
      </c>
      <c r="W41" s="90" t="s">
        <v>3014</v>
      </c>
    </row>
    <row r="42" customFormat="false" ht="14.25" hidden="false" customHeight="false" outlineLevel="0" collapsed="false">
      <c r="A42" s="101" t="s">
        <v>3041</v>
      </c>
      <c r="B42" s="89" t="s">
        <v>3013</v>
      </c>
      <c r="C42" s="89" t="s">
        <v>3014</v>
      </c>
      <c r="D42" s="90" t="s">
        <v>3014</v>
      </c>
      <c r="J42" s="89" t="s">
        <v>3014</v>
      </c>
      <c r="R42" s="89" t="s">
        <v>3014</v>
      </c>
      <c r="W42" s="90" t="s">
        <v>3014</v>
      </c>
    </row>
    <row r="43" customFormat="false" ht="14.25" hidden="false" customHeight="false" outlineLevel="0" collapsed="false">
      <c r="A43" s="101" t="s">
        <v>2692</v>
      </c>
      <c r="B43" s="89" t="s">
        <v>3013</v>
      </c>
      <c r="C43" s="89" t="s">
        <v>3013</v>
      </c>
      <c r="D43" s="90" t="s">
        <v>3013</v>
      </c>
      <c r="E43" s="89" t="s">
        <v>3014</v>
      </c>
      <c r="G43" s="89" t="s">
        <v>3014</v>
      </c>
      <c r="I43" s="89" t="s">
        <v>3014</v>
      </c>
      <c r="J43" s="89" t="s">
        <v>3014</v>
      </c>
      <c r="K43" s="89" t="s">
        <v>3013</v>
      </c>
      <c r="N43" s="89" t="s">
        <v>3014</v>
      </c>
      <c r="Q43" s="89" t="s">
        <v>3013</v>
      </c>
      <c r="U43" s="90" t="s">
        <v>3014</v>
      </c>
    </row>
    <row r="44" customFormat="false" ht="14.25" hidden="false" customHeight="false" outlineLevel="0" collapsed="false">
      <c r="A44" s="101" t="s">
        <v>1684</v>
      </c>
      <c r="B44" s="89" t="s">
        <v>3042</v>
      </c>
      <c r="C44" s="89" t="s">
        <v>3013</v>
      </c>
      <c r="D44" s="90" t="s">
        <v>3014</v>
      </c>
      <c r="E44" s="89" t="s">
        <v>3014</v>
      </c>
      <c r="F44" s="89" t="s">
        <v>3013</v>
      </c>
      <c r="G44" s="89" t="s">
        <v>3014</v>
      </c>
      <c r="I44" s="89" t="s">
        <v>3014</v>
      </c>
      <c r="J44" s="89" t="s">
        <v>3033</v>
      </c>
      <c r="K44" s="89" t="s">
        <v>3013</v>
      </c>
      <c r="M44" s="90" t="s">
        <v>3014</v>
      </c>
      <c r="N44" s="89" t="s">
        <v>3014</v>
      </c>
      <c r="O44" s="89" t="s">
        <v>3017</v>
      </c>
      <c r="P44" s="90" t="s">
        <v>3017</v>
      </c>
      <c r="Q44" s="89" t="s">
        <v>3013</v>
      </c>
      <c r="T44" s="89" t="s">
        <v>3017</v>
      </c>
      <c r="U44" s="90" t="s">
        <v>3014</v>
      </c>
      <c r="W44" s="90" t="s">
        <v>3014</v>
      </c>
      <c r="X44" s="89" t="s">
        <v>3043</v>
      </c>
      <c r="Y44" s="89" t="s">
        <v>3014</v>
      </c>
      <c r="Z44" s="89" t="s">
        <v>3017</v>
      </c>
    </row>
    <row r="45" customFormat="false" ht="14.25" hidden="false" customHeight="false" outlineLevel="0" collapsed="false">
      <c r="A45" s="101" t="s">
        <v>1685</v>
      </c>
      <c r="B45" s="89" t="s">
        <v>3013</v>
      </c>
      <c r="C45" s="89" t="s">
        <v>3013</v>
      </c>
      <c r="D45" s="90" t="s">
        <v>3014</v>
      </c>
      <c r="E45" s="89" t="s">
        <v>3014</v>
      </c>
      <c r="G45" s="89" t="s">
        <v>3014</v>
      </c>
      <c r="J45" s="89" t="s">
        <v>3014</v>
      </c>
      <c r="K45" s="89" t="s">
        <v>3015</v>
      </c>
      <c r="N45" s="89" t="s">
        <v>3014</v>
      </c>
      <c r="U45" s="90" t="s">
        <v>3014</v>
      </c>
      <c r="V45" s="89" t="s">
        <v>3014</v>
      </c>
    </row>
    <row r="46" customFormat="false" ht="14.25" hidden="false" customHeight="false" outlineLevel="0" collapsed="false">
      <c r="A46" s="128" t="s">
        <v>2752</v>
      </c>
      <c r="B46" s="89" t="s">
        <v>3015</v>
      </c>
    </row>
    <row r="47" customFormat="false" ht="14.25" hidden="false" customHeight="false" outlineLevel="0" collapsed="false">
      <c r="A47" s="101" t="s">
        <v>1676</v>
      </c>
      <c r="B47" s="89" t="s">
        <v>3024</v>
      </c>
      <c r="C47" s="89" t="s">
        <v>3013</v>
      </c>
      <c r="D47" s="90" t="s">
        <v>3014</v>
      </c>
      <c r="E47" s="89" t="s">
        <v>3014</v>
      </c>
      <c r="I47" s="89" t="s">
        <v>3014</v>
      </c>
      <c r="J47" s="89" t="s">
        <v>3013</v>
      </c>
      <c r="K47" s="89" t="s">
        <v>3015</v>
      </c>
      <c r="M47" s="90" t="s">
        <v>3014</v>
      </c>
      <c r="N47" s="89" t="s">
        <v>3014</v>
      </c>
      <c r="Q47" s="89" t="s">
        <v>3014</v>
      </c>
      <c r="U47" s="90" t="s">
        <v>3014</v>
      </c>
      <c r="W47" s="90" t="s">
        <v>3014</v>
      </c>
    </row>
    <row r="57" customFormat="false" ht="14.25" hidden="false" customHeight="false" outlineLevel="0" collapsed="false">
      <c r="A57" s="138" t="s">
        <v>3044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</row>
    <row r="58" customFormat="false" ht="14.25" hidden="false" customHeight="false" outlineLevel="0" collapsed="false">
      <c r="A58" s="138" t="s">
        <v>3045</v>
      </c>
      <c r="B58" s="138"/>
      <c r="C58" s="138"/>
      <c r="D58" s="138"/>
      <c r="E58" s="138"/>
      <c r="F58" s="138"/>
      <c r="G58" s="138"/>
      <c r="H58" s="138"/>
      <c r="I58" s="138"/>
      <c r="J58" s="138"/>
      <c r="K58" s="138"/>
    </row>
    <row r="59" customFormat="false" ht="14.25" hidden="false" customHeight="false" outlineLevel="0" collapsed="false">
      <c r="A59" s="138" t="s">
        <v>3046</v>
      </c>
      <c r="B59" s="138"/>
      <c r="C59" s="138"/>
      <c r="D59" s="138"/>
      <c r="E59" s="138"/>
      <c r="F59" s="138"/>
      <c r="G59" s="138"/>
      <c r="H59" s="138"/>
      <c r="I59" s="138"/>
      <c r="J59" s="138"/>
      <c r="K59" s="138"/>
    </row>
    <row r="60" customFormat="false" ht="14.25" hidden="false" customHeight="false" outlineLevel="0" collapsed="false">
      <c r="A60" s="138" t="s">
        <v>3047</v>
      </c>
      <c r="B60" s="138"/>
      <c r="C60" s="138"/>
      <c r="D60" s="138"/>
      <c r="E60" s="138"/>
      <c r="F60" s="138"/>
      <c r="G60" s="138"/>
      <c r="H60" s="138"/>
      <c r="I60" s="138"/>
      <c r="J60" s="138"/>
    </row>
  </sheetData>
  <mergeCells count="11">
    <mergeCell ref="B1:D1"/>
    <mergeCell ref="E1:H1"/>
    <mergeCell ref="I1:M1"/>
    <mergeCell ref="N1:P1"/>
    <mergeCell ref="Q1:U1"/>
    <mergeCell ref="V1:W1"/>
    <mergeCell ref="X1:Z1"/>
    <mergeCell ref="A57:L57"/>
    <mergeCell ref="A58:K58"/>
    <mergeCell ref="A59:K59"/>
    <mergeCell ref="A60:J6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oYAABQSwMEFAACAAgAIFR6XCESbNulAAAA9gAAABIAHABDb25maWcvUGFja2FnZS54bWwgohgAKKAUAAAAAAAAAAAAAAAAAAAAAAAAAAAAhY8xDoIwGIWvQrrTlhITQn7KoG6SmJgY16ZUaIRiaLHczcEjeQUxiro5vu99w3v36w3ysW2Ci+qt7kyGIkxRoIzsSm2qDA3uGCYo57AV8iQqFUyyseloywzVzp1TQrz32Me46yvCKI3IodjsZK1agT6y/i+H2lgnjFSIw/41hjMcLSIcswRTIDOEQpuvwKa9z/YHwnJo3NArXqpwtQYyRyDvD/wBUEsDBBQAAgAIACBUel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gVHpc09bd7JMVAACdjAAAEwAcAEZvcm11bGFzL1NlY3Rpb24xLm0gohgAKKAUAAAAAAAAAAAAAAAAAAAAAAAAAAAA7Z3djhw3eobPDfgeGtoTG5CEKZI1Pwl04B9l7QN7E0s5CFZBg13N7q5V/amqeqZnjb2bXENuYG8sZHX3jOR5n1KQLAIEWJ9I+t7iR34ki3z4U+0hFGPZNos3xz+zf/zyiy+/GHa+D+vF757tgu/HVfDji5UfQlU24cXaj/Gv44uLRb64eLZ4tajC+OUXi/jfv+xDVYVo+W64ffl9W+zr0Ixf/VNZhZfftc0Y/zF89ezf/uHdevWu290PZftuqELo3v3w+ptf3n77+pu3ixeLH1KGi2/Ltvb9+9AvXt/6au+nEpbN4puuCX7xto8FSr7fncoyvJsr58v85cXLYrh99vXzP34ftbocQ//q2fNnzxfftdW+boZXVy5/vnjdFO26bLavMpOb5zGadgxvxvsqvHr868uf2yb8+9fPjwH/7tkPf/3PXSzlNgzjfjOGVPx16FOtvPWr+Pg/920d0x7Nw1fHGnq++OPJ/k1VvSl85fvh1djvP3b8+/DX/2himljUxdv77tHj2943w6bt62PZoxaGr7Agz3/99Vkz9H25jtH+2IyX7mVK8Zfni1+frdv7dj80bR+easkcq6IcnkptdN9AslU7xlIEkdmHfTmuUrvtnmqbEKqxlMnu/PtYjLGsRWZNu16rNNE+lfGpsiu3u1Unoi3HWDSZ/VjsxtunQtn4Ynxq7vwwhGb7VKjuS2WOGY++ei+FWGNBZDGMbdepsGPXbVKLP7H35a3MvPaVqNX9ENrDvci3bt+rFh8K2RMC2Fd1uRyKXjROX4xDu+8LkahsiuoiW/otaPs4ljQXDhK6ZdeX8YUpUS98L3rFSfTxNWhR3Y0ilJO2Lv0KxVgR9oKT3g9V2am39jHeHFLnS2yUwyRT2yT56PryqVj4ddeH2LtFnxzPA7Lva6HGt7drS5Uwjn2Fbtb4Ivn75Sq9f8ul6NSxcuvQL/fbZV2p97BcZqJ6quXlstNJxmbjZ7U+I7msLoeexPZQravlfimkou8ogLCMs1iakZtlo59oxq5vV023xFI1wz5OhMv9Xsp1zPx6mbljCUQVF7tWVUVfiqFktxaPVspY7OKzYpQatuLh/bJIPWtZb5fKl69W+zpGeNRFCHVZ9O3DUynQrXjKr+K0NS53w9hUp9oUTyW5LPct9pE2juRLvy67SAhTwx1bTrg6t8ymaltRFQ8tC/o5IJI/DmdT+e3yQyOm8U/jWRahrOQs8ZvnkkMxqnfGRd5S431UhjgujHoOT3Jo1lqc0k2IKF6QZg1Kk6byGIqIuYkwqcbUrhhBaSiTCCaqxPeDr6o6eDEpHLVBZHJKVWKi2h/UfO8xr6Om8jqlUnmdJJVX7TvM66ipvE6pVF4nCfIyc5kZzs3MZGcov45D6yiyDgPrMK5piYJZnVWV20NKleGDqPKM3WfqwNgjJxX65DEl9MqjCP1yJs+zCn2T83wQoc/M5HlWoddwng8i9dP5TM1crmY2W8P5dnOhdhxpNxNoNxPn1MFmsnzUse9yxh/J0H/TQIvdN4nQe6d00HknDfou53cSoedifmcN+hDndxKh/2B+Z4367GyGZiZHM5elwTy7mRA7jLDjADuOb+pOnN2DjD0VM31UVb6JXyYAFN0tdW7QJnNCObkpgS/NxCoAJpOm4WSS4kzB4xxA0Hm4B/k8MoN86o/se0Y9vTvsuU9bg+x6To6+5+TovGmbiPPSMUnR6Uyq4W7KUVchaalxSDsOn6Q+lLOTZP9QVi0/VICWp6znHgj16sNSLwr2TTnKFhv36/u0hwbSsmjrtM2Q9DEqizEcxmNmxXbXi2TR/mGvXr1DXD3dySSTohMVvmlkmiToJL7sMaeTphOOu7aXqZIAea3Wrc4oCjrJsK9limjXCdpDKRNEu07QVWHcySSTAsVKrf0ZiTvDvt/6KvRiv2ky+00ptuUmaSeX21G4HX0hdq4nLYZOOe1IqdtVOf4ZxHFX9uLtOGaWNtjntGWqhqfvx6GoBi9qJAmxmJnYTDxJudilTFIhtwKnt35mwT/puOIvm3U4LLXmu929GFYns6rmZFfvwvQ8CWqn5JhCKV0xLod91ERxUxDLhtSUclbcd3253akjhijW7a06D1kH2cSTWdRQU3jlXhjjk9qq9lgKyc77XjmOMKXM8elwK7tXTABK4W8u1ASQnpbKUHWpjbQSa5mTVGGjDmamVKhNu+B9q9r7mJLFlBR6wzEpiykpdqVj4jl5St68b9o7tZA6Jp+RU/LUV2vZYsf083q/ViPB7VZ29GisYluLI4iTIoaPCNjs6xp9XStfsVzwCk5prtDblfIWXd1ci054tBcgqHdvslOCPdkhQQ5FyqlIORQppyLlUKSciqTe7qOdEkCRLqhIF1CkC1Wk4zjMguCIoyLm4JOASTIxOZ8ELEB2ge6KGc2IrM4K5mVm8prRtjO5bWedzqo36PQa6/6G3V2rdomDgFzNj2tljsOPNPuDMk++5eJoLe2Td2VP7hXpJP9qKE/+1b5P8i/3gw7SfoLDtgPC2013A0Jo5IKyafu6392POzGM+jEupcRLmuyK9iN6aaIfygYF3wvy7nwRav9eQXksLOH6bZFWzqIJPvRpzS4qJwr9aiVCiUJFQu8bdXAalfK2ULd0+gFKnJzpNKGIDSoujERojmuSXu1LjEPY+pXqaPvtthxU9SerrpikeMUPSajUbJyEstlooZZXI2I/KuMaq1FH9b6v7nu1F9dW65iN79VNIRRue7UIjdUfoVjYRzAX0h5RrxlDfysX6jJF30tzKLbn5bdecPZq6bvpfRwytjsv3uC79caryJO9Fl0l2b2o9LsAfgL4CdrP6bRJ5ny31yW929PzuqTgJ4CfoP00vsvlPnEc+3xVxUBU5u37sC434iVIG65Tn34q7Zs+DKO6fBYOxVRfIlHTjqFp91vxUo9t+74rq0qMgyu6YTjZNx/UqNJ2dMPwUZMpo0sZ1UlQaYoUkZymil2so87Lo6dd9IdlvIt2taBuyyEMez33lM2f0s0qdb9juhG7VzftqrAt4puoCGAVi9a3rXg/0zotJlQ0EZU+VGVQmxJ3bT+E1GtAigO0mm5SZHfyZmRSVmErD4aiVPjqVq3pk7NdrETRQZPU9us0vws1OY0zte+6WKGy1Sp9ceasrL3wOt61qeO3d4rC0hvYqP7oh67sVeThdqbXncXYCmoPK5mhZiaNq2bdTg/odhrGyB7DWKrzpkdtaFv1noSwbiNWqPo+S3raieNd6Lel6gEP0ih74/rgh4iWajfqsOrbJiLDqIBtfSjaTh0vHY43M8aIk6J6ogyXkc9KLS/5nkR5Z/Io6nt7j9qM3ySD58L3rTyzifUmCXt96HdhX/uxVGvqw6pq23VRtWroWh+GyI3qCHN9GEvZQjMUvj7oe7hHO9TGSUqda0Zu1FHeJEItJul0+09XstyAmOxd3+reF7U0peg+ndRqL0//Jq1oK/UCntymNiKxVXPYg6TfztiwZbOXYfj0ZYcSYnW1daNbPc0rVUiH02peik6bQxlGNXId1mEau0odvV/vZOBVeau72CQUpZqkT+IudDKGSYTKPGtUm+/LdRNkeEeF0oU494RukCmHIg6T7aCHurrc9l6eWcQ6S8dnNEau2jgbKmFaboqr2meFQphUg+mMTtf5fpgdltMDNPgkDbrpUK7m/aYHyG/SwG9sxnm/6QHymzTw64sxzdppLaZ2Jx5UtQx5VCPZqHm2GP/UxmU8+j6p4Pukou9+3zTs+6SC75OKvldlcV9U7P1BB/8POuYQl0JNOYD7owi+jyI6Hu7KuuaSn2VwfpbRvY9jQowOvJ9UcH5S0Xek4LiEAddHETwfRXQcR4LbkmrkKILjo4iO70I6MfN9TW/PWaf356x/Joc4r83mEPXZHKI+Vzl0WeCscs2Fnisu9DrP6QMytcie7BKYjtKmV2v2SarbRi6lH8WmvZvV087A0wcKv9kEOc/5qmgjJd+FIEbjk9jGxZta9J3klaqFOjRt5/eDyLK99b1c0ZwEWXUnrdmLpfzuPq6B+rRvW8t920dVuu5CXyouPNp1jm1fy83bk3DM59Ne+ChN10nm0upGPOlNkMx2UjXhfyTCfZq6q9p7fW79qOm0bVHsu+mT5idShL0oNNthV27kBYQx+PU9qbtdGeFb3rqJL0JZlAqFH6fzuel4bjqdnwpnJrPZqWhuKpmZDGaG8/mheH4Y5cHuqdLHteiVaJ3JV6G2viflvTryCsX7ohZ4fBQE/975chhlkpMi0uzKTqaY7OL54X5YdYrZS6+FKYGC9SkB5WApgRBiA666oVSXTYv9ZjOUf1YD2b4agijuZBelmuwi85X6tDi1kL6FPjUEXFAv+VMd/p4G7tan0oK0+3Ch4o5mFXY0i6iTWXxyncziMD2ZxVfFySzelWS+1uYbaVb3IKK5qUu557n7ADfyozIE8b3/dqcqbNjIG3obWbkbWbcbWbUbWbMbWbEbWa8bWa0bWasbWakbVad9p2KLVhFbtIrYolXE1gfpN0i/QfkdZK2vZHlXsry3o3q2li0frcJDtIqSRb/6WVEP8VnhIT4rWj4+KzwMsp9tZXm3srxbWbKtLEO3kbzXbfTA0/u7Thw5KlvfVp30nQT0rn7HQdlW4NvfqS15ZdvupIftDsumTkCV7bYcpetoR9+36iaBuoio22vg9hpE2yhbbJaa2qvm9hLTsrLVurZrru1a1KyydZtlulikug0IKxK2OxBuRxAGzDyAUFMeETrLZleuSnlstgqjX1VtIU9IfLVu05ovrnhmnul27CH9jke5r1FP5x5hVGvYdbnvgzwjmn7/JEJ96PVqoBnL4xWj0AylOnoeprWUILNy7OVnSdHZuqy8rMCJ9b267/dRvS9Fbh/VvJKf1r1+6rH2lf5p/asnzi2gtWMbKO2TVpBF+007qGeOLaGUU1so6bE1lHpqD1lkP4y3ZVwMiOzaTrw6G19Wyu53ZToVlUKl9pXSJzHqhk57uJfXwv36NvRDgC8ayqpq5JF906ZlfleVvlG/llTFDrVp0+WCvbr4U467dRwfo4tG/5pPH2I3Ou9PPOkqQ/qYZNj4Qj8QM09XKOnKR8wcVs3pS8F2cy6d/LxtGwpVi3EEF19SxeFbWFfSGgduYY2jtrAOOregrLX067fbZfr9O63oPaWuUBdvlLHzh/LpJ3Ef+kHaR2lNPwMVm/C3x/1/+frLL8qGfqHu0x8OrPt2eDG9heajXwy8/Bv9YuBPv/zhzeLF4qc+/vEmWRZv0meBj78HKLN/efnZHwLM3cX/7IcAYw0sjvXRfOa3+k6/Afjrr8+O1uxJ9R/tBuwW7A7sOdgvwX4F9muw34B9Wj5KgSLOKOSMYs4o6IyizijsjOLOKPCMIjcUucG2psgNRW4ockORG4rcUOSGIjcUuaXILUVusZtT5JYitxS5pcgtRW4pckuRO4rcUeSOInf4hlPkjiJ3FLmjyB1F7ijynCLPKfKcIs8p8hwHN4o8p8hzijynyHOK/JIiv6TILynyS4r8kiK/xHGdIr+kyC8p8kuK/Ioiv6LIryjyK4r8iiK/osivcEqjyK8o8iuK/Joiv6bIrynya4r8miK/psivKfJrnM0p8muK/IYiv6HIbyjyG4r8hiK/ochvKPIbivwGQYZJBlHmAlnmAmHmAmnmAnHmAnnmAoHmAonmApHmAutgBuewDhjomOgY6ZjpGOqY6hjrkOsyBLsMyS5DtMuQ7TKEuwzpLkO8y5DvMgS8DAkvQ8TLkPEyhLwMKS9DzMuQ8zIEvQxJL0PUy5D1MoS9DGkvQ9zLkPcyBL4MiS9D5MuQ+TKEvgypL0Psy5D7MgS/DMkvQ/TLkP0yhL8M6S9D/MuQ/zIEwAwJMEMEzJABM4TADCkwQwzMkAMzBMEMSTBDFMyQBTOEwQxpMEMczJAHMwTCDIkwQyTMkAkzhMIMqTBDLMyQCzMEwwzJMEM0zJANM4TDDOkwQzzMkA8zBMQMCTFDRMyQETOExAwpMUNMzJATDXKiQU40yIkGOdEgJxrkRIOcaJATDXKiQU40yIkGOdEgJxrkRIOcaJATDXKiQU40yImG9/94A3BmBxDrgPcAeROQdwF5G5D3AXkjEDnRICca5ESDnGiQEw1yokFONMiJBjnRICca5ESDnGiQEw1yokFONMiJBjnRICca5ESDnGiQEw1yokFONMiJBjnRICca5ESDnGiQEw1yokFONMiJBjnRICca5ESDnGiQEw1yokFONMiJBjnRICca5ESDnGiQEw1yokFONMiJBjnRICca5ESDnGiQEw1yokFONMiJBjnRICca5ESDnGiQEw1yokFONMiJBjnRICca5ESDnGiQEw1yokFOtMiJFjnRIida5ESLnGiREy1yokVOtMiJFjnRIida5ESLnGiREy1yokVOtMiJFjnRIida5ESLnGiREy1yokVOtMiJFjnRIida5ESLnGj5xJiPjPnMeObQGOuAj4353JgPjvnkmI+OkRMtcqJFTrTIiRY50SInWuREi5xokRMtcqJFTrTIiRY50SInWuREi5xokRMtcqJFTrTIiRY50SInWuREi5xokRMtcqJFTrTIiRY50SInWuREi5xokRMtcqJFTrTIiRY50SInWuREi5xokRMtcqJFTrTIiRY50SInWuREi5xokRMtcqJFTrTIiRY50SInWuREi5xokRMtcqJFTrTIiRY50SEnOuREh5zokBMdcqJDTnTIiQ450SEnOuREh5zokBMdcqJDTnTIiQ450SEnOuREh5zokBMdcqJDTnTIiQ450SEnOuREh5zokBMdcqJDTnTIiQ450SEnOuREh5zokBMdcqJDTnTIiY7vGPIlQ75lyNcMZ+4ZYh3wTUO+ash3DfmyIXKiQ050yIkOOdEhJzrkRIec6JATHXKiQ050yIkOOdEhJzrkRIec6JATHXKiQ050yIkOOdEhJzrkRIec6JATHXKiQ050yIkOOdEhJzrkRIec6JATHXKiQ050yIkOOdEhJzrkRIec6JATHXKiQ050yIkOOdEhJzrkRIec6JATHXKiQ050yIk5cmKOnJgjJ+bIiTlyYo6cmCMn5siJOXJijpyYIyfmyIk5cmKOnJgjJ+bIiTlyYo6cmCMn5siJOXJijpyYIyfmyIk5cmKOnJgjJ+bIiTlyYo6cmCMn5siJOXJijpyYIyfmyIk5cmKOnJgjJ+bIiflvOPHT7/befvSl2sff7H3/4ze///kPb35887f4QO/n73548/23ixeL+JfTF3rf+9F/65v373bBV+Mu/a8h/buHTD/zXV6W//2zPG3///xZ3n+vY/70+ps3//rL659e//z2/7JrfpTtZzrnzd/75v+mb870gv8CUEsBAi0AFAACAAgAIFR6XCESbNulAAAA9gAAABIAAAAAAAAAAAAAAAAAAAAAAENvbmZpZy9QYWNrYWdlLnhtbFBLAQItABQAAgAIACBUelwPyumrpAAAAOkAAAATAAAAAAAAAAAAAAAAAPEAAABbQ29udGVudF9UeXBlc10ueG1sUEsBAi0AFAACAAgAIFR6XNPW3eyTFQAAnYwAABMAAAAAAAAAAAAAAAAA4gEAAEZvcm11bGFzL1NlY3Rpb24xLm1QSwUGAAAAAAMAAwDCAAAAwhc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+5PABAAAAAADC8AE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aGVhcnRiZWF0LWJhc2VsaW5lLWRhdGFzZXQtMCUyMDUlMjAw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lF1ZXJ5SUQiIFZhbHVlPSJzOTFiYzg3NmUtZDQxZC00MTQ5LWEwZmItODg0ZGQ1YTZhMjM4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kFkZGVkVG9EYXRhTW9kZWwiIFZhbHVlPSJsMCIgLz48RW50cnkgVHlwZT0iRmlsbENvdW50IiBWYWx1ZT0ibDMxOCIgLz48RW50cnkgVHlwZT0iRmlsbEVycm9yQ29kZSIgVmFsdWU9InNVbmtub3duIiAvPjxFbnRyeSBUeXBlPSJGaWxsRXJyb3JDb3VudCIgVmFsdWU9ImwwIiAvPjxFbnRyeSBUeXBlPSJGaWxsTGFzdFVwZGF0ZWQiIFZhbHVlPSJkMjAyNi0wMy0wNVQwNzo0OToxNi4xNjg5MzExWiIgLz48RW50cnkgVHlwZT0iRmlsbENvbHVtblR5cGVzIiBWYWx1ZT0ic0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0F3TURBd01EQXdNREF3TURBd01EQXdNREF3WURBd01EQXdNREF3TUdBd01EQXdNREF3TURBd01EQXdNREF3TURBd01EQXdNREF3TURBd01EQXdNREF3TURBd01EQXdNREF3TURBd01EQXdNREF3TURBd01EQXdNREF3TURBd01EQXdNREF3TURBd01EQXdNREF3TURBd01EQXdNREF3TURBd01EQXdNREF3TURBd01EQXdNREF3TURBd01EQXdNREF3TURBd01EQXdNREF3TURBd01EQXdNREF3TURBd01EQXdNREF3WURBd01EQXdNREF3TURBd01EQXdNREF3TURBd01EQXdNREF3TURBd01EQXdNREF3TURBd01EQXdNREF3TURBd01EQXdNREF3TURBd01EQXdNREJnTURBd01EQXdNREF3TURBd01EQXdNREF3TURBd01EQXdNREF3TURBd01EQmdNREF3TURBd01EQXdNREJnTUdBd01EQXdNREJnTUdBd01EQXdNREF3TURBd01EQXdNREF3TURBd01EQXdNREF3TURBd01EQXdNREF3TURBd01EQXdNREJnTURBd01EQXdNREF3TURBd01EQXdNREF3TURBd01HQXdNREF3WURCZ1l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Bd01EQXdNREF3TURCZ1lHQXc9PSIgLz48RW50cnkgVHlwZT0iRmlsbENvbHVtbk5hbWVzIiBWYWx1ZT0ic1smcXVvdDtuc3JyaWQmcXVvdDssJnF1b3Q7ZG95b3Vzbm9yZSZxdW90OywmcXVvdDtzbm9yaW5naXMmcXVvdDssJnF1b3Q7b2Z0ZW5zbm9yZSZxdW90OywmcXVvdDtib3RoZXJlZCZxdW90OywmcXVvdDtxdWl0YnJlYXRoJnF1b3Q7LCZxdW90O2ZlZWx0aXJlZCZxdW90OywmcXVvdDt3YWtpbmd0aW1lJnF1b3Q7LCZxdW90O25vZGRlZCZxdW90OywmcXVvdDtub2RvZnRlbiZxdW90OywmcXVvdDtoaWdoYnAmcXVvdDssJnF1b3Q7c2l0cmVhZCZxdW90OywmcXVvdDt3YXRjaHR2JnF1b3Q7LCZxdW90O2luYWN0JnF1b3Q7LCZxdW90O3Bhc3NlbmcmcXVvdDssJnF1b3Q7bHlpbmcmcXVvdDssJnF1b3Q7c2l0dGFsayZxdW90OywmcXVvdDtzaXRxdWlldCZxdW90OywmcXVvdDtzdG9wcGVkJnF1b3Q7LCZxdW90O2Rpbm5lciZxdW90OywmcXVvdDtkcml2aW5nJnF1b3Q7LCZxdW90O21hbGUmcXVvdDssJnF1b3Q7dXNlb3h5JnF1b3Q7LCZxdW90O3Ntb2tlJnF1b3Q7LCZxdW90O2JzY29yZSZxdW90OywmcXVvdDtlc2NvcmUmcXVvdDssJnF1b3Q7Ym1pX3Njcm4mcXVvdDssJnF1b3Q7cmN0c291cmNlJnF1b3Q7LCZxdW90O2luY2wwMV9hZ2UmcXVvdDssJnF1b3Q7aW5jbHVzaW9uMDQmcXVvdDssJnF1b3Q7aW5jbDA0X3ByaW9ybWkmcXVvdDssJnF1b3Q7aW5jbDA0X2NhcnAmcXVvdDssJnF1b3Q7aW5jbDA0X2FuZ2lvJnF1b3Q7LCZxdW90O2luY2wwNF9odG4mcXVvdDssJnF1b3Q7aW5jbDA0X2RpYWImcXVvdDssJnF1b3Q7aW5jbDA0X2JtaTMwJnF1b3Q7LCZxdW90O2luY2wwNF9keXNsaXBpZCZxdW90OywmcXVvdDtpbmNsdXNpb24wNSZxdW90OywmcXVvdDtpbmNsMDVfYnNjb3JlJnF1b3Q7LCZxdW90O2V4Y2wwNV9lc2NvcmUmcXVvdDssJnF1b3Q7ZXhjbHVzaW9uMDYmcXVvdDssJnF1b3Q7Y2FkcHJlc2VudCZxdW90OywmcXVvdDt0cmVhdG1lbnRhcm0mcXVvdDssJnF1b3Q7dGltZXBvaW50JnF1b3Q7LCZxdW90O2NhbGNfYWdlJnF1b3Q7LCZxdW90O2Fzc2F5X2JhdGNoX18mcXVvdDssJnF1b3Q7ZF9kaW1lcl91Z19tbCZxdW90OywmcXVvdDtwYWlfMSZxdW90OywmcXVvdDtpbF82X3BnX21sJnF1b3Q7LCZxdW90O3RuZmFfcGdfbWwmcXVvdDssJnF1b3Q7dG5mYV9yMV9wZ19tbCZxdW90OywmcXVvdDtpbDZzcl9wZ19tbCZxdW90OywmcXVvdDtveGxkbF91X2wmcXVvdDssJnF1b3Q7Y3JwX3VnX21sJnF1b3Q7LCZxdW90O2Vfc2VsZWN0aW5fbmdfbWwmcXVvdDssJnF1b3Q7bnRwcm9ibnBfX3BnX21sJnF1b3Q7LCZxdW90O2luc3VsaW5fdXVfbWwmcXVvdDssJnF1b3Q7bXJwXzhfMTRfdWdfbWxfJnF1b3Q7LCZxdW90O2Nob2wmcXVvdDssJnF1b3Q7dHJpZyZxdW90OywmcXVvdDtoZGwmcXVvdDssJnF1b3Q7bGRsJnF1b3Q7LCZxdW90O2NoaGRsciZxdW90OywmcXVvdDtzZ2wmcXVvdDssJnF1b3Q7dV9jcmVhdF9tZ19kbCZxdW90OywmcXVvdDthbGJ1bWluX19tZ19kbF8mcXVvdDssJnF1b3Q7bWljcm9hbGJ1bWluX191Z19tZ18mcXVvdDssJnF1b3Q7YWJib3R0X2hzdG5sX19wZ19tbF8mcXVvdDssJnF1b3Q7aHN0bmlpdW9fcGdfbWwmcXVvdDssJnF1b3Q7dG90YWxfYWRpcG9uZWN0aW5fX25nX21sXyZxdW90OywmcXVvdDtpbnN1bGluX2Zsb29yJnF1b3Q7LCZxdW90O250cHJvYm5wX2Zsb29yJnF1b3Q7LCZxdW90O2FsYnVtaW5fZmxvb3ImcXVvdDssJnF1b3Q7YWJib3R0X2hzdG5sX2ZsYWdfcW5zJnF1b3Q7LCZxdW90O2hzdG5paXVvX3BnX21sX2NlaWxpbmcmcXVvdDssJnF1b3Q7aHN0bmlpdW9fcGdfbWxfZmxhZyZxdW90OywmcXVvdDticDI0ZGF0ZSZxdW90OywmcXVvdDticDI0c3RhcnR0aW1lJnF1b3Q7LCZxdW90O2JwMjRlbmR0aW1lJnF1b3Q7LCZxdW90O3N0YXJ0c2xlZXAmcXVvdDssJnF1b3Q7ZW5kc2xlZXAmcXVvdDssJnF1b3Q7bnJlYWRpbmdzJnF1b3Q7LCZxdW90O252YWxpZCZxdW90OywmcXVvdDtwY3R2YWxpZCZxdW90OywmcXVvdDtuc2xlZXAmcXVvdDssJnF1b3Q7bndha2UmcXVvdDssJnF1b3Q7c3lzYWxsbWVhbiZxdW90OywmcXVvdDtzeXNhbGxzZCZxdW90OywmcXVvdDtzeXNhbGxtaW4mcXVvdDssJnF1b3Q7c3lzYWxsbWF4JnF1b3Q7LCZxdW90O2RpYWFsbG1lYW4mcXVvdDssJnF1b3Q7ZGlhYWxsc2QmcXVvdDssJnF1b3Q7ZGlhYWxsbWluJnF1b3Q7LCZxdW90O2RpYWFsbG1heCZxdW90OywmcXVvdDttYXBhbGxtZWFuJnF1b3Q7LCZxdW90O21hcGFsbHNkJnF1b3Q7LCZxdW90O21hcGFsbG1pbiZxdW90OywmcXVvdDttYXBhbGxtYXgmcXVvdDssJnF1b3Q7bWFwMmFsbG1lYW4mcXVvdDssJnF1b3Q7bWFwMmFsbHNkJnF1b3Q7LCZxdW90O21hcDJhbGxtaW4mcXVvdDssJnF1b3Q7bWFwMmFsbG1heCZxdW90OywmcXVvdDtwcGFsbG1lYW4mcXVvdDssJnF1b3Q7cHBhbGxzZCZxdW90OywmcXVvdDtwcGFsbG1pbiZxdW90OywmcXVvdDtwcGFsbG1heCZxdW90OywmcXVvdDtoZWFydGFsbG1lYW4mcXVvdDssJnF1b3Q7aGVhcnRhbGxzZCZxdW90OywmcXVvdDtoZWFydGFsbG1pbiZxdW90OywmcXVvdDtoZWFydGFsbG1heCZxdW90OywmcXVvdDtzeXNzbGVlcG1lYW4mcXVvdDssJnF1b3Q7c3lzc2xlZXBzZCZxdW90OywmcXVvdDtzeXNzbGVlcG1pbiZxdW90OywmcXVvdDtzeXNzbGVlcG1heCZxdW90OywmcXVvdDtkaWFzbGVlcG1lYW4mcXVvdDssJnF1b3Q7ZGlhc2xlZXBzZCZxdW90OywmcXVvdDtkaWFzbGVlcG1pbiZxdW90OywmcXVvdDtkaWFzbGVlcG1heCZxdW90OywmcXVvdDttYXBzbGVlcG1lYW4mcXVvdDssJnF1b3Q7bWFwc2xlZXBzZCZxdW90OywmcXVvdDttYXBzbGVlcG1pbiZxdW90OywmcXVvdDttYXBzbGVlcG1heCZxdW90OywmcXVvdDttYXAyc2xlZXBtZWFuJnF1b3Q7LCZxdW90O21hcDJzbGVlcHNkJnF1b3Q7LCZxdW90O21hcDJzbGVlcG1pbiZxdW90OywmcXVvdDttYXAyc2xlZXBtYXgmcXVvdDssJnF1b3Q7cHBzbGVlcG1lYW4mcXVvdDssJnF1b3Q7cHBzbGVlcHNkJnF1b3Q7LCZxdW90O3Bwc2xlZXBtaW4mcXVvdDssJnF1b3Q7cHBzbGVlcG1heCZxdW90OywmcXVvdDtoZWFydHNsZWVwbWVhbiZxdW90OywmcXVvdDtoZWFydHNsZWVwc2QmcXVvdDssJnF1b3Q7aGVhcnRzbGVlcG1pbiZxdW90OywmcXVvdDtoZWFydHNsZWVwbWF4JnF1b3Q7LCZxdW90O3N5c3dha2VtZWFuJnF1b3Q7LCZxdW90O3N5c3dha2VzZCZxdW90OywmcXVvdDtzeXN3YWtlbWluJnF1b3Q7LCZxdW90O3N5c3dha2VtYXgmcXVvdDssJnF1b3Q7ZGlhd2FrZW1lYW4mcXVvdDssJnF1b3Q7ZGlhd2FrZXNkJnF1b3Q7LCZxdW90O2RpYXdha2VtaW4mcXVvdDssJnF1b3Q7ZGlhd2FrZW1heCZxdW90OywmcXVvdDttYXB3YWtlbWVhbiZxdW90OywmcXVvdDttYXB3YWtlc2QmcXVvdDssJnF1b3Q7bWFwd2FrZW1pbiZxdW90OywmcXVvdDttYXB3YWtlbWF4JnF1b3Q7LCZxdW90O21hcDJ3YWtlbWVhbiZxdW90OywmcXVvdDttYXAyd2FrZXNkJnF1b3Q7LCZxdW90O21hcDJ3YWtlbWluJnF1b3Q7LCZxdW90O21hcDJ3YWtlbWF4JnF1b3Q7LCZxdW90O3Bwd2FrZW1lYW4mcXVvdDssJnF1b3Q7cHB3YWtlc2QmcXVvdDssJnF1b3Q7cHB3YWtlbWluJnF1b3Q7LCZxdW90O3Bwd2FrZW1heCZxdW90OywmcXVvdDtoZWFydHdha2VtZWFuJnF1b3Q7LCZxdW90O2hlYXJ0d2FrZXNkJnF1b3Q7LCZxdW90O2hlYXJ0d2FrZW1pbiZxdW90OywmcXVvdDtoZWFydHdha2VtYXgmcXVvdDssJnF1b3Q7dGltZXRvdGFsJnF1b3Q7LCZxdW90O3NsZWVwdG90YWwmcXVvdDssJnF1b3Q7dG90YWxtaW5fYnAmcXVvdDssJnF1b3Q7c2xlZXBtaW4mcXVvdDssJnF1b3Q7dmFsaWRzbGVlcCZxdW90OywmcXVvdDt2YWxpZHdha2UmcXVvdDssJnF1b3Q7dmFsaWRhbGwmcXVvdDssJnF1b3Q7bWFwc2xlZXB2YWxpZCZxdW90OywmcXVvdDtzeXNzbGVlcHZhbGlkJnF1b3Q7LCZxdW90O2RpYXNsZWVwdmFsaWQmcXVvdDssJnF1b3Q7bWFwd2FrZXZhbGlkJnF1b3Q7LCZxdW90O3N5c3dha2V2YWxpZCZxdW90OywmcXVvdDtkaWF3YWtldmFsaWQmcXVvdDssJnF1b3Q7bWFwcmF0aW92YWxpZCZxdW90OywmcXVvdDtzeXNyYXRpb3ZhbGlkJnF1b3Q7LCZxdW90O2RpYXJhdGlvdmFsaWQmcXVvdDssJnF1b3Q7bWFwbm9uZGlwJnF1b3Q7LCZxdW90O3N5c25vbmRpcCZxdW90OywmcXVvdDtkaWFub25kaXAmcXVvdDssJnF1b3Q7c3lzc3dyYXRpbyZxdW90OywmcXVvdDtkaWFzd3JhdGlvJnF1b3Q7LCZxdW90O21hcHN3cmF0aW8mcXVvdDssJnF1b3Q7aGVhcnRzd3JhdGlvJnF1b3Q7LCZxdW90O3N5c25vbmRpcHBpbmcmcXVvdDssJnF1b3Q7ZGlhbm9uZGlwcGluZyZxdW90OywmcXVvdDttYXBub25kaXBwaW5nJnF1b3Q7LCZxdW90O2hlYXJ0bm9uZGlwcGluZyZxdW90OywmcXVvdDtlbWJxX2RhdGUmcXVvdDssJnF1b3Q7dW5pdGlkJnF1b3Q7LCZxdW90O3N0dWR5cGFzcyZxdW90OywmcXVvdDtzdHVkeV9jb21tZW50cyZxdW90OywmcXVvdDtlY2docnMmcXVvdDssJnF1b3Q7ZWNncXVhbCZxdW90OywmcXVvdDt4Zmxvd2hycyZxdW90OywmcXVvdDt4Zmxvd3F1YWwmcXVvdDssJnF1b3Q7Y2FubmhycyZxdW90OywmcXVvdDtjYW5ucXVhbCZxdW90OywmcXVvdDthaXJmbG93aHJzJnF1b3Q7LCZxdW90O2FpcmZsb3dxdWFsJnF1b3Q7LCZxdW90O3Rob3JocnMmcXVvdDssJnF1b3Q7dGhvcnF1YWwmcXVvdDssJnF1b3Q7YWJkb2hycyZxdW90OywmcXVvdDthYmRvcXVhbCZxdW90OywmcXVvdDtzdW1ocnMmcXVvdDssJnF1b3Q7c3VtcXVhbCZxdW90OywmcXVvdDtveGlocnMmcXVvdDssJnF1b3Q7b3hpcXVhbCZxdW90OywmcXVvdDtwbGV0aGhycyZxdW90OywmcXVvdDtwbGV0aHF1YWwmcXVvdDssJnF1b3Q7c3R1ZHlxdWFsJnF1b3Q7LCZxdW90O3N0dWR5cXVhbF9jb21tZW50cyZxdW90OywmcXVvdDt1cmdhbGVydCZxdW90OywmcXVvdDthbGVydGFmaWImcXVvdDssJnF1b3Q7YWxlcnRociZxdW90OywmcXVvdDthbGVydHZ0YWNoJnF1b3Q7LCZxdW90O2FsZXJ0b3hpJnF1b3Q7LCZxdW90O2FsZXJ0YWhpJnF1b3Q7LCZxdW90O2FsZXJ0bW9iaXR6JnF1b3Q7LCZxdW90O2FsZXJ0dGhpcmQmcXVvdDssJnF1b3Q7YWxlcnRvdGhlciZxdW90OywmcXVvdDthbGVydG90aGVyX3RleHQmcXVvdDssJnF1b3Q7ZXhjbHNhdCZxdW90OywmcXVvdDtleGNsYWhpMTUmcXVvdDssJnF1b3Q7ZXhjbGFoaTUwJnF1b3Q7LCZxdW90O2V4Y2xjZW50JnF1b3Q7LCZxdW90O2VtYnFfc3RhcnR0aW1lJnF1b3Q7LCZxdW90O2VtYnFfZW5kdGltZSZxdW90OywmcXVvdDtpbmRleF90aW1lJnF1b3Q7LCZxdW90O2FwaHlwJnF1b3Q7LCZxdW90O2FwaHlwaSZxdW90OywmcXVvdDthcGh5cHMmcXVvdDssJnF1b3Q7YXBoeXBpcyZxdW90OywmcXVvdDthcGh5cG5zJnF1b3Q7LCZxdW90O2FwaHlwaW5zJnF1b3Q7LCZxdW90O3BjdF9zdXBpbmUmcXVvdDssJnF1b3Q7dGltZV9uc3VwaW5lJnF1b3Q7LCZxdW90O3BjdF9uc3VwaW5lJnF1b3Q7LCZxdW90O3BjdF91cHJpZ2h0JnF1b3Q7LCZxdW90O3BjdF9tb3ZlJnF1b3Q7LCZxdW90O25kZXNhdCZxdW90OywmcXVvdDtkZXNhdGkmcXVvdDssJnF1b3Q7bmNhJnF1b3Q7LCZxdW90O3BjYSZxdW90OywmcXVvdDtuY2FhJnF1b3Q7LCZxdW90O25jYXMmcXVvdDssJnF1b3Q7bmNhbiZxdW90OywmcXVvdDtkdXJjYSZxdW90OywmcXVvdDttYXhjYSZxdW90OywmcXVvdDtkdXJldmVudCZxdW90OywmcXVvdDttYXhldmVudCZxdW90OywmcXVvdDtjYTkwcyZxdW90OywmcXVvdDtldmVudDkwcyZxdW90OywmcXVvdDtzbHB0aW1lcyZxdW90OywmcXVvdDtzbHBwY3RzJnF1b3Q7LCZxdW90O3NscHRpbWVsZWZ0JnF1b3Q7LCZxdW90O3NscHBjdGxlZnQmcXVvdDssJnF1b3Q7c2xwdGltZXByb25lJnF1b3Q7LCZxdW90O3NscHBjdHByb25lJnF1b3Q7LCZxdW90O3NscHRpbWVyaWdodCZxdW90OywmcXVvdDtzbHBwY3RyaWdodCZxdW90OywmcXVvdDtzbHB0aW1ldXByaWdodCZxdW90OywmcXVvdDtzbHBwY3R1cHJpZ2h0JnF1b3Q7LCZxdW90O3NscHRpbWV1bmtub3duJnF1b3Q7LCZxdW90O3NscHBjdHVua25vd24mcXVvdDssJnF1b3Q7c2xwdGltZW1vdmVtZW50JnF1b3Q7LCZxdW90O3NscHBjdG1vdmVtZW50JnF1b3Q7LCZxdW90O3NscHByZGUmcXVvdDssJnF1b3Q7YXZnc2F0JnF1b3Q7LCZxdW90O3NhdGx0OTBtJnF1b3Q7LCZxdW90O3NhdGx0OTBwJnF1b3Q7LCZxdW90O21pbnNhdCZxdW90OywmcXVvdDtzYXRsdDgwbSZxdW90OywmcXVvdDtzYXRsdDgwcCZxdW90OywmcXVvdDthdmdkZXNhdCZxdW90OywmcXVvdDtzYXRsdDcwbSZxdW90OywmcXVvdDtzYXRsdDcwcCZxdW90OywmcXVvdDtkZXM5OHMmcXVvdDssJnF1b3Q7ZGVzOThzYyZxdW90OywmcXVvdDtkZXM5OG4mcXVvdDssJnF1b3Q7ZGVzOThuYyZxdW90OywmcXVvdDtkZXM5OHUmcXVvdDssJnF1b3Q7ZGVzOTh1YyZxdW90OywmcXVvdDtkZXM5NXMmcXVvdDssJnF1b3Q7ZGVzOTVzYyZxdW90OywmcXVvdDtkZXM5NW4mcXVvdDssJnF1b3Q7ZGVzOTVuYyZxdW90OywmcXVvdDtkZXM5NXUmcXVvdDssJnF1b3Q7ZGVzOTV1YyZxdW90OywmcXVvdDtkZXM5MHMmcXVvdDssJnF1b3Q7ZGVzOTBzYyZxdW90OywmcXVvdDtkZXM5MG4mcXVvdDssJnF1b3Q7ZGVzOTBuYyZxdW90OywmcXVvdDtkZXM5MHUmcXVvdDssJnF1b3Q7ZGVzOTB1YyZxdW90OywmcXVvdDtuZGVzYXRjJnF1b3Q7LCZxdW90O25kZXNhdGNoJnF1b3Q7LCZxdW90O25kZXNhdDUmcXVvdDssJnF1b3Q7bmRlc2F0NWgmcXVvdDssJnF1b3Q7bmRlc2F0MTAmcXVvdDssJnF1b3Q7ZGVzYXQxMGMmcXVvdDssJnF1b3Q7bmRlc2F0MTBoJnF1b3Q7LCZxdW90O25kZXNhdGMxMGgmcXVvdDssJnF1b3Q7bmRlc2F0MjAmcXVvdDssJnF1b3Q7bmRlc2F0MjBjJnF1b3Q7LCZxdW90O25kZXNhdDIwaCZxdW90OywmcXVvdDtuZGVzYXRjMjBoJnF1b3Q7LCZxdW90O25kZXNhdGd0MjAmcXVvdDssJnF1b3Q7bmRlc2F0Z3QyMGgmcXVvdDssJnF1b3Q7bmRlc2F0Y2d0MjBoJnF1b3Q7LCZxdW90O25kZXNhdDkwJnF1b3Q7LCZxdW90O25kZXNhdDg1JnF1b3Q7LCZxdW90O25kZXNhdDkwaCZxdW90OywmcXVvdDtuZGVzYXQ4NWgmcXVvdDssJnF1b3Q7YXZnYnAmcXVvdDssJnF1b3Q7c3RkYnAmcXVvdDssJnF1b3Q7bWluYnAmcXVvdDssJnF1b3Q7bWF4YnAmcXVvdDssJnF1b3Q7YXZnYnBzJnF1b3Q7LCZxdW90O3N0ZGJwcyZxdW90OywmcXVvdDttaW5icHMmcXVvdDssJnF1b3Q7bWF4YnBzJnF1b3Q7LCZxdW90O2F2Z2JwbiZxdW90OywmcXVvdDtzdGRicG4mcXVvdDssJnF1b3Q7bWluYnBuJnF1b3Q7LCZxdW90O21heGJwbiZxdW90OywmcXVvdDtlbWJxX3N0b3B0aW1lJnF1b3Q7LCZxdW90O2FoaV9zY3JlZW5pbmcmcXVvdDssJnF1b3Q7bm9ybXJoeXRobSZxdW90OywmcXVvdDthdHJmbHUmcXVvdDssJnF1b3Q7YXRyZmliJnF1b3Q7LCZxdW90O3N1cHRhY2gmcXVvdDssJnF1b3Q7c2ludGFjaCZxdW90OywmcXVvdDtzaW5hcnImcXVvdDssJnF1b3Q7cGFjZW1ha2VyJnF1b3Q7LCZxdW90O3JoeW90aGVyJnF1b3Q7LCZxdW90O2F2Y29uZGlzJnF1b3Q7LCZxdW90O3Fyc25vbmUmcXVvdDssJnF1b3Q7cXJzcmJiYiZxdW90OywmcXVvdDtxcnNsYmJiJnF1b3Q7LCZxdW90O3Fyc3JhbmRsJnF1b3Q7LCZxdW90O3Fyc2l2Y2QmcXVvdDssJnF1b3Q7cXJzb3RoZXImcXVvdDssJnF1b3Q7cXJzcml2Y2QmcXVvdDssJnF1b3Q7ZWN0b3B5JnF1b3Q7LCZxdW90O2h5cGVydHJvJnF1b3Q7LCZxdW90O3N0c2VnYWJuJnF1b3Q7LCZxdW90O3N1Z2dpc2NoJnF1b3Q7LCZxdW90O2lzY2hub25lJnF1b3Q7LCZxdW90O2lzY2hhbnQmcXVvdDssJnF1b3Q7aXNjaGxhdCZxdW90OywmcXVvdDtpc2NoaW5mJnF1b3Q7LCZxdW90O2lzY2htb3JlJnF1b3Q7LCZxdW90O2F0cmlhbGVubCZxdW90OywmcXVvdDtlYXJseXJlcCZxdW90OywmcXVvdDtvbGRpbmZhcmN0JnF1b3Q7LCZxdW90O2luZmFyY3QmcXVvdDssJnF1b3Q7dnJociZxdW90OywmcXVvdDtxcnNkdXImcXVvdDssJnF1b3Q7cXRkdXImcXVvdDssJnF1b3Q7cXRjZHVyJnF1b3Q7LCZxdW90O3ByaW50ZXJ2YWwmcXVvdDssJnF1b3Q7cGR1ciZxdW90OywmcXVvdDtycmR1ciZxdW90OywmcXVvdDtlY2djb21tZW50c190ZXh0JnF1b3Q7LCZxdW90O3JoaSZxdW90OywmcXVvdDtmcmFtaW5naGFtJnF1b3Q7LCZxdW90O3dkZmFociZxdW90OywmcXVvdDt3ZGZhbW4mcXVvdDssJnF1b3Q7d2RmYWFwJnF1b3Q7LCZxdW90O3dlZmFociZxdW90OywmcXVvdDt3ZWZhbW4mcXVvdDssJnF1b3Q7d2VmYWFwJnF1b3Q7LCZxdW90O2FzbGVlcG1uJnF1b3Q7LCZxdW90O3dkd3VociZxdW90OywmcXVvdDt3ZHd1bW4mcXVvdDssJnF1b3Q7d2R3dWFwJnF1b3Q7LCZxdW90O3dld3VociZxdW90OywmcXVvdDt3ZXd1bW4mcXVvdDssJnF1b3Q7d2V3dWFwJnF1b3Q7LCZxdW90O25hcDVtaW4mcXVvdDssJnF1b3Q7dHJmYWxsYXNscCZxdW90OywmcXVvdDt3b2tlZGlmZiZxdW90OywmcXVvdDt3YWtlZWFybHkmcXVvdDssJnF1b3Q7dW5yZXN0ZWQmcXVvdDssJnF1b3Q7ZXhjc2xlZXB5JnF1b3Q7LCZxdW90O25vdGVub3VnaCZxdW90OywmcXVvdDt0b29rcGlsbHMmcXVvdDssJnF1b3Q7YnNub3JlJnF1b3Q7LCZxdW90O2Jzbm9yZWZxJnF1b3Q7LCZxdW90O3N0b3BicmVhdGgmcXVvdDssJnF1b3Q7c3RvcGJyZWF0aGZxJnF1b3Q7LCZxdW90O3Nub3J0ZWQmcXVvdDssJnF1b3Q7c25vcnRlZGZxJnF1b3Q7LCZxdW90O2NvdWdoaW5nJnF1b3Q7LCZxdW90O2NoZXN0cGFpbiZxdW90OywmcXVvdDtzaG9ydGJyZWF0aCZxdW90OywmcXVvdDtzd2VhdHMmcXVvdDssJnF1b3Q7bm9pc2VzdXJyJnF1b3Q7LCZxdW90O3BhaW5qb2ludHMmcXVvdDssJnF1b3Q7aGVhcnRidXJuJnF1b3Q7LCZxdW90O2xlZ2NyYW1wcyZxdW90OywmcXVvdDtiYXRocm9vbSZxdW90OywmcXVvdDttb3ZlbGVncyZxdW90OywmcXVvdDttb3ZlcmVsaWV2ZSZxdW90OywmcXVvdDt3b3JzZXJlc3QmcXVvdDssJnF1b3Q7d29yc2VsYXRlciZxdW90OywmcXVvdDtwYWlud2FsayZxdW90OywmcXVvdDtwYWluYmVnaW4mcXVvdDssJnF1b3Q7cGFpbmNhbHZlcyZxdW90OywmcXVvdDt3YWxraHVycnkmcXVvdDssJnF1b3Q7d2Fsa29yZGluYXJ5JnF1b3Q7LCZxdW90O3BhaW5kaXNhcHBlYXImcXVvdDssJnF1b3Q7c3dlbGxpbmcmcXVvdDssJnF1b3Q7c3dlbGxpbmdkYXkmcXVvdDssJnF1b3Q7dHdvcGlsbG93cyZxdW90OywmcXVvdDthd2FrZW5lZCZxdW90OywmcXVvdDthc3BpcmluJnF1b3Q7LCZxdW90O2V2Y2hlc3RwYWluJnF1b3Q7LCZxdW90O2V2Y2hlc3RwcmVzcyZxdW90OywmcXVvdDtwcmVzc2h1cnJ5JnF1b3Q7LCZxdW90O3ByZXNzb3JkaW5hcnkmcXVvdDssJnF1b3Q7ZG9wcmVzc3dhbGsmcXVvdDssJnF1b3Q7c3RhbmRzdGlsbCZxdW90OywmcXVvdDtzdGFuZHN0aWxsc29vbiZxdW90OywmcXVvdDtzZWVkb2N0b3ImcXVvdDssJnF1b3Q7c2VlZG9jdG9yX3RleHQmcXVvdDssJnF1b3Q7YWxsZXJnaWVzJnF1b3Q7LCZxdW90O2FsbGVyZ2llc3Rlc3QmcXVvdDssJnF1b3Q7ZHhhc3RobWEmcXVvdDssJnF1b3Q7ZHhicm9uY2hpdGlzJnF1b3Q7LCZxdW90O2R4Y29wZCZxdW90OywmcXVvdDtkeGhlYXJ0YXR0YWNrJnF1b3Q7LCZxdW90O2R4aGlnaGJwJnF1b3Q7LCZxdW90O2R4aGlnaGJwbWVkJnF1b3Q7LCZxdW90O2R4aGlnaGJwYWdlJnF1b3Q7LCZxdW90O2R4aGlnaGNob2wmcXVvdDssJnF1b3Q7ZHhoaWdoY2hvbG1lZCZxdW90OywmcXVvdDtkeGhpZ2hjaG9sYWdlJnF1b3Q7LCZxdW90O2R4Y2Fyb3RpZCZxdW90OywmcXVvdDtkeGFmaWImcXVvdDssJnF1b3Q7ZHhyaGV1bWF0aWMmcXVvdDssJnF1b3Q7ZHhibG9vZGNsb3RzJnF1b3Q7LCZxdW90O2R4c3Ryb2tlJnF1b3Q7LCZxdW90O2R4dGlhJnF1b3Q7LCZxdW90O2R4cGFjZW1ha2VyJnF1b3Q7LCZxdW90O2R4ZGlhYiZxdW90OywmcXVvdDtkeGRpYWJtZWQmcXVvdDssJnF1b3Q7ZHhkaWFibWVkdHlwZSZxdW90OywmcXVvdDtkeGRpYWJtZWRubyZxdW90OywmcXVvdDtkeGRpYWJhZ2UmcXVvdDssJnF1b3Q7ZHhkaWFiaW5zdWxpbiZxdW90OywmcXVvdDtkeGNhbmMmcXVvdDssJnF1b3Q7ZHhjYW5jcHJvcyZxdW90OywmcXVvdDtkeGNhbmNicmVhc3QmcXVvdDssJnF1b3Q7ZHhjYW5jbHVuZyZxdW90OywmcXVvdDtkeGNhbmNjb2xvbiZxdW90OywmcXVvdDtkeGNhbmNibG9vZCZxdW90OywmcXVvdDtkeGNhbmNvdGgmcXVvdDssJnF1b3Q7ZHhjYW5jb3RoX3RleHQmcXVvdDssJnF1b3Q7ZHhzaW51cyZxdW90OywmcXVvdDtkeGFwbmVhJnF1b3Q7LCZxdW90O2R4aW5zb21uaWEmcXVvdDssJnF1b3Q7ZHhyZXN0bGVzc2xlZ3MmcXVvdDssJnF1b3Q7ZHhhbnhpZXR5JnF1b3Q7LCZxdW90O2R4ZGVwcmVzc2lvbiZxdW90OywmcXVvdDtkeGFkaGQmcXVvdDssJnF1b3Q7ZHhsaXZlciZxdW90OywmcXVvdDtkeGxpdmVyY2lyciZxdW90OywmcXVvdDtkeGxpdmVyaGVwYSZxdW90OywmcXVvdDtkeGxpdmVyb3RoJnF1b3Q7LCZxdW90O2R4bGl2ZXJvdGhfdGV4dCZxdW90OywmcXVvdDtkeGtpZG5leSZxdW90OywmcXVvdDtkeGtpZG5leV90ZXh0JnF1b3Q7LCZxdW90O2R4ZXBpbGVwc3kmcXVvdDssJnF1b3Q7ZHhzY2xlcm9zaXMmcXVvdDssJnF1b3Q7ZHhtaWdyYWluZSZxdW90OywmcXVvdDtkeGFydGhyaXRpcyZxdW90OywmcXVvdDtkeGJvd2VsJnF1b3Q7LCZxdW90O2R4b3RoZXIxJnF1b3Q7LCZxdW90O2R4b3RoZXIxX3RleHQmcXVvdDssJnF1b3Q7ZHhvdGhlcjImcXVvdDssJnF1b3Q7ZHhvdGhlcjJfdGV4dCZxdW90OywmcXVvdDtwYXJzaGVhcnRhdHRhY2smcXVvdDssJnF1b3Q7cGFyc3N0cm9rZSZxdW90OywmcXVvdDtwYXJzYXBuZWEmcXVvdDssJnF1b3Q7c2lic2hlYXJ0YXR0YWNrJnF1b3Q7LCZxdW90O3NpYnNzdHJva2UmcXVvdDssJnF1b3Q7c2lic2FwbmVhJnF1b3Q7LCZxdW90O2tpZHNoZWFydGF0dGFjayZxdW90OywmcXVvdDtraWRzc3Ryb2tlJnF1b3Q7LCZxdW90O2tpZHNhcG5lYSZxdW90OywmcXVvdDthY3R3YWxraW5naHImcXVvdDssJnF1b3Q7YWN0d2Fsa2luZ21uJnF1b3Q7LCZxdW90O2FjdHdhbGtpbmdkYXlzJnF1b3Q7LCZxdW90O2FjdGpvZ2dpbmdociZxdW90OywmcXVvdDthY3Rqb2dnaW5nbW4mcXVvdDssJnF1b3Q7YWN0am9nZ2luZ2RheXMmcXVvdDssJnF1b3Q7YWN0cnVubmluZ2hyJnF1b3Q7LCZxdW90O2FjdHJ1bm5pbmdtbiZxdW90OywmcXVvdDthY3RydW5uaW5nZGF5cyZxdW90OywmcXVvdDthY3RiaWN5Y2xpbmdociZxdW90OywmcXVvdDthY3RiaWN5Y2xpbmdtbiZxdW90OywmcXVvdDthY3RiaWN5Y2xpbmdkYXlzJnF1b3Q7LCZxdW90O2FjdHRlbm5pc2hyJnF1b3Q7LCZxdW90O2FjdHRlbm5pc21uJnF1b3Q7LCZxdW90O2FjdHRlbm5pc2RheXMmcXVvdDssJnF1b3Q7YWN0c3dpbW1pbmdociZxdW90OywmcXVvdDthY3Rzd2ltbWluZ21uJnF1b3Q7LCZxdW90O2FjdHN3aW1taW5nZGF5cyZxdW90OywmcXVvdDthY3RhZXJvYmljaHImcXVvdDssJnF1b3Q7YWN0YWVyb2JpY21uJnF1b3Q7LCZxdW90O2FjdGFlcm9iaWNkYXlzJnF1b3Q7LCZxdW90O2FjdGxvd2ludGhyJnF1b3Q7LCZxdW90O2FjdGxvd2ludG1uJnF1b3Q7LCZxdW90O2FjdGxvd2ludGRheXMmcXVvdDssJnF1b3Q7YWN0b3RodmlnaHImcXVvdDssJnF1b3Q7YWN0b3RodmlnbW4mcXVvdDssJnF1b3Q7YWN0b3RodmlnZGF5cyZxdW90OywmcXVvdDthY3R3ZWlnaHRhcm1ociZxdW90OywmcXVvdDthY3R3ZWlnaHRhcm1tbiZxdW90OywmcXVvdDthY3R3ZWlnaHRhcm1kYXlzJnF1b3Q7LCZxdW90O2FjdHdlaWdodGxlZ2hyJnF1b3Q7LCZxdW90O2FjdHdlaWdodGxlZ21uJnF1b3Q7LCZxdW90O2FjdHdlaWdodGxlZ2RheXMmcXVvdDssJnF1b3Q7YWN0b3RoZXJfdGV4dCZxdW90OywmcXVvdDthY3RvdGhlcmhyJnF1b3Q7LCZxdW90O2FjdG90aGVybW4mcXVvdDssJnF1b3Q7YWN0b3RoZXJkYXlzJnF1b3Q7LCZxdW90O3Ntb2tlZCZxdW90OywmcXVvdDtzbW9rZWRhZ2UmcXVvdDssJnF1b3Q7c21va2VkZnJxJnF1b3Q7LCZxdW90O3Ntb2tlZG1vbnRoJnF1b3Q7LCZxdW90O3Ntb2tlZG1vbnRobm93JnF1b3Q7LCZxdW90O3Ntb2tlZG1vbnRoc3RvcCZxdW90OywmcXVvdDtjYWZmZWluZSZxdW90OywmcXVvdDthbGNvaG9sd2VlayZxdW90OywmcXVvdDthbGNvaG9sb25lZGF5JnF1b3Q7LCZxdW90O2FsY29ob2xiZWQmcXVvdDssJnF1b3Q7bWVub3BhdXNlJnF1b3Q7LCZxdW90O292YXJpZXMmcXVvdDssJnF1b3Q7b3Zhcmllc2FnZSZxdW90OywmcXVvdDtvdmFyaWVzbnVtJnF1b3Q7LCZxdW90O2h5c3RlcmVjdG9teSZxdW90OywmcXVvdDtoeXN0ZXJlY3RvbXlhZ2UmcXVvdDssJnF1b3Q7cGVyaW9kJnF1b3Q7LCZxdW90O3BlcmlvZG51bSZxdW90OywmcXVvdDtob3Jtb25lJnF1b3Q7LCZxdW90O2hvcm1vbmVhZ2UmcXVvdDssJnF1b3Q7aG9ybW9uZWFnZXN0YXJ0JnF1b3Q7LCZxdW90O2hvcm1vbmVhZ2VzdG9wJnF1b3Q7LCZxdW90O2hvcm1vbmVuZXZlciZxdW90OywmcXVvdDtob3Jtb25ldHlwZSZxdW90OywmcXVvdDtob3Jtb25ldHlwZV90ZXh0JnF1b3Q7LCZxdW90O2VtcGxveW1lbnQmcXVvdDssJnF1b3Q7ZW1wbG95bWVudF90ZXh0JnF1b3Q7LCZxdW90O29jY3VwYXRpb24mcXVvdDssJnF1b3Q7cm90YXRpbmdzaGlmdHMmcXVvdDssJnF1b3Q7c3RlYWR5c2hpZnRzJnF1b3Q7LCZxdW90O2hoaW5jb21lJnF1b3Q7LCZxdW90O2V0aG5pY2l0eSZxdW90OywmcXVvdDthY3R3YWxraW5nJnF1b3Q7LCZxdW90O2FjdGpvZ2dpbmcmcXVvdDssJnF1b3Q7YWN0cnVubmluZyZxdW90OywmcXVvdDthY3RiaWN5Y2xpbmcmcXVvdDssJnF1b3Q7YWN0dGVubmlzJnF1b3Q7LCZxdW90O2FjdHN3aW1taW5nJnF1b3Q7LCZxdW90O2FjdGFlcm9iaWMmcXVvdDssJnF1b3Q7YWN0bG93aW50JnF1b3Q7LCZxdW90O2FjdG90aHZpZyZxdW90OywmcXVvdDthY3R3ZWlnaHRhcm0mcXVvdDssJnF1b3Q7YWN0d2VpZ2h0bGVnJnF1b3Q7LCZxdW90O2FjdG90aGVyJnF1b3Q7LCZxdW90O3JhY2U3JnF1b3Q7LCZxdW90O2hlaWdodGNtJnF1b3Q7LCZxdW90O3dlaWdodGtnJnF1b3Q7LCZxdW90O25lY2tjbTEmcXVvdDssJnF1b3Q7bmVja2NtMiZxdW90OywmcXVvdDt3YWlzdGNtMSZxdW90OywmcXVvdDt3YWlzdGNtMiZxdW90OywmcXVvdDtoaXBjbTEmcXVvdDssJnF1b3Q7aGlwY20yJnF1b3Q7LCZxdW90O3N5c2JwMSZxdW90OywmcXVvdDtkaWFzYnAxJnF1b3Q7LCZxdW90O3N5c2JwMiZxdW90OywmcXVvdDtkaWFzYnAyJnF1b3Q7LCZxdW90O3N5c2JwMyZxdW90OywmcXVvdDtkaWFzYnAzJnF1b3Q7LCZxdW90O2FybWJwc2l0ZSZxdW90OywmcXVvdDtjdWZmc2l6ZSZxdW90OywmcXVvdDtwdWxzZTEmcXVvdDssJnF1b3Q7cHVsc2UyJnF1b3Q7LCZxdW90O3B1bHNlMyZxdW90OywmcXVvdDtibWkmcXVvdDssJnF1b3Q7bmVja21lYW4mcXVvdDssJnF1b3Q7d2Fpc3RtZWFuJnF1b3Q7LCZxdW90O2hpcG1lYW4mcXVvdDssJnF1b3Q7c3lzbWVhbiZxdW90OywmcXVvdDtkaWFzbWVhbiZxdW90OywmcXVvdDtwdWxzZW1lYW4mcXVvdDssJnF1b3Q7cGhxMDEmcXVvdDssJnF1b3Q7cGhxMDImcXVvdDssJnF1b3Q7cGhxMDMmcXVvdDssJnF1b3Q7cGhxMDQmcXVvdDssJnF1b3Q7cGhxMDUmcXVvdDssJnF1b3Q7cGhxMDYmcXVvdDssJnF1b3Q7cGhxMDcmcXVvdDssJnF1b3Q7cGhxMDgmcXVvdDssJnF1b3Q7cGhxMDkmcXVvdDssJnF1b3Q7cGhxMTAmcXVvdDssJnF1b3Q7cGhxbm1pc3MmcXVvdDssJnF1b3Q7cGhxdG90YWwmcXVvdDssJnF1b3Q7cGhxc2V2JnF1b3Q7LCZxdW90O2doMDEmcXVvdDssJnF1b3Q7c2ZodCZxdW90OywmcXVvdDtwZjAxJnF1b3Q7LCZxdW90O3BmMDImcXVvdDssJnF1b3Q7cGYwMyZxdW90OywmcXVvdDtwZjA0JnF1b3Q7LCZxdW90O3BmMDUmcXVvdDssJnF1b3Q7cGYwNiZxdW90OywmcXVvdDtwZjA3JnF1b3Q7LCZxdW90O3BmMDgmcXVvdDssJnF1b3Q7cGYwOSZxdW90OywmcXVvdDtwZjEwJnF1b3Q7LCZxdW90O3JwMDEmcXVvdDssJnF1b3Q7cnAwMiZxdW90OywmcXVvdDtycDAzJnF1b3Q7LCZxdW90O3JwMDQmcXVvdDssJnF1b3Q7cmUwMSZxdW90OywmcXVvdDtyZTAyJnF1b3Q7LCZxdW90O3JlMDMmcXVvdDssJnF1b3Q7c2YwMSZxdW90OywmcXVvdDticDAxJnF1b3Q7LCZxdW90O2JwMDImcXVvdDssJnF1b3Q7dnQwMSZxdW90OywmcXVvdDttaDAxJnF1b3Q7LCZxdW90O21oMDImcXVvdDssJnF1b3Q7bWgwMyZxdW90OywmcXVvdDt2dDAyJnF1b3Q7LCZxdW90O21oMDQmcXVvdDssJnF1b3Q7dnQwMyZxdW90OywmcXVvdDttaDA1JnF1b3Q7LCZxdW90O3Z0MDQmcXVvdDssJnF1b3Q7c2YwMiZxdW90OywmcXVvdDtnaDAyJnF1b3Q7LCZxdW90O2doMDMmcXVvdDssJnF1b3Q7Z2gwNCZxdW90OywmcXVvdDtnaDA1JnF1b3Q7LCZxdW90O3BmbnVtJnF1b3Q7LCZxdW90O3BmbWVhbiZxdW90OywmcXVvdDtyYXdwZiZxdW90OywmcXVvdDtwZiZxdW90OywmcXVvdDtyb2xwbnVtJnF1b3Q7LCZxdW90O3JvbHBtZWFuJnF1b3Q7LCZxdW90O3Jhd3JwJnF1b3Q7LCZxdW90O3JwJnF1b3Q7LCZxdW90O2JwbnVtJnF1b3Q7LCZxdW90O3Jhd2JwJnF1b3Q7LCZxdW90O2JwJnF1b3Q7LCZxdW90O2dobnVtJnF1b3Q7LCZxdW90O2dobWVhbiZxdW90OywmcXVvdDtyYXdnaCZxdW90OywmcXVvdDtnaCZxdW90OywmcXVvdDt2aXRudW0mcXVvdDssJnF1b3Q7dml0bWVhbiZxdW90OywmcXVvdDtyYXd2dCZxdW90OywmcXVvdDt2dCZxdW90OywmcXVvdDtzZm51bSZxdW90OywmcXVvdDtzZm1lYW4mcXVvdDssJnF1b3Q7cmF3c2YmcXVvdDssJnF1b3Q7c2YmcXVvdDssJnF1b3Q7cm9sbW51bSZxdW90OywmcXVvdDtyb2xtbWVhbiZxdW90OywmcXVvdDtyYXdyZSZxdW90OywmcXVvdDtyZSZxdW90OywmcXVvdDttaG51bSZxdW90OywmcXVvdDttaG1lYW4mcXVvdDssJnF1b3Q7cmF3bWgmcXVvdDssJnF1b3Q7bWgmcXVvdDssJnF1b3Q7cGZfbm9ybSZxdW90OywmcXVvdDtycF9ub3JtJnF1b3Q7LCZxdW90O2JwX25vcm0mcXVvdDssJnF1b3Q7Z2hfbm9ybSZxdW90OywmcXVvdDt2dF9ub3JtJnF1b3Q7LCZxdW90O3NmX25vcm0mcXVvdDssJnF1b3Q7cmVfbm9ybSZxdW90OywmcXVvdDttaF9ub3JtJnF1b3Q7LCZxdW90O2FjZWluaGliaXRvciZxdW90OywmcXVvdDtiZXRhYmxvY2tlciZxdW90OywmcXVvdDthbGRvc3Rlcm9uZWJsb2NrZXImcXVvdDssJnF1b3Q7YWxwaGFibG9ja2VyJnF1b3Q7LCZxdW90O2NhbGNpdW1ibG9ja2VyJnF1b3Q7LCZxdW90O2RpYWJldGVzJnF1b3Q7LCZxdW90O2RpdXJldGljJnF1b3Q7LCZxdW90O2xpcGlkbG93ZXJpbmcmcXVvdDssJnF1b3Q7YW50aWh5cGVydGVuc2l2ZSZxdW90OywmcXVvdDtzdGF0aW4mcXVvdDssJnF1b3Q7bml0cmF0ZSZxdW90OywmcXVvdDtwZXJkaWxhdG9yJnF1b3Q7LCZxdW90O290aGVyYWgmcXVvdDssJnF1b3Q7YWNlaW5oaWJpdG9yX24mcXVvdDssJnF1b3Q7YmV0YWJsb2NrZXJfbiZxdW90OywmcXVvdDthbGRvc3Rlcm9uZWJsb2NrZXJfbiZxdW90OywmcXVvdDthbHBoYWJsb2NrZXJfbiZxdW90OywmcXVvdDtjYWxjaXVtYmxvY2tlcl9uJnF1b3Q7LCZxdW90O2RpYWJldGVzX24mcXVvdDssJnF1b3Q7ZGl1cmV0aWNfbiZxdW90OywmcXVvdDtsaXBpZGxvd2VyaW5nX24mcXVvdDssJnF1b3Q7YW50aWh5cGVydGVuc2l2ZV9uJnF1b3Q7LCZxdW90O3N0YXRpbl9uJnF1b3Q7LCZxdW90O25pdHJhdGVfbiZxdW90OywmcXVvdDtwZXJkaWxhdG9yX24mcXVvdDssJnF1b3Q7b3RoZXJhaF9uJnF1b3Q7LCZxdW90O2xhc3R2aXNpdCZxdW90OywmcXVvdDtub3BtJnF1b3Q7LCZxdW90O2ZhaWxwbSZxdW90OywmcXVvdDthaGloaWdoJnF1b3Q7LCZxdW90O2FoaWxvdyZxdW90OywmcXVvdDtjZW50YXAmcXVvdDssJnF1b3Q7b3h5c2F0JnF1b3Q7LCZxdW90O2FkdmVyc2VldmVudCZxdW90OywmcXVvdDtpbGxuZXNzJnF1b3Q7LCZxdW90O25vbmNvbXBsaWFuY2UmcXVvdDssJnF1b3Q7bG9zdGZvbGxvd3VwJnF1b3Q7LCZxdW90O3dpdGhkcmF3bmNvbnNlbnQmcXVvdDssJnF1b3Q7cmVsb2NhdGlvbiZxdW90OywmcXVvdDtkaXNzYXRpc2ZhY3Rpb24mcXVvdDssJnF1b3Q7bG9zc2ludGVyZXN0JnF1b3Q7LCZxdW90O3dpdGhvdGhlciZxdW90OywmcXVvdDtkYXRlb2Z3aXRoZHJhd2FsJnF1b3Q7LCZxdW90O2FnZWNhdCZxdW90OywmcXVvdDtwZl96JnF1b3Q7LCZxdW90O3JwX3omcXVvdDssJnF1b3Q7YnBfeiZxdW90OywmcXVvdDtnaF96JnF1b3Q7LCZxdW90O3Z0X3omcXVvdDssJnF1b3Q7c2ZfeiZxdW90OywmcXVvdDtyZV96JnF1b3Q7LCZxdW90O21oX3omcXVvdDssJnF1b3Q7YWdnX3BoeXMmcXVvdDssJnF1b3Q7YWdnX21lbnQmcXVvdDssJnF1b3Q7cGNzJnF1b3Q7LCZxdW90O21jcyZxdW90OywmcXVvdDtwYXhpcyZxdW90OywmcXVvdDtxcnNheGlzJnF1b3Q7LCZxdW90O3RheGlzJnF1b3Q7LCZxdW90O2NsdXN0ZXJpZCZxdW90O10iIC8+PEVudHJ5IFR5cGU9IkZpbGxTdGF0dXMiIFZhbHVlPSJzQ29tcGxldGUiIC8+PEVudHJ5IFR5cGU9IlJlbGF0aW9uc2hpcEluZm9Db250YWluZXIiIFZhbHVlPSJzeyZxdW90O2NvbHVtbkNvdW50JnF1b3Q7OjEsJnF1b3Q7a2V5Q29sdW1uTmFtZXMmcXVvdDs6W10sJnF1b3Q7cXVlcnlSZWxhdGlvbnNoaXBzJnF1b3Q7OltdLCZxdW90O2NvbHVtbklkZW50aXRpZXMmcXVvdDs6WyZxdW90O1NlY3Rpb24xL2hlYXJ0YmVhdC1iYXNlbGluZS1kYXRhc2V0LTAgNSAwL0F1dG9SZW1vdmVkQ29sdW1uczEue1Jlc3VsdCwwfSZxdW90O10sJnF1b3Q7Q29sdW1uQ291bnQmcXVvdDs6MSwmcXVvdDtLZXlDb2x1bW5OYW1lcyZxdW90OzpbXSwmcXVvdDtDb2x1bW5JZGVudGl0aWVzJnF1b3Q7OlsmcXVvdDtTZWN0aW9uMS9oZWFydGJlYXQtYmFzZWxpbmUtZGF0YXNldC0wIDUgMC9BdXRvUmVtb3ZlZENvbHVtbnMxLntSZXN1bHQsMH0mcXVvdDtdLCZxdW90O1JlbGF0aW9uc2hpcEluZm8mcXVvdDs6W119IiAvPjwvU3RhYmxlRW50cmllcz48L0l0ZW0+PEl0ZW0+PEl0ZW1Mb2NhdGlvbj48SXRlbVR5cGU+Rm9ybXVsYTwvSXRlbVR5cGU+PEl0ZW1QYXRoPlNlY3Rpb24xL2hlYXJ0YmVhdC1iYXNlbGluZS1kYXRhc2V0LTAlMjA1JTIwMC9RdWVsbGU8L0l0ZW1QYXRoPjwvSXRlbUxvY2F0aW9uPjxTdGFibGVFbnRyaWVzIC8+PC9JdGVtPjxJdGVtPjxJdGVtTG9jYXRpb24+PEl0ZW1UeXBlPkZvcm11bGE8L0l0ZW1UeXBlPjxJdGVtUGF0aD5TZWN0aW9uMS9oZWFydGJlYXQtYmFzZWxpbmUtZGF0YXNldC0wJTIwNSUyMDAvSCVDMyVCNmhlciUyMGdlc3R1ZnRlJTIwSGVhZGVyPC9JdGVtUGF0aD48L0l0ZW1Mb2NhdGlvbj48U3RhYmxlRW50cmllcyAvPjwvSXRlbT48SXRlbT48SXRlbUxvY2F0aW9uPjxJdGVtVHlwZT5Gb3JtdWxhPC9JdGVtVHlwZT48SXRlbVBhdGg+U2VjdGlvbjEvaGVhcnRiZWF0LWJhc2VsaW5lLWRhdGFzZXQtMCUyMDUlMjAwL0dlJUMzJUE0bmRlcnRlciUyMFR5cDwvSXRlbVBhdGg+PC9JdGVtTG9jYXRpb24+PFN0YWJsZUVudHJpZXMgLz48L0l0ZW0+PEl0ZW0+PEl0ZW1Mb2NhdGlvbj48SXRlbVR5cGU+Rm9ybXVsYTwvSXRlbVR5cGU+PEl0ZW1QYXRoPlNlY3Rpb24xL21yb3MtdmlzaXQyLWRhdGFzZXQtMCUyMDYlMjAwPC9JdGVtUGF0aD48L0l0ZW1Mb2NhdGlvbj48U3RhYmxlRW50cmllcz48RW50cnkgVHlwZT0iSXNQcml2YXRlIiBWYWx1ZT0ibDAiIC8+PEVudHJ5IFR5cGU9IlF1ZXJ5SUQiIFZhbHVlPSJzYmRhMDM2MGEtNTQyOC00NjkwLWFlMDYtODNiNzM0MzRhNjhh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kFkZGVkVG9EYXRhTW9kZWwiIFZhbHVlPSJsMCIgLz48RW50cnkgVHlwZT0iRmlsbENvdW50IiBWYWx1ZT0ibDI5MTIiIC8+PEVudHJ5IFR5cGU9IkZpbGxFcnJvckNvZGUiIFZhbHVlPSJzVW5rbm93biIgLz48RW50cnkgVHlwZT0iRmlsbEVycm9yQ291bnQiIFZhbHVlPSJsMCIgLz48RW50cnkgVHlwZT0iRmlsbExhc3RVcGRhdGVkIiBWYWx1ZT0iZDIwMjYtMDMtMjZUMDg6NTg6NDguNDc5NzUxN1oiIC8+PEVudHJ5IFR5cGU9IkZpbGxDb2x1bW5UeXBlcyIgVmFsdWU9InN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c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ywmcXVvdDtDb2x1bW4zMTgmcXVvdDssJnF1b3Q7Q29sdW1uMzE5JnF1b3Q7LCZxdW90O0NvbHVtbjMyMCZxdW90OywmcXVvdDtDb2x1bW4zMjEmcXVvdDssJnF1b3Q7Q29sdW1uMzIyJnF1b3Q7LCZxdW90O0NvbHVtbjMyMyZxdW90OywmcXVvdDtDb2x1bW4zMjQmcXVvdDssJnF1b3Q7Q29sdW1uMzI1JnF1b3Q7LCZxdW90O0NvbHVtbjMyNiZxdW90OywmcXVvdDtDb2x1bW4zMjcmcXVvdDssJnF1b3Q7Q29sdW1uMzI4JnF1b3Q7LCZxdW90O0NvbHVtbjMyOSZxdW90OywmcXVvdDtDb2x1bW4zMzAmcXVvdDssJnF1b3Q7Q29sdW1uMzMxJnF1b3Q7LCZxdW90O0NvbHVtbjMzMiZxdW90OywmcXVvdDtDb2x1bW4zMzMmcXVvdDssJnF1b3Q7Q29sdW1uMzM0JnF1b3Q7LCZxdW90O0NvbHVtbjMzNSZxdW90OywmcXVvdDtDb2x1bW4zMzYmcXVvdDssJnF1b3Q7Q29sdW1uMzM3JnF1b3Q7LCZxdW90O0NvbHVtbjMzOCZxdW90OywmcXVvdDtDb2x1bW4zMzkmcXVvdDssJnF1b3Q7Q29sdW1uMzQwJnF1b3Q7LCZxdW90O0NvbHVtbjM0MSZxdW90OywmcXVvdDtDb2x1bW4zNDImcXVvdDssJnF1b3Q7Q29sdW1uMzQzJnF1b3Q7LCZxdW90O0NvbHVtbjM0NCZxdW90OywmcXVvdDtDb2x1bW4zNDUmcXVvdDssJnF1b3Q7Q29sdW1uMzQ2JnF1b3Q7LCZxdW90O0NvbHVtbjM0NyZxdW90OywmcXVvdDtDb2x1bW4zNDgmcXVvdDssJnF1b3Q7Q29sdW1uMzQ5JnF1b3Q7LCZxdW90O0NvbHVtbjM1MCZxdW90OywmcXVvdDtDb2x1bW4zNTEmcXVvdDssJnF1b3Q7Q29sdW1uMzUyJnF1b3Q7LCZxdW90O0NvbHVtbjM1MyZxdW90OywmcXVvdDtDb2x1bW4zNTQmcXVvdDssJnF1b3Q7Q29sdW1uMzU1JnF1b3Q7LCZxdW90O0NvbHVtbjM1NiZxdW90OywmcXVvdDtDb2x1bW4zNTcmcXVvdDssJnF1b3Q7Q29sdW1uMzU4JnF1b3Q7LCZxdW90O0NvbHVtbjM1OSZxdW90OywmcXVvdDtDb2x1bW4zNjAmcXVvdDssJnF1b3Q7Q29sdW1uMzYxJnF1b3Q7LCZxdW90O0NvbHVtbjM2MiZxdW90OywmcXVvdDtDb2x1bW4zNjMmcXVvdDssJnF1b3Q7Q29sdW1uMzY0JnF1b3Q7LCZxdW90O0NvbHVtbjM2NSZxdW90OywmcXVvdDtDb2x1bW4zNjYmcXVvdDssJnF1b3Q7Q29sdW1uMzY3JnF1b3Q7LCZxdW90O0NvbHVtbjM2OCZxdW90OywmcXVvdDtDb2x1bW4zNjkmcXVvdDssJnF1b3Q7Q29sdW1uMzcwJnF1b3Q7LCZxdW90O0NvbHVtbjM3MSZxdW90OywmcXVvdDtDb2x1bW4zNzImcXVvdDssJnF1b3Q7Q29sdW1uMzczJnF1b3Q7LCZxdW90O0NvbHVtbjM3NCZxdW90OywmcXVvdDtDb2x1bW4zNzUmcXVvdDssJnF1b3Q7Q29sdW1uMzc2JnF1b3Q7LCZxdW90O0NvbHVtbjM3NyZxdW90OywmcXVvdDtDb2x1bW4zNzgmcXVvdDssJnF1b3Q7Q29sdW1uMzc5JnF1b3Q7LCZxdW90O0NvbHVtbjM4MCZxdW90OywmcXVvdDtDb2x1bW4zODEmcXVvdDssJnF1b3Q7Q29sdW1uMzgyJnF1b3Q7LCZxdW90O0NvbHVtbjM4MyZxdW90OywmcXVvdDtDb2x1bW4zODQmcXVvdDssJnF1b3Q7Q29sdW1uMzg1JnF1b3Q7LCZxdW90O0NvbHVtbjM4NiZxdW90OywmcXVvdDtDb2x1bW4zODcmcXVvdDssJnF1b3Q7Q29sdW1uMzg4JnF1b3Q7LCZxdW90O0NvbHVtbjM4OSZxdW90OywmcXVvdDtDb2x1bW4zOTAmcXVvdDssJnF1b3Q7Q29sdW1uMzkxJnF1b3Q7LCZxdW90O0NvbHVtbjM5MiZxdW90OywmcXVvdDtDb2x1bW4zOTMmcXVvdDssJnF1b3Q7Q29sdW1uMzk0JnF1b3Q7LCZxdW90O0NvbHVtbjM5NSZxdW90OywmcXVvdDtDb2x1bW4zOTYmcXVvdDssJnF1b3Q7Q29sdW1uMzk3JnF1b3Q7LCZxdW90O0NvbHVtbjM5OCZxdW90OywmcXVvdDtDb2x1bW4zOTkmcXVvdDssJnF1b3Q7Q29sdW1uNDAwJnF1b3Q7LCZxdW90O0NvbHVtbjQwMSZxdW90OywmcXVvdDtDb2x1bW40MDImcXVvdDssJnF1b3Q7Q29sdW1uNDAzJnF1b3Q7LCZxdW90O0NvbHVtbjQwNCZxdW90OywmcXVvdDtDb2x1bW40MDUmcXVvdDssJnF1b3Q7Q29sdW1uNDA2JnF1b3Q7LCZxdW90O0NvbHVtbjQwNyZxdW90OywmcXVvdDtDb2x1bW40MDgmcXVvdDssJnF1b3Q7Q29sdW1uNDA5JnF1b3Q7LCZxdW90O0NvbHVtbjQxMCZxdW90OywmcXVvdDtDb2x1bW40MTEmcXVvdDssJnF1b3Q7Q29sdW1uNDEyJnF1b3Q7LCZxdW90O0NvbHVtbjQxMyZxdW90OywmcXVvdDtDb2x1bW40MTQmcXVvdDssJnF1b3Q7Q29sdW1uNDE1JnF1b3Q7LCZxdW90O0NvbHVtbjQxNiZxdW90OywmcXVvdDtDb2x1bW40MTcmcXVvdDssJnF1b3Q7Q29sdW1uNDE4JnF1b3Q7LCZxdW90O0NvbHVtbjQxOSZxdW90OywmcXVvdDtDb2x1bW40MjAmcXVvdDssJnF1b3Q7Q29sdW1uNDIxJnF1b3Q7LCZxdW90O0NvbHVtbjQyMiZxdW90OywmcXVvdDtDb2x1bW40MjMmcXVvdDssJnF1b3Q7Q29sdW1uNDI0JnF1b3Q7LCZxdW90O0NvbHVtbjQyNSZxdW90OywmcXVvdDtDb2x1bW40MjYmcXVvdDssJnF1b3Q7Q29sdW1uNDI3JnF1b3Q7LCZxdW90O0NvbHVtbjQyOCZxdW90OywmcXVvdDtDb2x1bW40MjkmcXVvdDssJnF1b3Q7Q29sdW1uNDMwJnF1b3Q7LCZxdW90O0NvbHVtbjQzMSZxdW90OywmcXVvdDtDb2x1bW40MzImcXVvdDssJnF1b3Q7Q29sdW1uNDMzJnF1b3Q7LCZxdW90O0NvbHVtbjQzNCZxdW90OywmcXVvdDtDb2x1bW40MzUmcXVvdDssJnF1b3Q7Q29sdW1uNDM2JnF1b3Q7LCZxdW90O0NvbHVtbjQzNyZxdW90OywmcXVvdDtDb2x1bW40MzgmcXVvdDssJnF1b3Q7Q29sdW1uNDM5JnF1b3Q7LCZxdW90O0NvbHVtbjQ0MCZxdW90OywmcXVvdDtDb2x1bW40NDEmcXVvdDssJnF1b3Q7Q29sdW1uNDQyJnF1b3Q7LCZxdW90O0NvbHVtbjQ0MyZxdW90OywmcXVvdDtDb2x1bW40NDQmcXVvdDssJnF1b3Q7Q29sdW1uNDQ1JnF1b3Q7LCZxdW90O0NvbHVtbjQ0NiZxdW90OywmcXVvdDtDb2x1bW40NDcmcXVvdDssJnF1b3Q7Q29sdW1uNDQ4JnF1b3Q7LCZxdW90O0NvbHVtbjQ0OSZxdW90OywmcXVvdDtDb2x1bW40NTAmcXVvdDssJnF1b3Q7Q29sdW1uNDUxJnF1b3Q7LCZxdW90O0NvbHVtbjQ1MiZxdW90OywmcXVvdDtDb2x1bW40NTMmcXVvdDssJnF1b3Q7Q29sdW1uNDU0JnF1b3Q7LCZxdW90O0NvbHVtbjQ1NSZxdW90OywmcXVvdDtDb2x1bW40NTYmcXVvdDssJnF1b3Q7Q29sdW1uNDU3JnF1b3Q7LCZxdW90O0NvbHVtbjQ1OCZxdW90OywmcXVvdDtDb2x1bW40NTkmcXVvdDssJnF1b3Q7Q29sdW1uNDYwJnF1b3Q7LCZxdW90O0NvbHVtbjQ2MSZxdW90OywmcXVvdDtDb2x1bW40NjImcXVvdDssJnF1b3Q7Q29sdW1uNDYzJnF1b3Q7LCZxdW90O0NvbHVtbjQ2NCZxdW90OywmcXVvdDtDb2x1bW40NjUmcXVvdDssJnF1b3Q7Q29sdW1uNDY2JnF1b3Q7LCZxdW90O0NvbHVtbjQ2NyZxdW90OywmcXVvdDtDb2x1bW40NjgmcXVvdDssJnF1b3Q7Q29sdW1uNDY5JnF1b3Q7LCZxdW90O0NvbHVtbjQ3MCZxdW90OywmcXVvdDtDb2x1bW40NzEmcXVvdDssJnF1b3Q7Q29sdW1uNDcyJnF1b3Q7LCZxdW90O0NvbHVtbjQ3MyZxdW90OywmcXVvdDtDb2x1bW40NzQmcXVvdDssJnF1b3Q7Q29sdW1uNDc1JnF1b3Q7LCZxdW90O0NvbHVtbjQ3NiZxdW90OywmcXVvdDtDb2x1bW40NzcmcXVvdDssJnF1b3Q7Q29sdW1uNDc4JnF1b3Q7LCZxdW90O0NvbHVtbjQ3OSZxdW90OywmcXVvdDtDb2x1bW40ODAmcXVvdDssJnF1b3Q7Q29sdW1uNDgxJnF1b3Q7LCZxdW90O0NvbHVtbjQ4MiZxdW90OywmcXVvdDtDb2x1bW40ODMmcXVvdDssJnF1b3Q7Q29sdW1uNDg0JnF1b3Q7LCZxdW90O0NvbHVtbjQ4NSZxdW90OywmcXVvdDtDb2x1bW40ODYmcXVvdDssJnF1b3Q7Q29sdW1uNDg3JnF1b3Q7LCZxdW90O0NvbHVtbjQ4OCZxdW90OywmcXVvdDtDb2x1bW40ODkmcXVvdDssJnF1b3Q7Q29sdW1uNDkwJnF1b3Q7LCZxdW90O0NvbHVtbjQ5MSZxdW90OywmcXVvdDtDb2x1bW40OTImcXVvdDssJnF1b3Q7Q29sdW1uNDkzJnF1b3Q7LCZxdW90O0NvbHVtbjQ5NCZxdW90OywmcXVvdDtDb2x1bW40OTUmcXVvdDssJnF1b3Q7Q29sdW1uNDk2JnF1b3Q7LCZxdW90O0NvbHVtbjQ5NyZxdW90OywmcXVvdDtDb2x1bW40OTgmcXVvdDssJnF1b3Q7Q29sdW1uNDk5JnF1b3Q7LCZxdW90O0NvbHVtbjUwMCZxdW90OywmcXVvdDtDb2x1bW41MDEmcXVvdDssJnF1b3Q7Q29sdW1uNTAyJnF1b3Q7LCZxdW90O0NvbHVtbjUwMyZxdW90OywmcXVvdDtDb2x1bW41MDQmcXVvdDssJnF1b3Q7Q29sdW1uNTA1JnF1b3Q7LCZxdW90O0NvbHVtbjUwNiZxdW90OywmcXVvdDtDb2x1bW41MDcmcXVvdDssJnF1b3Q7Q29sdW1uNTA4JnF1b3Q7LCZxdW90O0NvbHVtbjUwOSZxdW90OywmcXVvdDtDb2x1bW41MTAmcXVvdDssJnF1b3Q7Q29sdW1uNTExJnF1b3Q7LCZxdW90O0NvbHVtbjUxMiZxdW90OywmcXVvdDtDb2x1bW41MTMmcXVvdDssJnF1b3Q7Q29sdW1uNTE0JnF1b3Q7LCZxdW90O0NvbHVtbjUxNSZxdW90OywmcXVvdDtDb2x1bW41MTYmcXVvdDssJnF1b3Q7Q29sdW1uNTE3JnF1b3Q7LCZxdW90O0NvbHVtbjUxOCZxdW90OywmcXVvdDtDb2x1bW41MTkmcXVvdDssJnF1b3Q7Q29sdW1uNTIwJnF1b3Q7LCZxdW90O0NvbHVtbjUyMSZxdW90OywmcXVvdDtDb2x1bW41MjImcXVvdDssJnF1b3Q7Q29sdW1uNTIzJnF1b3Q7LCZxdW90O0NvbHVtbjUyNCZxdW90OywmcXVvdDtDb2x1bW41MjUmcXVvdDssJnF1b3Q7Q29sdW1uNTI2JnF1b3Q7LCZxdW90O0NvbHVtbjUyNyZxdW90OywmcXVvdDtDb2x1bW41MjgmcXVvdDssJnF1b3Q7Q29sdW1uNTI5JnF1b3Q7LCZxdW90O0NvbHVtbjUzMCZxdW90OywmcXVvdDtDb2x1bW41MzEmcXVvdDssJnF1b3Q7Q29sdW1uNTMyJnF1b3Q7LCZxdW90O0NvbHVtbjUzMyZxdW90OywmcXVvdDtDb2x1bW41MzQmcXVvdDssJnF1b3Q7Q29sdW1uNTM1JnF1b3Q7LCZxdW90O0NvbHVtbjUzNiZxdW90OywmcXVvdDtDb2x1bW41MzcmcXVvdDssJnF1b3Q7Q29sdW1uNTM4JnF1b3Q7LCZxdW90O0NvbHVtbjUzOSZxdW90OywmcXVvdDtDb2x1bW41NDAmcXVvdDtdIiAvPjxFbnRyeSBUeXBlPSJGaWxsU3RhdHVzIiBWYWx1ZT0ic0NvbXBsZXRlIiAvPjxFbnRyeSBUeXBlPSJSZWxhdGlvbnNoaXBJbmZvQ29udGFpbmVyIiBWYWx1ZT0ic3smcXVvdDtjb2x1bW5Db3VudCZxdW90Ozo1NDAsJnF1b3Q7a2V5Q29sdW1uTmFtZXMmcXVvdDs6W10sJnF1b3Q7cXVlcnlSZWxhdGlvbnNoaXBzJnF1b3Q7OltdLCZxdW90O2NvbHVtbklkZW50aXRpZXMmcXVvdDs6WyZxdW90O1NlY3Rpb24xL21yb3MtdmlzaXQyLWRhdGFzZXQtMCA2IDAvQXV0b1JlbW92ZWRDb2x1bW5zMS57Q29sdW1uMSwwfSZxdW90OywmcXVvdDtTZWN0aW9uMS9tcm9zLXZpc2l0Mi1kYXRhc2V0LTAgNiAwL0F1dG9SZW1vdmVkQ29sdW1uczEue0NvbHVtbjIsMX0mcXVvdDssJnF1b3Q7U2VjdGlvbjEvbXJvcy12aXNpdDItZGF0YXNldC0wIDYgMC9BdXRvUmVtb3ZlZENvbHVtbnMxLntDb2x1bW4zLDJ9JnF1b3Q7LCZxdW90O1NlY3Rpb24xL21yb3MtdmlzaXQyLWRhdGFzZXQtMCA2IDAvQXV0b1JlbW92ZWRDb2x1bW5zMS57Q29sdW1uNCwzfSZxdW90OywmcXVvdDtTZWN0aW9uMS9tcm9zLXZpc2l0Mi1kYXRhc2V0LTAgNiAwL0F1dG9SZW1vdmVkQ29sdW1uczEue0NvbHVtbjUsNH0mcXVvdDssJnF1b3Q7U2VjdGlvbjEvbXJvcy12aXNpdDItZGF0YXNldC0wIDYgMC9BdXRvUmVtb3ZlZENvbHVtbnMxLntDb2x1bW42LDV9JnF1b3Q7LCZxdW90O1NlY3Rpb24xL21yb3MtdmlzaXQyLWRhdGFzZXQtMCA2IDAvQXV0b1JlbW92ZWRDb2x1bW5zMS57Q29sdW1uNyw2fSZxdW90OywmcXVvdDtTZWN0aW9uMS9tcm9zLXZpc2l0Mi1kYXRhc2V0LTAgNiAwL0F1dG9SZW1vdmVkQ29sdW1uczEue0NvbHVtbjgsN30mcXVvdDssJnF1b3Q7U2VjdGlvbjEvbXJvcy12aXNpdDItZGF0YXNldC0wIDYgMC9BdXRvUmVtb3ZlZENvbHVtbnMxLntDb2x1bW45LDh9JnF1b3Q7LCZxdW90O1NlY3Rpb24xL21yb3MtdmlzaXQyLWRhdGFzZXQtMCA2IDAvQXV0b1JlbW92ZWRDb2x1bW5zMS57Q29sdW1uMTAsOX0mcXVvdDssJnF1b3Q7U2VjdGlvbjEvbXJvcy12aXNpdDItZGF0YXNldC0wIDYgMC9BdXRvUmVtb3ZlZENvbHVtbnMxLntDb2x1bW4xMSwxMH0mcXVvdDssJnF1b3Q7U2VjdGlvbjEvbXJvcy12aXNpdDItZGF0YXNldC0wIDYgMC9BdXRvUmVtb3ZlZENvbHVtbnMxLntDb2x1bW4xMiwxMX0mcXVvdDssJnF1b3Q7U2VjdGlvbjEvbXJvcy12aXNpdDItZGF0YXNldC0wIDYgMC9BdXRvUmVtb3ZlZENvbHVtbnMxLntDb2x1bW4xMywxMn0mcXVvdDssJnF1b3Q7U2VjdGlvbjEvbXJvcy12aXNpdDItZGF0YXNldC0wIDYgMC9BdXRvUmVtb3ZlZENvbHVtbnMxLntDb2x1bW4xNCwxM30mcXVvdDssJnF1b3Q7U2VjdGlvbjEvbXJvcy12aXNpdDItZGF0YXNldC0wIDYgMC9BdXRvUmVtb3ZlZENvbHVtbnMxLntDb2x1bW4xNSwxNH0mcXVvdDssJnF1b3Q7U2VjdGlvbjEvbXJvcy12aXNpdDItZGF0YXNldC0wIDYgMC9BdXRvUmVtb3ZlZENvbHVtbnMxLntDb2x1bW4xNiwxNX0mcXVvdDssJnF1b3Q7U2VjdGlvbjEvbXJvcy12aXNpdDItZGF0YXNldC0wIDYgMC9BdXRvUmVtb3ZlZENvbHVtbnMxLntDb2x1bW4xNywxNn0mcXVvdDssJnF1b3Q7U2VjdGlvbjEvbXJvcy12aXNpdDItZGF0YXNldC0wIDYgMC9BdXRvUmVtb3ZlZENvbHVtbnMxLntDb2x1bW4xOCwxN30mcXVvdDssJnF1b3Q7U2VjdGlvbjEvbXJvcy12aXNpdDItZGF0YXNldC0wIDYgMC9BdXRvUmVtb3ZlZENvbHVtbnMxLntDb2x1bW4xOSwxOH0mcXVvdDssJnF1b3Q7U2VjdGlvbjEvbXJvcy12aXNpdDItZGF0YXNldC0wIDYgMC9BdXRvUmVtb3ZlZENvbHVtbnMxLntDb2x1bW4yMCwxOX0mcXVvdDssJnF1b3Q7U2VjdGlvbjEvbXJvcy12aXNpdDItZGF0YXNldC0wIDYgMC9BdXRvUmVtb3ZlZENvbHVtbnMxLntDb2x1bW4yMSwyMH0mcXVvdDssJnF1b3Q7U2VjdGlvbjEvbXJvcy12aXNpdDItZGF0YXNldC0wIDYgMC9BdXRvUmVtb3ZlZENvbHVtbnMxLntDb2x1bW4yMiwyMX0mcXVvdDssJnF1b3Q7U2VjdGlvbjEvbXJvcy12aXNpdDItZGF0YXNldC0wIDYgMC9BdXRvUmVtb3ZlZENvbHVtbnMxLntDb2x1bW4yMywyMn0mcXVvdDssJnF1b3Q7U2VjdGlvbjEvbXJvcy12aXNpdDItZGF0YXNldC0wIDYgMC9BdXRvUmVtb3ZlZENvbHVtbnMxLntDb2x1bW4yNCwyM30mcXVvdDssJnF1b3Q7U2VjdGlvbjEvbXJvcy12aXNpdDItZGF0YXNldC0wIDYgMC9BdXRvUmVtb3ZlZENvbHVtbnMxLntDb2x1bW4yNSwyNH0mcXVvdDssJnF1b3Q7U2VjdGlvbjEvbXJvcy12aXNpdDItZGF0YXNldC0wIDYgMC9BdXRvUmVtb3ZlZENvbHVtbnMxLntDb2x1bW4yNiwyNX0mcXVvdDssJnF1b3Q7U2VjdGlvbjEvbXJvcy12aXNpdDItZGF0YXNldC0wIDYgMC9BdXRvUmVtb3ZlZENvbHVtbnMxLntDb2x1bW4yNywyNn0mcXVvdDssJnF1b3Q7U2VjdGlvbjEvbXJvcy12aXNpdDItZGF0YXNldC0wIDYgMC9BdXRvUmVtb3ZlZENvbHVtbnMxLntDb2x1bW4yOCwyN30mcXVvdDssJnF1b3Q7U2VjdGlvbjEvbXJvcy12aXNpdDItZGF0YXNldC0wIDYgMC9BdXRvUmVtb3ZlZENvbHVtbnMxLntDb2x1bW4yOSwyOH0mcXVvdDssJnF1b3Q7U2VjdGlvbjEvbXJvcy12aXNpdDItZGF0YXNldC0wIDYgMC9BdXRvUmVtb3ZlZENvbHVtbnMxLntDb2x1bW4zMCwyOX0mcXVvdDssJnF1b3Q7U2VjdGlvbjEvbXJvcy12aXNpdDItZGF0YXNldC0wIDYgMC9BdXRvUmVtb3ZlZENvbHVtbnMxLntDb2x1bW4zMSwzMH0mcXVvdDssJnF1b3Q7U2VjdGlvbjEvbXJvcy12aXNpdDItZGF0YXNldC0wIDYgMC9BdXRvUmVtb3ZlZENvbHVtbnMxLntDb2x1bW4zMiwzMX0mcXVvdDssJnF1b3Q7U2VjdGlvbjEvbXJvcy12aXNpdDItZGF0YXNldC0wIDYgMC9BdXRvUmVtb3ZlZENvbHVtbnMxLntDb2x1bW4zMywzMn0mcXVvdDssJnF1b3Q7U2VjdGlvbjEvbXJvcy12aXNpdDItZGF0YXNldC0wIDYgMC9BdXRvUmVtb3ZlZENvbHVtbnMxLntDb2x1bW4zNCwzM30mcXVvdDssJnF1b3Q7U2VjdGlvbjEvbXJvcy12aXNpdDItZGF0YXNldC0wIDYgMC9BdXRvUmVtb3ZlZENvbHVtbnMxLntDb2x1bW4zNSwzNH0mcXVvdDssJnF1b3Q7U2VjdGlvbjEvbXJvcy12aXNpdDItZGF0YXNldC0wIDYgMC9BdXRvUmVtb3ZlZENvbHVtbnMxLntDb2x1bW4zNiwzNX0mcXVvdDssJnF1b3Q7U2VjdGlvbjEvbXJvcy12aXNpdDItZGF0YXNldC0wIDYgMC9BdXRvUmVtb3ZlZENvbHVtbnMxLntDb2x1bW4zNywzNn0mcXVvdDssJnF1b3Q7U2VjdGlvbjEvbXJvcy12aXNpdDItZGF0YXNldC0wIDYgMC9BdXRvUmVtb3ZlZENvbHVtbnMxLntDb2x1bW4zOCwzN30mcXVvdDssJnF1b3Q7U2VjdGlvbjEvbXJvcy12aXNpdDItZGF0YXNldC0wIDYgMC9BdXRvUmVtb3ZlZENvbHVtbnMxLntDb2x1bW4zOSwzOH0mcXVvdDssJnF1b3Q7U2VjdGlvbjEvbXJvcy12aXNpdDItZGF0YXNldC0wIDYgMC9BdXRvUmVtb3ZlZENvbHVtbnMxLntDb2x1bW40MCwzOX0mcXVvdDssJnF1b3Q7U2VjdGlvbjEvbXJvcy12aXNpdDItZGF0YXNldC0wIDYgMC9BdXRvUmVtb3ZlZENvbHVtbnMxLntDb2x1bW40MSw0MH0mcXVvdDssJnF1b3Q7U2VjdGlvbjEvbXJvcy12aXNpdDItZGF0YXNldC0wIDYgMC9BdXRvUmVtb3ZlZENvbHVtbnMxLntDb2x1bW40Miw0MX0mcXVvdDssJnF1b3Q7U2VjdGlvbjEvbXJvcy12aXNpdDItZGF0YXNldC0wIDYgMC9BdXRvUmVtb3ZlZENvbHVtbnMxLntDb2x1bW40Myw0Mn0mcXVvdDssJnF1b3Q7U2VjdGlvbjEvbXJvcy12aXNpdDItZGF0YXNldC0wIDYgMC9BdXRvUmVtb3ZlZENvbHVtbnMxLntDb2x1bW40NCw0M30mcXVvdDssJnF1b3Q7U2VjdGlvbjEvbXJvcy12aXNpdDItZGF0YXNldC0wIDYgMC9BdXRvUmVtb3ZlZENvbHVtbnMxLntDb2x1bW40NSw0NH0mcXVvdDssJnF1b3Q7U2VjdGlvbjEvbXJvcy12aXNpdDItZGF0YXNldC0wIDYgMC9BdXRvUmVtb3ZlZENvbHVtbnMxLntDb2x1bW40Niw0NX0mcXVvdDssJnF1b3Q7U2VjdGlvbjEvbXJvcy12aXNpdDItZGF0YXNldC0wIDYgMC9BdXRvUmVtb3ZlZENvbHVtbnMxLntDb2x1bW40Nyw0Nn0mcXVvdDssJnF1b3Q7U2VjdGlvbjEvbXJvcy12aXNpdDItZGF0YXNldC0wIDYgMC9BdXRvUmVtb3ZlZENvbHVtbnMxLntDb2x1bW40OCw0N30mcXVvdDssJnF1b3Q7U2VjdGlvbjEvbXJvcy12aXNpdDItZGF0YXNldC0wIDYgMC9BdXRvUmVtb3ZlZENvbHVtbnMxLntDb2x1bW40OSw0OH0mcXVvdDssJnF1b3Q7U2VjdGlvbjEvbXJvcy12aXNpdDItZGF0YXNldC0wIDYgMC9BdXRvUmVtb3ZlZENvbHVtbnMxLntDb2x1bW41MCw0OX0mcXVvdDssJnF1b3Q7U2VjdGlvbjEvbXJvcy12aXNpdDItZGF0YXNldC0wIDYgMC9BdXRvUmVtb3ZlZENvbHVtbnMxLntDb2x1bW41MSw1MH0mcXVvdDssJnF1b3Q7U2VjdGlvbjEvbXJvcy12aXNpdDItZGF0YXNldC0wIDYgMC9BdXRvUmVtb3ZlZENvbHVtbnMxLntDb2x1bW41Miw1MX0mcXVvdDssJnF1b3Q7U2VjdGlvbjEvbXJvcy12aXNpdDItZGF0YXNldC0wIDYgMC9BdXRvUmVtb3ZlZENvbHVtbnMxLntDb2x1bW41Myw1Mn0mcXVvdDssJnF1b3Q7U2VjdGlvbjEvbXJvcy12aXNpdDItZGF0YXNldC0wIDYgMC9BdXRvUmVtb3ZlZENvbHVtbnMxLntDb2x1bW41NCw1M30mcXVvdDssJnF1b3Q7U2VjdGlvbjEvbXJvcy12aXNpdDItZGF0YXNldC0wIDYgMC9BdXRvUmVtb3ZlZENvbHVtbnMxLntDb2x1bW41NSw1NH0mcXVvdDssJnF1b3Q7U2VjdGlvbjEvbXJvcy12aXNpdDItZGF0YXNldC0wIDYgMC9BdXRvUmVtb3ZlZENvbHVtbnMxLntDb2x1bW41Niw1NX0mcXVvdDssJnF1b3Q7U2VjdGlvbjEvbXJvcy12aXNpdDItZGF0YXNldC0wIDYgMC9BdXRvUmVtb3ZlZENvbHVtbnMxLntDb2x1bW41Nyw1Nn0mcXVvdDssJnF1b3Q7U2VjdGlvbjEvbXJvcy12aXNpdDItZGF0YXNldC0wIDYgMC9BdXRvUmVtb3ZlZENvbHVtbnMxLntDb2x1bW41OCw1N30mcXVvdDssJnF1b3Q7U2VjdGlvbjEvbXJvcy12aXNpdDItZGF0YXNldC0wIDYgMC9BdXRvUmVtb3ZlZENvbHVtbnMxLntDb2x1bW41OSw1OH0mcXVvdDssJnF1b3Q7U2VjdGlvbjEvbXJvcy12aXNpdDItZGF0YXNldC0wIDYgMC9BdXRvUmVtb3ZlZENvbHVtbnMxLntDb2x1bW42MCw1OX0mcXVvdDssJnF1b3Q7U2VjdGlvbjEvbXJvcy12aXNpdDItZGF0YXNldC0wIDYgMC9BdXRvUmVtb3ZlZENvbHVtbnMxLntDb2x1bW42MSw2MH0mcXVvdDssJnF1b3Q7U2VjdGlvbjEvbXJvcy12aXNpdDItZGF0YXNldC0wIDYgMC9BdXRvUmVtb3ZlZENvbHVtbnMxLntDb2x1bW42Miw2MX0mcXVvdDssJnF1b3Q7U2VjdGlvbjEvbXJvcy12aXNpdDItZGF0YXNldC0wIDYgMC9BdXRvUmVtb3ZlZENvbHVtbnMxLntDb2x1bW42Myw2Mn0mcXVvdDssJnF1b3Q7U2VjdGlvbjEvbXJvcy12aXNpdDItZGF0YXNldC0wIDYgMC9BdXRvUmVtb3ZlZENvbHVtbnMxLntDb2x1bW42NCw2M30mcXVvdDssJnF1b3Q7U2VjdGlvbjEvbXJvcy12aXNpdDItZGF0YXNldC0wIDYgMC9BdXRvUmVtb3ZlZENvbHVtbnMxLntDb2x1bW42NSw2NH0mcXVvdDssJnF1b3Q7U2VjdGlvbjEvbXJvcy12aXNpdDItZGF0YXNldC0wIDYgMC9BdXRvUmVtb3ZlZENvbHVtbnMxLntDb2x1bW42Niw2NX0mcXVvdDssJnF1b3Q7U2VjdGlvbjEvbXJvcy12aXNpdDItZGF0YXNldC0wIDYgMC9BdXRvUmVtb3ZlZENvbHVtbnMxLntDb2x1bW42Nyw2Nn0mcXVvdDssJnF1b3Q7U2VjdGlvbjEvbXJvcy12aXNpdDItZGF0YXNldC0wIDYgMC9BdXRvUmVtb3ZlZENvbHVtbnMxLntDb2x1bW42OCw2N30mcXVvdDssJnF1b3Q7U2VjdGlvbjEvbXJvcy12aXNpdDItZGF0YXNldC0wIDYgMC9BdXRvUmVtb3ZlZENvbHVtbnMxLntDb2x1bW42OSw2OH0mcXVvdDssJnF1b3Q7U2VjdGlvbjEvbXJvcy12aXNpdDItZGF0YXNldC0wIDYgMC9BdXRvUmVtb3ZlZENvbHVtbnMxLntDb2x1bW43MCw2OX0mcXVvdDssJnF1b3Q7U2VjdGlvbjEvbXJvcy12aXNpdDItZGF0YXNldC0wIDYgMC9BdXRvUmVtb3ZlZENvbHVtbnMxLntDb2x1bW43MSw3MH0mcXVvdDssJnF1b3Q7U2VjdGlvbjEvbXJvcy12aXNpdDItZGF0YXNldC0wIDYgMC9BdXRvUmVtb3ZlZENvbHVtbnMxLntDb2x1bW43Miw3MX0mcXVvdDssJnF1b3Q7U2VjdGlvbjEvbXJvcy12aXNpdDItZGF0YXNldC0wIDYgMC9BdXRvUmVtb3ZlZENvbHVtbnMxLntDb2x1bW43Myw3Mn0mcXVvdDssJnF1b3Q7U2VjdGlvbjEvbXJvcy12aXNpdDItZGF0YXNldC0wIDYgMC9BdXRvUmVtb3ZlZENvbHVtbnMxLntDb2x1bW43NCw3M30mcXVvdDssJnF1b3Q7U2VjdGlvbjEvbXJvcy12aXNpdDItZGF0YXNldC0wIDYgMC9BdXRvUmVtb3ZlZENvbHVtbnMxLntDb2x1bW43NSw3NH0mcXVvdDssJnF1b3Q7U2VjdGlvbjEvbXJvcy12aXNpdDItZGF0YXNldC0wIDYgMC9BdXRvUmVtb3ZlZENvbHVtbnMxLntDb2x1bW43Niw3NX0mcXVvdDssJnF1b3Q7U2VjdGlvbjEvbXJvcy12aXNpdDItZGF0YXNldC0wIDYgMC9BdXRvUmVtb3ZlZENvbHVtbnMxLntDb2x1bW43Nyw3Nn0mcXVvdDssJnF1b3Q7U2VjdGlvbjEvbXJvcy12aXNpdDItZGF0YXNldC0wIDYgMC9BdXRvUmVtb3ZlZENvbHVtbnMxLntDb2x1bW43OCw3N30mcXVvdDssJnF1b3Q7U2VjdGlvbjEvbXJvcy12aXNpdDItZGF0YXNldC0wIDYgMC9BdXRvUmVtb3ZlZENvbHVtbnMxLntDb2x1bW43OSw3OH0mcXVvdDssJnF1b3Q7U2VjdGlvbjEvbXJvcy12aXNpdDItZGF0YXNldC0wIDYgMC9BdXRvUmVtb3ZlZENvbHVtbnMxLntDb2x1bW44MCw3OX0mcXVvdDssJnF1b3Q7U2VjdGlvbjEvbXJvcy12aXNpdDItZGF0YXNldC0wIDYgMC9BdXRvUmVtb3ZlZENvbHVtbnMxLntDb2x1bW44MSw4MH0mcXVvdDssJnF1b3Q7U2VjdGlvbjEvbXJvcy12aXNpdDItZGF0YXNldC0wIDYgMC9BdXRvUmVtb3ZlZENvbHVtbnMxLntDb2x1bW44Miw4MX0mcXVvdDssJnF1b3Q7U2VjdGlvbjEvbXJvcy12aXNpdDItZGF0YXNldC0wIDYgMC9BdXRvUmVtb3ZlZENvbHVtbnMxLntDb2x1bW44Myw4Mn0mcXVvdDssJnF1b3Q7U2VjdGlvbjEvbXJvcy12aXNpdDItZGF0YXNldC0wIDYgMC9BdXRvUmVtb3ZlZENvbHVtbnMxLntDb2x1bW44NCw4M30mcXVvdDssJnF1b3Q7U2VjdGlvbjEvbXJvcy12aXNpdDItZGF0YXNldC0wIDYgMC9BdXRvUmVtb3ZlZENvbHVtbnMxLntDb2x1bW44NSw4NH0mcXVvdDssJnF1b3Q7U2VjdGlvbjEvbXJvcy12aXNpdDItZGF0YXNldC0wIDYgMC9BdXRvUmVtb3ZlZENvbHVtbnMxLntDb2x1bW44Niw4NX0mcXVvdDssJnF1b3Q7U2VjdGlvbjEvbXJvcy12aXNpdDItZGF0YXNldC0wIDYgMC9BdXRvUmVtb3ZlZENvbHVtbnMxLntDb2x1bW44Nyw4Nn0mcXVvdDssJnF1b3Q7U2VjdGlvbjEvbXJvcy12aXNpdDItZGF0YXNldC0wIDYgMC9BdXRvUmVtb3ZlZENvbHVtbnMxLntDb2x1bW44OCw4N30mcXVvdDssJnF1b3Q7U2VjdGlvbjEvbXJvcy12aXNpdDItZGF0YXNldC0wIDYgMC9BdXRvUmVtb3ZlZENvbHVtbnMxLntDb2x1bW44OSw4OH0mcXVvdDssJnF1b3Q7U2VjdGlvbjEvbXJvcy12aXNpdDItZGF0YXNldC0wIDYgMC9BdXRvUmVtb3ZlZENvbHVtbnMxLntDb2x1bW45MCw4OX0mcXVvdDssJnF1b3Q7U2VjdGlvbjEvbXJvcy12aXNpdDItZGF0YXNldC0wIDYgMC9BdXRvUmVtb3ZlZENvbHVtbnMxLntDb2x1bW45MSw5MH0mcXVvdDssJnF1b3Q7U2VjdGlvbjEvbXJvcy12aXNpdDItZGF0YXNldC0wIDYgMC9BdXRvUmVtb3ZlZENvbHVtbnMxLntDb2x1bW45Miw5MX0mcXVvdDssJnF1b3Q7U2VjdGlvbjEvbXJvcy12aXNpdDItZGF0YXNldC0wIDYgMC9BdXRvUmVtb3ZlZENvbHVtbnMxLntDb2x1bW45Myw5Mn0mcXVvdDssJnF1b3Q7U2VjdGlvbjEvbXJvcy12aXNpdDItZGF0YXNldC0wIDYgMC9BdXRvUmVtb3ZlZENvbHVtbnMxLntDb2x1bW45NCw5M30mcXVvdDssJnF1b3Q7U2VjdGlvbjEvbXJvcy12aXNpdDItZGF0YXNldC0wIDYgMC9BdXRvUmVtb3ZlZENvbHVtbnMxLntDb2x1bW45NSw5NH0mcXVvdDssJnF1b3Q7U2VjdGlvbjEvbXJvcy12aXNpdDItZGF0YXNldC0wIDYgMC9BdXRvUmVtb3ZlZENvbHVtbnMxLntDb2x1bW45Niw5NX0mcXVvdDssJnF1b3Q7U2VjdGlvbjEvbXJvcy12aXNpdDItZGF0YXNldC0wIDYgMC9BdXRvUmVtb3ZlZENvbHVtbnMxLntDb2x1bW45Nyw5Nn0mcXVvdDssJnF1b3Q7U2VjdGlvbjEvbXJvcy12aXNpdDItZGF0YXNldC0wIDYgMC9BdXRvUmVtb3ZlZENvbHVtbnMxLntDb2x1bW45OCw5N30mcXVvdDssJnF1b3Q7U2VjdGlvbjEvbXJvcy12aXNpdDItZGF0YXNldC0wIDYgMC9BdXRvUmVtb3ZlZENvbHVtbnMxLntDb2x1bW45OSw5OH0mcXVvdDssJnF1b3Q7U2VjdGlvbjEvbXJvcy12aXNpdDItZGF0YXNldC0wIDYgMC9BdXRvUmVtb3ZlZENvbHVtbnMxLntDb2x1bW4xMDAsOTl9JnF1b3Q7LCZxdW90O1NlY3Rpb24xL21yb3MtdmlzaXQyLWRhdGFzZXQtMCA2IDAvQXV0b1JlbW92ZWRDb2x1bW5zMS57Q29sdW1uMTAxLDEwMH0mcXVvdDssJnF1b3Q7U2VjdGlvbjEvbXJvcy12aXNpdDItZGF0YXNldC0wIDYgMC9BdXRvUmVtb3ZlZENvbHVtbnMxLntDb2x1bW4xMDIsMTAxfSZxdW90OywmcXVvdDtTZWN0aW9uMS9tcm9zLXZpc2l0Mi1kYXRhc2V0LTAgNiAwL0F1dG9SZW1vdmVkQ29sdW1uczEue0NvbHVtbjEwMywxMDJ9JnF1b3Q7LCZxdW90O1NlY3Rpb24xL21yb3MtdmlzaXQyLWRhdGFzZXQtMCA2IDAvQXV0b1JlbW92ZWRDb2x1bW5zMS57Q29sdW1uMTA0LDEwM30mcXVvdDssJnF1b3Q7U2VjdGlvbjEvbXJvcy12aXNpdDItZGF0YXNldC0wIDYgMC9BdXRvUmVtb3ZlZENvbHVtbnMxLntDb2x1bW4xMDUsMTA0fSZxdW90OywmcXVvdDtTZWN0aW9uMS9tcm9zLXZpc2l0Mi1kYXRhc2V0LTAgNiAwL0F1dG9SZW1vdmVkQ29sdW1uczEue0NvbHVtbjEwNiwxMDV9JnF1b3Q7LCZxdW90O1NlY3Rpb24xL21yb3MtdmlzaXQyLWRhdGFzZXQtMCA2IDAvQXV0b1JlbW92ZWRDb2x1bW5zMS57Q29sdW1uMTA3LDEwNn0mcXVvdDssJnF1b3Q7U2VjdGlvbjEvbXJvcy12aXNpdDItZGF0YXNldC0wIDYgMC9BdXRvUmVtb3ZlZENvbHVtbnMxLntDb2x1bW4xMDgsMTA3fSZxdW90OywmcXVvdDtTZWN0aW9uMS9tcm9zLXZpc2l0Mi1kYXRhc2V0LTAgNiAwL0F1dG9SZW1vdmVkQ29sdW1uczEue0NvbHVtbjEwOSwxMDh9JnF1b3Q7LCZxdW90O1NlY3Rpb24xL21yb3MtdmlzaXQyLWRhdGFzZXQtMCA2IDAvQXV0b1JlbW92ZWRDb2x1bW5zMS57Q29sdW1uMTEwLDEwOX0mcXVvdDssJnF1b3Q7U2VjdGlvbjEvbXJvcy12aXNpdDItZGF0YXNldC0wIDYgMC9BdXRvUmVtb3ZlZENvbHVtbnMxLntDb2x1bW4xMTEsMTEwfSZxdW90OywmcXVvdDtTZWN0aW9uMS9tcm9zLXZpc2l0Mi1kYXRhc2V0LTAgNiAwL0F1dG9SZW1vdmVkQ29sdW1uczEue0NvbHVtbjExMiwxMTF9JnF1b3Q7LCZxdW90O1NlY3Rpb24xL21yb3MtdmlzaXQyLWRhdGFzZXQtMCA2IDAvQXV0b1JlbW92ZWRDb2x1bW5zMS57Q29sdW1uMTEzLDExMn0mcXVvdDssJnF1b3Q7U2VjdGlvbjEvbXJvcy12aXNpdDItZGF0YXNldC0wIDYgMC9BdXRvUmVtb3ZlZENvbHVtbnMxLntDb2x1bW4xMTQsMTEzfSZxdW90OywmcXVvdDtTZWN0aW9uMS9tcm9zLXZpc2l0Mi1kYXRhc2V0LTAgNiAwL0F1dG9SZW1vdmVkQ29sdW1uczEue0NvbHVtbjExNSwxMTR9JnF1b3Q7LCZxdW90O1NlY3Rpb24xL21yb3MtdmlzaXQyLWRhdGFzZXQtMCA2IDAvQXV0b1JlbW92ZWRDb2x1bW5zMS57Q29sdW1uMTE2LDExNX0mcXVvdDssJnF1b3Q7U2VjdGlvbjEvbXJvcy12aXNpdDItZGF0YXNldC0wIDYgMC9BdXRvUmVtb3ZlZENvbHVtbnMxLntDb2x1bW4xMTcsMTE2fSZxdW90OywmcXVvdDtTZWN0aW9uMS9tcm9zLXZpc2l0Mi1kYXRhc2V0LTAgNiAwL0F1dG9SZW1vdmVkQ29sdW1uczEue0NvbHVtbjExOCwxMTd9JnF1b3Q7LCZxdW90O1NlY3Rpb24xL21yb3MtdmlzaXQyLWRhdGFzZXQtMCA2IDAvQXV0b1JlbW92ZWRDb2x1bW5zMS57Q29sdW1uMTE5LDExOH0mcXVvdDssJnF1b3Q7U2VjdGlvbjEvbXJvcy12aXNpdDItZGF0YXNldC0wIDYgMC9BdXRvUmVtb3ZlZENvbHVtbnMxLntDb2x1bW4xMjAsMTE5fSZxdW90OywmcXVvdDtTZWN0aW9uMS9tcm9zLXZpc2l0Mi1kYXRhc2V0LTAgNiAwL0F1dG9SZW1vdmVkQ29sdW1uczEue0NvbHVtbjEyMSwxMjB9JnF1b3Q7LCZxdW90O1NlY3Rpb24xL21yb3MtdmlzaXQyLWRhdGFzZXQtMCA2IDAvQXV0b1JlbW92ZWRDb2x1bW5zMS57Q29sdW1uMTIyLDEyMX0mcXVvdDssJnF1b3Q7U2VjdGlvbjEvbXJvcy12aXNpdDItZGF0YXNldC0wIDYgMC9BdXRvUmVtb3ZlZENvbHVtbnMxLntDb2x1bW4xMjMsMTIyfSZxdW90OywmcXVvdDtTZWN0aW9uMS9tcm9zLXZpc2l0Mi1kYXRhc2V0LTAgNiAwL0F1dG9SZW1vdmVkQ29sdW1uczEue0NvbHVtbjEyNCwxMjN9JnF1b3Q7LCZxdW90O1NlY3Rpb24xL21yb3MtdmlzaXQyLWRhdGFzZXQtMCA2IDAvQXV0b1JlbW92ZWRDb2x1bW5zMS57Q29sdW1uMTI1LDEyNH0mcXVvdDssJnF1b3Q7U2VjdGlvbjEvbXJvcy12aXNpdDItZGF0YXNldC0wIDYgMC9BdXRvUmVtb3ZlZENvbHVtbnMxLntDb2x1bW4xMjYsMTI1fSZxdW90OywmcXVvdDtTZWN0aW9uMS9tcm9zLXZpc2l0Mi1kYXRhc2V0LTAgNiAwL0F1dG9SZW1vdmVkQ29sdW1uczEue0NvbHVtbjEyNywxMjZ9JnF1b3Q7LCZxdW90O1NlY3Rpb24xL21yb3MtdmlzaXQyLWRhdGFzZXQtMCA2IDAvQXV0b1JlbW92ZWRDb2x1bW5zMS57Q29sdW1uMTI4LDEyN30mcXVvdDssJnF1b3Q7U2VjdGlvbjEvbXJvcy12aXNpdDItZGF0YXNldC0wIDYgMC9BdXRvUmVtb3ZlZENvbHVtbnMxLntDb2x1bW4xMjksMTI4fSZxdW90OywmcXVvdDtTZWN0aW9uMS9tcm9zLXZpc2l0Mi1kYXRhc2V0LTAgNiAwL0F1dG9SZW1vdmVkQ29sdW1uczEue0NvbHVtbjEzMCwxMjl9JnF1b3Q7LCZxdW90O1NlY3Rpb24xL21yb3MtdmlzaXQyLWRhdGFzZXQtMCA2IDAvQXV0b1JlbW92ZWRDb2x1bW5zMS57Q29sdW1uMTMxLDEzMH0mcXVvdDssJnF1b3Q7U2VjdGlvbjEvbXJvcy12aXNpdDItZGF0YXNldC0wIDYgMC9BdXRvUmVtb3ZlZENvbHVtbnMxLntDb2x1bW4xMzIsMTMxfSZxdW90OywmcXVvdDtTZWN0aW9uMS9tcm9zLXZpc2l0Mi1kYXRhc2V0LTAgNiAwL0F1dG9SZW1vdmVkQ29sdW1uczEue0NvbHVtbjEzMywxMzJ9JnF1b3Q7LCZxdW90O1NlY3Rpb24xL21yb3MtdmlzaXQyLWRhdGFzZXQtMCA2IDAvQXV0b1JlbW92ZWRDb2x1bW5zMS57Q29sdW1uMTM0LDEzM30mcXVvdDssJnF1b3Q7U2VjdGlvbjEvbXJvcy12aXNpdDItZGF0YXNldC0wIDYgMC9BdXRvUmVtb3ZlZENvbHVtbnMxLntDb2x1bW4xMzUsMTM0fSZxdW90OywmcXVvdDtTZWN0aW9uMS9tcm9zLXZpc2l0Mi1kYXRhc2V0LTAgNiAwL0F1dG9SZW1vdmVkQ29sdW1uczEue0NvbHVtbjEzNiwxMzV9JnF1b3Q7LCZxdW90O1NlY3Rpb24xL21yb3MtdmlzaXQyLWRhdGFzZXQtMCA2IDAvQXV0b1JlbW92ZWRDb2x1bW5zMS57Q29sdW1uMTM3LDEzNn0mcXVvdDssJnF1b3Q7U2VjdGlvbjEvbXJvcy12aXNpdDItZGF0YXNldC0wIDYgMC9BdXRvUmVtb3ZlZENvbHVtbnMxLntDb2x1bW4xMzgsMTM3fSZxdW90OywmcXVvdDtTZWN0aW9uMS9tcm9zLXZpc2l0Mi1kYXRhc2V0LTAgNiAwL0F1dG9SZW1vdmVkQ29sdW1uczEue0NvbHVtbjEzOSwxMzh9JnF1b3Q7LCZxdW90O1NlY3Rpb24xL21yb3MtdmlzaXQyLWRhdGFzZXQtMCA2IDAvQXV0b1JlbW92ZWRDb2x1bW5zMS57Q29sdW1uMTQwLDEzOX0mcXVvdDssJnF1b3Q7U2VjdGlvbjEvbXJvcy12aXNpdDItZGF0YXNldC0wIDYgMC9BdXRvUmVtb3ZlZENvbHVtbnMxLntDb2x1bW4xNDEsMTQwfSZxdW90OywmcXVvdDtTZWN0aW9uMS9tcm9zLXZpc2l0Mi1kYXRhc2V0LTAgNiAwL0F1dG9SZW1vdmVkQ29sdW1uczEue0NvbHVtbjE0MiwxNDF9JnF1b3Q7LCZxdW90O1NlY3Rpb24xL21yb3MtdmlzaXQyLWRhdGFzZXQtMCA2IDAvQXV0b1JlbW92ZWRDb2x1bW5zMS57Q29sdW1uMTQzLDE0Mn0mcXVvdDssJnF1b3Q7U2VjdGlvbjEvbXJvcy12aXNpdDItZGF0YXNldC0wIDYgMC9BdXRvUmVtb3ZlZENvbHVtbnMxLntDb2x1bW4xNDQsMTQzfSZxdW90OywmcXVvdDtTZWN0aW9uMS9tcm9zLXZpc2l0Mi1kYXRhc2V0LTAgNiAwL0F1dG9SZW1vdmVkQ29sdW1uczEue0NvbHVtbjE0NSwxNDR9JnF1b3Q7LCZxdW90O1NlY3Rpb24xL21yb3MtdmlzaXQyLWRhdGFzZXQtMCA2IDAvQXV0b1JlbW92ZWRDb2x1bW5zMS57Q29sdW1uMTQ2LDE0NX0mcXVvdDssJnF1b3Q7U2VjdGlvbjEvbXJvcy12aXNpdDItZGF0YXNldC0wIDYgMC9BdXRvUmVtb3ZlZENvbHVtbnMxLntDb2x1bW4xNDcsMTQ2fSZxdW90OywmcXVvdDtTZWN0aW9uMS9tcm9zLXZpc2l0Mi1kYXRhc2V0LTAgNiAwL0F1dG9SZW1vdmVkQ29sdW1uczEue0NvbHVtbjE0OCwxNDd9JnF1b3Q7LCZxdW90O1NlY3Rpb24xL21yb3MtdmlzaXQyLWRhdGFzZXQtMCA2IDAvQXV0b1JlbW92ZWRDb2x1bW5zMS57Q29sdW1uMTQ5LDE0OH0mcXVvdDssJnF1b3Q7U2VjdGlvbjEvbXJvcy12aXNpdDItZGF0YXNldC0wIDYgMC9BdXRvUmVtb3ZlZENvbHVtbnMxLntDb2x1bW4xNTAsMTQ5fSZxdW90OywmcXVvdDtTZWN0aW9uMS9tcm9zLXZpc2l0Mi1kYXRhc2V0LTAgNiAwL0F1dG9SZW1vdmVkQ29sdW1uczEue0NvbHVtbjE1MSwxNTB9JnF1b3Q7LCZxdW90O1NlY3Rpb24xL21yb3MtdmlzaXQyLWRhdGFzZXQtMCA2IDAvQXV0b1JlbW92ZWRDb2x1bW5zMS57Q29sdW1uMTUyLDE1MX0mcXVvdDssJnF1b3Q7U2VjdGlvbjEvbXJvcy12aXNpdDItZGF0YXNldC0wIDYgMC9BdXRvUmVtb3ZlZENvbHVtbnMxLntDb2x1bW4xNTMsMTUyfSZxdW90OywmcXVvdDtTZWN0aW9uMS9tcm9zLXZpc2l0Mi1kYXRhc2V0LTAgNiAwL0F1dG9SZW1vdmVkQ29sdW1uczEue0NvbHVtbjE1NCwxNTN9JnF1b3Q7LCZxdW90O1NlY3Rpb24xL21yb3MtdmlzaXQyLWRhdGFzZXQtMCA2IDAvQXV0b1JlbW92ZWRDb2x1bW5zMS57Q29sdW1uMTU1LDE1NH0mcXVvdDssJnF1b3Q7U2VjdGlvbjEvbXJvcy12aXNpdDItZGF0YXNldC0wIDYgMC9BdXRvUmVtb3ZlZENvbHVtbnMxLntDb2x1bW4xNTYsMTU1fSZxdW90OywmcXVvdDtTZWN0aW9uMS9tcm9zLXZpc2l0Mi1kYXRhc2V0LTAgNiAwL0F1dG9SZW1vdmVkQ29sdW1uczEue0NvbHVtbjE1NywxNTZ9JnF1b3Q7LCZxdW90O1NlY3Rpb24xL21yb3MtdmlzaXQyLWRhdGFzZXQtMCA2IDAvQXV0b1JlbW92ZWRDb2x1bW5zMS57Q29sdW1uMTU4LDE1N30mcXVvdDssJnF1b3Q7U2VjdGlvbjEvbXJvcy12aXNpdDItZGF0YXNldC0wIDYgMC9BdXRvUmVtb3ZlZENvbHVtbnMxLntDb2x1bW4xNTksMTU4fSZxdW90OywmcXVvdDtTZWN0aW9uMS9tcm9zLXZpc2l0Mi1kYXRhc2V0LTAgNiAwL0F1dG9SZW1vdmVkQ29sdW1uczEue0NvbHVtbjE2MCwxNTl9JnF1b3Q7LCZxdW90O1NlY3Rpb24xL21yb3MtdmlzaXQyLWRhdGFzZXQtMCA2IDAvQXV0b1JlbW92ZWRDb2x1bW5zMS57Q29sdW1uMTYxLDE2MH0mcXVvdDssJnF1b3Q7U2VjdGlvbjEvbXJvcy12aXNpdDItZGF0YXNldC0wIDYgMC9BdXRvUmVtb3ZlZENvbHVtbnMxLntDb2x1bW4xNjIsMTYxfSZxdW90OywmcXVvdDtTZWN0aW9uMS9tcm9zLXZpc2l0Mi1kYXRhc2V0LTAgNiAwL0F1dG9SZW1vdmVkQ29sdW1uczEue0NvbHVtbjE2MywxNjJ9JnF1b3Q7LCZxdW90O1NlY3Rpb24xL21yb3MtdmlzaXQyLWRhdGFzZXQtMCA2IDAvQXV0b1JlbW92ZWRDb2x1bW5zMS57Q29sdW1uMTY0LDE2M30mcXVvdDssJnF1b3Q7U2VjdGlvbjEvbXJvcy12aXNpdDItZGF0YXNldC0wIDYgMC9BdXRvUmVtb3ZlZENvbHVtbnMxLntDb2x1bW4xNjUsMTY0fSZxdW90OywmcXVvdDtTZWN0aW9uMS9tcm9zLXZpc2l0Mi1kYXRhc2V0LTAgNiAwL0F1dG9SZW1vdmVkQ29sdW1uczEue0NvbHVtbjE2NiwxNjV9JnF1b3Q7LCZxdW90O1NlY3Rpb24xL21yb3MtdmlzaXQyLWRhdGFzZXQtMCA2IDAvQXV0b1JlbW92ZWRDb2x1bW5zMS57Q29sdW1uMTY3LDE2Nn0mcXVvdDssJnF1b3Q7U2VjdGlvbjEvbXJvcy12aXNpdDItZGF0YXNldC0wIDYgMC9BdXRvUmVtb3ZlZENvbHVtbnMxLntDb2x1bW4xNjgsMTY3fSZxdW90OywmcXVvdDtTZWN0aW9uMS9tcm9zLXZpc2l0Mi1kYXRhc2V0LTAgNiAwL0F1dG9SZW1vdmVkQ29sdW1uczEue0NvbHVtbjE2OSwxNjh9JnF1b3Q7LCZxdW90O1NlY3Rpb24xL21yb3MtdmlzaXQyLWRhdGFzZXQtMCA2IDAvQXV0b1JlbW92ZWRDb2x1bW5zMS57Q29sdW1uMTcwLDE2OX0mcXVvdDssJnF1b3Q7U2VjdGlvbjEvbXJvcy12aXNpdDItZGF0YXNldC0wIDYgMC9BdXRvUmVtb3ZlZENvbHVtbnMxLntDb2x1bW4xNzEsMTcwfSZxdW90OywmcXVvdDtTZWN0aW9uMS9tcm9zLXZpc2l0Mi1kYXRhc2V0LTAgNiAwL0F1dG9SZW1vdmVkQ29sdW1uczEue0NvbHVtbjE3MiwxNzF9JnF1b3Q7LCZxdW90O1NlY3Rpb24xL21yb3MtdmlzaXQyLWRhdGFzZXQtMCA2IDAvQXV0b1JlbW92ZWRDb2x1bW5zMS57Q29sdW1uMTczLDE3Mn0mcXVvdDssJnF1b3Q7U2VjdGlvbjEvbXJvcy12aXNpdDItZGF0YXNldC0wIDYgMC9BdXRvUmVtb3ZlZENvbHVtbnMxLntDb2x1bW4xNzQsMTczfSZxdW90OywmcXVvdDtTZWN0aW9uMS9tcm9zLXZpc2l0Mi1kYXRhc2V0LTAgNiAwL0F1dG9SZW1vdmVkQ29sdW1uczEue0NvbHVtbjE3NSwxNzR9JnF1b3Q7LCZxdW90O1NlY3Rpb24xL21yb3MtdmlzaXQyLWRhdGFzZXQtMCA2IDAvQXV0b1JlbW92ZWRDb2x1bW5zMS57Q29sdW1uMTc2LDE3NX0mcXVvdDssJnF1b3Q7U2VjdGlvbjEvbXJvcy12aXNpdDItZGF0YXNldC0wIDYgMC9BdXRvUmVtb3ZlZENvbHVtbnMxLntDb2x1bW4xNzcsMTc2fSZxdW90OywmcXVvdDtTZWN0aW9uMS9tcm9zLXZpc2l0Mi1kYXRhc2V0LTAgNiAwL0F1dG9SZW1vdmVkQ29sdW1uczEue0NvbHVtbjE3OCwxNzd9JnF1b3Q7LCZxdW90O1NlY3Rpb24xL21yb3MtdmlzaXQyLWRhdGFzZXQtMCA2IDAvQXV0b1JlbW92ZWRDb2x1bW5zMS57Q29sdW1uMTc5LDE3OH0mcXVvdDssJnF1b3Q7U2VjdGlvbjEvbXJvcy12aXNpdDItZGF0YXNldC0wIDYgMC9BdXRvUmVtb3ZlZENvbHVtbnMxLntDb2x1bW4xODAsMTc5fSZxdW90OywmcXVvdDtTZWN0aW9uMS9tcm9zLXZpc2l0Mi1kYXRhc2V0LTAgNiAwL0F1dG9SZW1vdmVkQ29sdW1uczEue0NvbHVtbjE4MSwxODB9JnF1b3Q7LCZxdW90O1NlY3Rpb24xL21yb3MtdmlzaXQyLWRhdGFzZXQtMCA2IDAvQXV0b1JlbW92ZWRDb2x1bW5zMS57Q29sdW1uMTgyLDE4MX0mcXVvdDssJnF1b3Q7U2VjdGlvbjEvbXJvcy12aXNpdDItZGF0YXNldC0wIDYgMC9BdXRvUmVtb3ZlZENvbHVtbnMxLntDb2x1bW4xODMsMTgyfSZxdW90OywmcXVvdDtTZWN0aW9uMS9tcm9zLXZpc2l0Mi1kYXRhc2V0LTAgNiAwL0F1dG9SZW1vdmVkQ29sdW1uczEue0NvbHVtbjE4NCwxODN9JnF1b3Q7LCZxdW90O1NlY3Rpb24xL21yb3MtdmlzaXQyLWRhdGFzZXQtMCA2IDAvQXV0b1JlbW92ZWRDb2x1bW5zMS57Q29sdW1uMTg1LDE4NH0mcXVvdDssJnF1b3Q7U2VjdGlvbjEvbXJvcy12aXNpdDItZGF0YXNldC0wIDYgMC9BdXRvUmVtb3ZlZENvbHVtbnMxLntDb2x1bW4xODYsMTg1fSZxdW90OywmcXVvdDtTZWN0aW9uMS9tcm9zLXZpc2l0Mi1kYXRhc2V0LTAgNiAwL0F1dG9SZW1vdmVkQ29sdW1uczEue0NvbHVtbjE4NywxODZ9JnF1b3Q7LCZxdW90O1NlY3Rpb24xL21yb3MtdmlzaXQyLWRhdGFzZXQtMCA2IDAvQXV0b1JlbW92ZWRDb2x1bW5zMS57Q29sdW1uMTg4LDE4N30mcXVvdDssJnF1b3Q7U2VjdGlvbjEvbXJvcy12aXNpdDItZGF0YXNldC0wIDYgMC9BdXRvUmVtb3ZlZENvbHVtbnMxLntDb2x1bW4xODksMTg4fSZxdW90OywmcXVvdDtTZWN0aW9uMS9tcm9zLXZpc2l0Mi1kYXRhc2V0LTAgNiAwL0F1dG9SZW1vdmVkQ29sdW1uczEue0NvbHVtbjE5MCwxODl9JnF1b3Q7LCZxdW90O1NlY3Rpb24xL21yb3MtdmlzaXQyLWRhdGFzZXQtMCA2IDAvQXV0b1JlbW92ZWRDb2x1bW5zMS57Q29sdW1uMTkxLDE5MH0mcXVvdDssJnF1b3Q7U2VjdGlvbjEvbXJvcy12aXNpdDItZGF0YXNldC0wIDYgMC9BdXRvUmVtb3ZlZENvbHVtbnMxLntDb2x1bW4xOTIsMTkxfSZxdW90OywmcXVvdDtTZWN0aW9uMS9tcm9zLXZpc2l0Mi1kYXRhc2V0LTAgNiAwL0F1dG9SZW1vdmVkQ29sdW1uczEue0NvbHVtbjE5MywxOTJ9JnF1b3Q7LCZxdW90O1NlY3Rpb24xL21yb3MtdmlzaXQyLWRhdGFzZXQtMCA2IDAvQXV0b1JlbW92ZWRDb2x1bW5zMS57Q29sdW1uMTk0LDE5M30mcXVvdDssJnF1b3Q7U2VjdGlvbjEvbXJvcy12aXNpdDItZGF0YXNldC0wIDYgMC9BdXRvUmVtb3ZlZENvbHVtbnMxLntDb2x1bW4xOTUsMTk0fSZxdW90OywmcXVvdDtTZWN0aW9uMS9tcm9zLXZpc2l0Mi1kYXRhc2V0LTAgNiAwL0F1dG9SZW1vdmVkQ29sdW1uczEue0NvbHVtbjE5NiwxOTV9JnF1b3Q7LCZxdW90O1NlY3Rpb24xL21yb3MtdmlzaXQyLWRhdGFzZXQtMCA2IDAvQXV0b1JlbW92ZWRDb2x1bW5zMS57Q29sdW1uMTk3LDE5Nn0mcXVvdDssJnF1b3Q7U2VjdGlvbjEvbXJvcy12aXNpdDItZGF0YXNldC0wIDYgMC9BdXRvUmVtb3ZlZENvbHVtbnMxLntDb2x1bW4xOTgsMTk3fSZxdW90OywmcXVvdDtTZWN0aW9uMS9tcm9zLXZpc2l0Mi1kYXRhc2V0LTAgNiAwL0F1dG9SZW1vdmVkQ29sdW1uczEue0NvbHVtbjE5OSwxOTh9JnF1b3Q7LCZxdW90O1NlY3Rpb24xL21yb3MtdmlzaXQyLWRhdGFzZXQtMCA2IDAvQXV0b1JlbW92ZWRDb2x1bW5zMS57Q29sdW1uMjAwLDE5OX0mcXVvdDssJnF1b3Q7U2VjdGlvbjEvbXJvcy12aXNpdDItZGF0YXNldC0wIDYgMC9BdXRvUmVtb3ZlZENvbHVtbnMxLntDb2x1bW4yMDEsMjAwfSZxdW90OywmcXVvdDtTZWN0aW9uMS9tcm9zLXZpc2l0Mi1kYXRhc2V0LTAgNiAwL0F1dG9SZW1vdmVkQ29sdW1uczEue0NvbHVtbjIwMiwyMDF9JnF1b3Q7LCZxdW90O1NlY3Rpb24xL21yb3MtdmlzaXQyLWRhdGFzZXQtMCA2IDAvQXV0b1JlbW92ZWRDb2x1bW5zMS57Q29sdW1uMjAzLDIwMn0mcXVvdDssJnF1b3Q7U2VjdGlvbjEvbXJvcy12aXNpdDItZGF0YXNldC0wIDYgMC9BdXRvUmVtb3ZlZENvbHVtbnMxLntDb2x1bW4yMDQsMjAzfSZxdW90OywmcXVvdDtTZWN0aW9uMS9tcm9zLXZpc2l0Mi1kYXRhc2V0LTAgNiAwL0F1dG9SZW1vdmVkQ29sdW1uczEue0NvbHVtbjIwNSwyMDR9JnF1b3Q7LCZxdW90O1NlY3Rpb24xL21yb3MtdmlzaXQyLWRhdGFzZXQtMCA2IDAvQXV0b1JlbW92ZWRDb2x1bW5zMS57Q29sdW1uMjA2LDIwNX0mcXVvdDssJnF1b3Q7U2VjdGlvbjEvbXJvcy12aXNpdDItZGF0YXNldC0wIDYgMC9BdXRvUmVtb3ZlZENvbHVtbnMxLntDb2x1bW4yMDcsMjA2fSZxdW90OywmcXVvdDtTZWN0aW9uMS9tcm9zLXZpc2l0Mi1kYXRhc2V0LTAgNiAwL0F1dG9SZW1vdmVkQ29sdW1uczEue0NvbHVtbjIwOCwyMDd9JnF1b3Q7LCZxdW90O1NlY3Rpb24xL21yb3MtdmlzaXQyLWRhdGFzZXQtMCA2IDAvQXV0b1JlbW92ZWRDb2x1bW5zMS57Q29sdW1uMjA5LDIwOH0mcXVvdDssJnF1b3Q7U2VjdGlvbjEvbXJvcy12aXNpdDItZGF0YXNldC0wIDYgMC9BdXRvUmVtb3ZlZENvbHVtbnMxLntDb2x1bW4yMTAsMjA5fSZxdW90OywmcXVvdDtTZWN0aW9uMS9tcm9zLXZpc2l0Mi1kYXRhc2V0LTAgNiAwL0F1dG9SZW1vdmVkQ29sdW1uczEue0NvbHVtbjIxMSwyMTB9JnF1b3Q7LCZxdW90O1NlY3Rpb24xL21yb3MtdmlzaXQyLWRhdGFzZXQtMCA2IDAvQXV0b1JlbW92ZWRDb2x1bW5zMS57Q29sdW1uMjEyLDIxMX0mcXVvdDssJnF1b3Q7U2VjdGlvbjEvbXJvcy12aXNpdDItZGF0YXNldC0wIDYgMC9BdXRvUmVtb3ZlZENvbHVtbnMxLntDb2x1bW4yMTMsMjEyfSZxdW90OywmcXVvdDtTZWN0aW9uMS9tcm9zLXZpc2l0Mi1kYXRhc2V0LTAgNiAwL0F1dG9SZW1vdmVkQ29sdW1uczEue0NvbHVtbjIxNCwyMTN9JnF1b3Q7LCZxdW90O1NlY3Rpb24xL21yb3MtdmlzaXQyLWRhdGFzZXQtMCA2IDAvQXV0b1JlbW92ZWRDb2x1bW5zMS57Q29sdW1uMjE1LDIxNH0mcXVvdDssJnF1b3Q7U2VjdGlvbjEvbXJvcy12aXNpdDItZGF0YXNldC0wIDYgMC9BdXRvUmVtb3ZlZENvbHVtbnMxLntDb2x1bW4yMTYsMjE1fSZxdW90OywmcXVvdDtTZWN0aW9uMS9tcm9zLXZpc2l0Mi1kYXRhc2V0LTAgNiAwL0F1dG9SZW1vdmVkQ29sdW1uczEue0NvbHVtbjIxNywyMTZ9JnF1b3Q7LCZxdW90O1NlY3Rpb24xL21yb3MtdmlzaXQyLWRhdGFzZXQtMCA2IDAvQXV0b1JlbW92ZWRDb2x1bW5zMS57Q29sdW1uMjE4LDIxN30mcXVvdDssJnF1b3Q7U2VjdGlvbjEvbXJvcy12aXNpdDItZGF0YXNldC0wIDYgMC9BdXRvUmVtb3ZlZENvbHVtbnMxLntDb2x1bW4yMTksMjE4fSZxdW90OywmcXVvdDtTZWN0aW9uMS9tcm9zLXZpc2l0Mi1kYXRhc2V0LTAgNiAwL0F1dG9SZW1vdmVkQ29sdW1uczEue0NvbHVtbjIyMCwyMTl9JnF1b3Q7LCZxdW90O1NlY3Rpb24xL21yb3MtdmlzaXQyLWRhdGFzZXQtMCA2IDAvQXV0b1JlbW92ZWRDb2x1bW5zMS57Q29sdW1uMjIxLDIyMH0mcXVvdDssJnF1b3Q7U2VjdGlvbjEvbXJvcy12aXNpdDItZGF0YXNldC0wIDYgMC9BdXRvUmVtb3ZlZENvbHVtbnMxLntDb2x1bW4yMjIsMjIxfSZxdW90OywmcXVvdDtTZWN0aW9uMS9tcm9zLXZpc2l0Mi1kYXRhc2V0LTAgNiAwL0F1dG9SZW1vdmVkQ29sdW1uczEue0NvbHVtbjIyMywyMjJ9JnF1b3Q7LCZxdW90O1NlY3Rpb24xL21yb3MtdmlzaXQyLWRhdGFzZXQtMCA2IDAvQXV0b1JlbW92ZWRDb2x1bW5zMS57Q29sdW1uMjI0LDIyM30mcXVvdDssJnF1b3Q7U2VjdGlvbjEvbXJvcy12aXNpdDItZGF0YXNldC0wIDYgMC9BdXRvUmVtb3ZlZENvbHVtbnMxLntDb2x1bW4yMjUsMjI0fSZxdW90OywmcXVvdDtTZWN0aW9uMS9tcm9zLXZpc2l0Mi1kYXRhc2V0LTAgNiAwL0F1dG9SZW1vdmVkQ29sdW1uczEue0NvbHVtbjIyNiwyMjV9JnF1b3Q7LCZxdW90O1NlY3Rpb24xL21yb3MtdmlzaXQyLWRhdGFzZXQtMCA2IDAvQXV0b1JlbW92ZWRDb2x1bW5zMS57Q29sdW1uMjI3LDIyNn0mcXVvdDssJnF1b3Q7U2VjdGlvbjEvbXJvcy12aXNpdDItZGF0YXNldC0wIDYgMC9BdXRvUmVtb3ZlZENvbHVtbnMxLntDb2x1bW4yMjgsMjI3fSZxdW90OywmcXVvdDtTZWN0aW9uMS9tcm9zLXZpc2l0Mi1kYXRhc2V0LTAgNiAwL0F1dG9SZW1vdmVkQ29sdW1uczEue0NvbHVtbjIyOSwyMjh9JnF1b3Q7LCZxdW90O1NlY3Rpb24xL21yb3MtdmlzaXQyLWRhdGFzZXQtMCA2IDAvQXV0b1JlbW92ZWRDb2x1bW5zMS57Q29sdW1uMjMwLDIyOX0mcXVvdDssJnF1b3Q7U2VjdGlvbjEvbXJvcy12aXNpdDItZGF0YXNldC0wIDYgMC9BdXRvUmVtb3ZlZENvbHVtbnMxLntDb2x1bW4yMzEsMjMwfSZxdW90OywmcXVvdDtTZWN0aW9uMS9tcm9zLXZpc2l0Mi1kYXRhc2V0LTAgNiAwL0F1dG9SZW1vdmVkQ29sdW1uczEue0NvbHVtbjIzMiwyMzF9JnF1b3Q7LCZxdW90O1NlY3Rpb24xL21yb3MtdmlzaXQyLWRhdGFzZXQtMCA2IDAvQXV0b1JlbW92ZWRDb2x1bW5zMS57Q29sdW1uMjMzLDIzMn0mcXVvdDssJnF1b3Q7U2VjdGlvbjEvbXJvcy12aXNpdDItZGF0YXNldC0wIDYgMC9BdXRvUmVtb3ZlZENvbHVtbnMxLntDb2x1bW4yMzQsMjMzfSZxdW90OywmcXVvdDtTZWN0aW9uMS9tcm9zLXZpc2l0Mi1kYXRhc2V0LTAgNiAwL0F1dG9SZW1vdmVkQ29sdW1uczEue0NvbHVtbjIzNSwyMzR9JnF1b3Q7LCZxdW90O1NlY3Rpb24xL21yb3MtdmlzaXQyLWRhdGFzZXQtMCA2IDAvQXV0b1JlbW92ZWRDb2x1bW5zMS57Q29sdW1uMjM2LDIzNX0mcXVvdDssJnF1b3Q7U2VjdGlvbjEvbXJvcy12aXNpdDItZGF0YXNldC0wIDYgMC9BdXRvUmVtb3ZlZENvbHVtbnMxLntDb2x1bW4yMzcsMjM2fSZxdW90OywmcXVvdDtTZWN0aW9uMS9tcm9zLXZpc2l0Mi1kYXRhc2V0LTAgNiAwL0F1dG9SZW1vdmVkQ29sdW1uczEue0NvbHVtbjIzOCwyMzd9JnF1b3Q7LCZxdW90O1NlY3Rpb24xL21yb3MtdmlzaXQyLWRhdGFzZXQtMCA2IDAvQXV0b1JlbW92ZWRDb2x1bW5zMS57Q29sdW1uMjM5LDIzOH0mcXVvdDssJnF1b3Q7U2VjdGlvbjEvbXJvcy12aXNpdDItZGF0YXNldC0wIDYgMC9BdXRvUmVtb3ZlZENvbHVtbnMxLntDb2x1bW4yNDAsMjM5fSZxdW90OywmcXVvdDtTZWN0aW9uMS9tcm9zLXZpc2l0Mi1kYXRhc2V0LTAgNiAwL0F1dG9SZW1vdmVkQ29sdW1uczEue0NvbHVtbjI0MSwyNDB9JnF1b3Q7LCZxdW90O1NlY3Rpb24xL21yb3MtdmlzaXQyLWRhdGFzZXQtMCA2IDAvQXV0b1JlbW92ZWRDb2x1bW5zMS57Q29sdW1uMjQyLDI0MX0mcXVvdDssJnF1b3Q7U2VjdGlvbjEvbXJvcy12aXNpdDItZGF0YXNldC0wIDYgMC9BdXRvUmVtb3ZlZENvbHVtbnMxLntDb2x1bW4yNDMsMjQyfSZxdW90OywmcXVvdDtTZWN0aW9uMS9tcm9zLXZpc2l0Mi1kYXRhc2V0LTAgNiAwL0F1dG9SZW1vdmVkQ29sdW1uczEue0NvbHVtbjI0NCwyNDN9JnF1b3Q7LCZxdW90O1NlY3Rpb24xL21yb3MtdmlzaXQyLWRhdGFzZXQtMCA2IDAvQXV0b1JlbW92ZWRDb2x1bW5zMS57Q29sdW1uMjQ1LDI0NH0mcXVvdDssJnF1b3Q7U2VjdGlvbjEvbXJvcy12aXNpdDItZGF0YXNldC0wIDYgMC9BdXRvUmVtb3ZlZENvbHVtbnMxLntDb2x1bW4yNDYsMjQ1fSZxdW90OywmcXVvdDtTZWN0aW9uMS9tcm9zLXZpc2l0Mi1kYXRhc2V0LTAgNiAwL0F1dG9SZW1vdmVkQ29sdW1uczEue0NvbHVtbjI0NywyNDZ9JnF1b3Q7LCZxdW90O1NlY3Rpb24xL21yb3MtdmlzaXQyLWRhdGFzZXQtMCA2IDAvQXV0b1JlbW92ZWRDb2x1bW5zMS57Q29sdW1uMjQ4LDI0N30mcXVvdDssJnF1b3Q7U2VjdGlvbjEvbXJvcy12aXNpdDItZGF0YXNldC0wIDYgMC9BdXRvUmVtb3ZlZENvbHVtbnMxLntDb2x1bW4yNDksMjQ4fSZxdW90OywmcXVvdDtTZWN0aW9uMS9tcm9zLXZpc2l0Mi1kYXRhc2V0LTAgNiAwL0F1dG9SZW1vdmVkQ29sdW1uczEue0NvbHVtbjI1MCwyNDl9JnF1b3Q7LCZxdW90O1NlY3Rpb24xL21yb3MtdmlzaXQyLWRhdGFzZXQtMCA2IDAvQXV0b1JlbW92ZWRDb2x1bW5zMS57Q29sdW1uMjUxLDI1MH0mcXVvdDssJnF1b3Q7U2VjdGlvbjEvbXJvcy12aXNpdDItZGF0YXNldC0wIDYgMC9BdXRvUmVtb3ZlZENvbHVtbnMxLntDb2x1bW4yNTIsMjUxfSZxdW90OywmcXVvdDtTZWN0aW9uMS9tcm9zLXZpc2l0Mi1kYXRhc2V0LTAgNiAwL0F1dG9SZW1vdmVkQ29sdW1uczEue0NvbHVtbjI1MywyNTJ9JnF1b3Q7LCZxdW90O1NlY3Rpb24xL21yb3MtdmlzaXQyLWRhdGFzZXQtMCA2IDAvQXV0b1JlbW92ZWRDb2x1bW5zMS57Q29sdW1uMjU0LDI1M30mcXVvdDssJnF1b3Q7U2VjdGlvbjEvbXJvcy12aXNpdDItZGF0YXNldC0wIDYgMC9BdXRvUmVtb3ZlZENvbHVtbnMxLntDb2x1bW4yNTUsMjU0fSZxdW90OywmcXVvdDtTZWN0aW9uMS9tcm9zLXZpc2l0Mi1kYXRhc2V0LTAgNiAwL0F1dG9SZW1vdmVkQ29sdW1uczEue0NvbHVtbjI1NiwyNTV9JnF1b3Q7LCZxdW90O1NlY3Rpb24xL21yb3MtdmlzaXQyLWRhdGFzZXQtMCA2IDAvQXV0b1JlbW92ZWRDb2x1bW5zMS57Q29sdW1uMjU3LDI1Nn0mcXVvdDssJnF1b3Q7U2VjdGlvbjEvbXJvcy12aXNpdDItZGF0YXNldC0wIDYgMC9BdXRvUmVtb3ZlZENvbHVtbnMxLntDb2x1bW4yNTgsMjU3fSZxdW90OywmcXVvdDtTZWN0aW9uMS9tcm9zLXZpc2l0Mi1kYXRhc2V0LTAgNiAwL0F1dG9SZW1vdmVkQ29sdW1uczEue0NvbHVtbjI1OSwyNTh9JnF1b3Q7LCZxdW90O1NlY3Rpb24xL21yb3MtdmlzaXQyLWRhdGFzZXQtMCA2IDAvQXV0b1JlbW92ZWRDb2x1bW5zMS57Q29sdW1uMjYwLDI1OX0mcXVvdDssJnF1b3Q7U2VjdGlvbjEvbXJvcy12aXNpdDItZGF0YXNldC0wIDYgMC9BdXRvUmVtb3ZlZENvbHVtbnMxLntDb2x1bW4yNjEsMjYwfSZxdW90OywmcXVvdDtTZWN0aW9uMS9tcm9zLXZpc2l0Mi1kYXRhc2V0LTAgNiAwL0F1dG9SZW1vdmVkQ29sdW1uczEue0NvbHVtbjI2MiwyNjF9JnF1b3Q7LCZxdW90O1NlY3Rpb24xL21yb3MtdmlzaXQyLWRhdGFzZXQtMCA2IDAvQXV0b1JlbW92ZWRDb2x1bW5zMS57Q29sdW1uMjYzLDI2Mn0mcXVvdDssJnF1b3Q7U2VjdGlvbjEvbXJvcy12aXNpdDItZGF0YXNldC0wIDYgMC9BdXRvUmVtb3ZlZENvbHVtbnMxLntDb2x1bW4yNjQsMjYzfSZxdW90OywmcXVvdDtTZWN0aW9uMS9tcm9zLXZpc2l0Mi1kYXRhc2V0LTAgNiAwL0F1dG9SZW1vdmVkQ29sdW1uczEue0NvbHVtbjI2NSwyNjR9JnF1b3Q7LCZxdW90O1NlY3Rpb24xL21yb3MtdmlzaXQyLWRhdGFzZXQtMCA2IDAvQXV0b1JlbW92ZWRDb2x1bW5zMS57Q29sdW1uMjY2LDI2NX0mcXVvdDssJnF1b3Q7U2VjdGlvbjEvbXJvcy12aXNpdDItZGF0YXNldC0wIDYgMC9BdXRvUmVtb3ZlZENvbHVtbnMxLntDb2x1bW4yNjcsMjY2fSZxdW90OywmcXVvdDtTZWN0aW9uMS9tcm9zLXZpc2l0Mi1kYXRhc2V0LTAgNiAwL0F1dG9SZW1vdmVkQ29sdW1uczEue0NvbHVtbjI2OCwyNjd9JnF1b3Q7LCZxdW90O1NlY3Rpb24xL21yb3MtdmlzaXQyLWRhdGFzZXQtMCA2IDAvQXV0b1JlbW92ZWRDb2x1bW5zMS57Q29sdW1uMjY5LDI2OH0mcXVvdDssJnF1b3Q7U2VjdGlvbjEvbXJvcy12aXNpdDItZGF0YXNldC0wIDYgMC9BdXRvUmVtb3ZlZENvbHVtbnMxLntDb2x1bW4yNzAsMjY5fSZxdW90OywmcXVvdDtTZWN0aW9uMS9tcm9zLXZpc2l0Mi1kYXRhc2V0LTAgNiAwL0F1dG9SZW1vdmVkQ29sdW1uczEue0NvbHVtbjI3MSwyNzB9JnF1b3Q7LCZxdW90O1NlY3Rpb24xL21yb3MtdmlzaXQyLWRhdGFzZXQtMCA2IDAvQXV0b1JlbW92ZWRDb2x1bW5zMS57Q29sdW1uMjcyLDI3MX0mcXVvdDssJnF1b3Q7U2VjdGlvbjEvbXJvcy12aXNpdDItZGF0YXNldC0wIDYgMC9BdXRvUmVtb3ZlZENvbHVtbnMxLntDb2x1bW4yNzMsMjcyfSZxdW90OywmcXVvdDtTZWN0aW9uMS9tcm9zLXZpc2l0Mi1kYXRhc2V0LTAgNiAwL0F1dG9SZW1vdmVkQ29sdW1uczEue0NvbHVtbjI3NCwyNzN9JnF1b3Q7LCZxdW90O1NlY3Rpb24xL21yb3MtdmlzaXQyLWRhdGFzZXQtMCA2IDAvQXV0b1JlbW92ZWRDb2x1bW5zMS57Q29sdW1uMjc1LDI3NH0mcXVvdDssJnF1b3Q7U2VjdGlvbjEvbXJvcy12aXNpdDItZGF0YXNldC0wIDYgMC9BdXRvUmVtb3ZlZENvbHVtbnMxLntDb2x1bW4yNzYsMjc1fSZxdW90OywmcXVvdDtTZWN0aW9uMS9tcm9zLXZpc2l0Mi1kYXRhc2V0LTAgNiAwL0F1dG9SZW1vdmVkQ29sdW1uczEue0NvbHVtbjI3NywyNzZ9JnF1b3Q7LCZxdW90O1NlY3Rpb24xL21yb3MtdmlzaXQyLWRhdGFzZXQtMCA2IDAvQXV0b1JlbW92ZWRDb2x1bW5zMS57Q29sdW1uMjc4LDI3N30mcXVvdDssJnF1b3Q7U2VjdGlvbjEvbXJvcy12aXNpdDItZGF0YXNldC0wIDYgMC9BdXRvUmVtb3ZlZENvbHVtbnMxLntDb2x1bW4yNzksMjc4fSZxdW90OywmcXVvdDtTZWN0aW9uMS9tcm9zLXZpc2l0Mi1kYXRhc2V0LTAgNiAwL0F1dG9SZW1vdmVkQ29sdW1uczEue0NvbHVtbjI4MCwyNzl9JnF1b3Q7LCZxdW90O1NlY3Rpb24xL21yb3MtdmlzaXQyLWRhdGFzZXQtMCA2IDAvQXV0b1JlbW92ZWRDb2x1bW5zMS57Q29sdW1uMjgxLDI4MH0mcXVvdDssJnF1b3Q7U2VjdGlvbjEvbXJvcy12aXNpdDItZGF0YXNldC0wIDYgMC9BdXRvUmVtb3ZlZENvbHVtbnMxLntDb2x1bW4yODIsMjgxfSZxdW90OywmcXVvdDtTZWN0aW9uMS9tcm9zLXZpc2l0Mi1kYXRhc2V0LTAgNiAwL0F1dG9SZW1vdmVkQ29sdW1uczEue0NvbHVtbjI4MywyODJ9JnF1b3Q7LCZxdW90O1NlY3Rpb24xL21yb3MtdmlzaXQyLWRhdGFzZXQtMCA2IDAvQXV0b1JlbW92ZWRDb2x1bW5zMS57Q29sdW1uMjg0LDI4M30mcXVvdDssJnF1b3Q7U2VjdGlvbjEvbXJvcy12aXNpdDItZGF0YXNldC0wIDYgMC9BdXRvUmVtb3ZlZENvbHVtbnMxLntDb2x1bW4yODUsMjg0fSZxdW90OywmcXVvdDtTZWN0aW9uMS9tcm9zLXZpc2l0Mi1kYXRhc2V0LTAgNiAwL0F1dG9SZW1vdmVkQ29sdW1uczEue0NvbHVtbjI4NiwyODV9JnF1b3Q7LCZxdW90O1NlY3Rpb24xL21yb3MtdmlzaXQyLWRhdGFzZXQtMCA2IDAvQXV0b1JlbW92ZWRDb2x1bW5zMS57Q29sdW1uMjg3LDI4Nn0mcXVvdDssJnF1b3Q7U2VjdGlvbjEvbXJvcy12aXNpdDItZGF0YXNldC0wIDYgMC9BdXRvUmVtb3ZlZENvbHVtbnMxLntDb2x1bW4yODgsMjg3fSZxdW90OywmcXVvdDtTZWN0aW9uMS9tcm9zLXZpc2l0Mi1kYXRhc2V0LTAgNiAwL0F1dG9SZW1vdmVkQ29sdW1uczEue0NvbHVtbjI4OSwyODh9JnF1b3Q7LCZxdW90O1NlY3Rpb24xL21yb3MtdmlzaXQyLWRhdGFzZXQtMCA2IDAvQXV0b1JlbW92ZWRDb2x1bW5zMS57Q29sdW1uMjkwLDI4OX0mcXVvdDssJnF1b3Q7U2VjdGlvbjEvbXJvcy12aXNpdDItZGF0YXNldC0wIDYgMC9BdXRvUmVtb3ZlZENvbHVtbnMxLntDb2x1bW4yOTEsMjkwfSZxdW90OywmcXVvdDtTZWN0aW9uMS9tcm9zLXZpc2l0Mi1kYXRhc2V0LTAgNiAwL0F1dG9SZW1vdmVkQ29sdW1uczEue0NvbHVtbjI5MiwyOTF9JnF1b3Q7LCZxdW90O1NlY3Rpb24xL21yb3MtdmlzaXQyLWRhdGFzZXQtMCA2IDAvQXV0b1JlbW92ZWRDb2x1bW5zMS57Q29sdW1uMjkzLDI5Mn0mcXVvdDssJnF1b3Q7U2VjdGlvbjEvbXJvcy12aXNpdDItZGF0YXNldC0wIDYgMC9BdXRvUmVtb3ZlZENvbHVtbnMxLntDb2x1bW4yOTQsMjkzfSZxdW90OywmcXVvdDtTZWN0aW9uMS9tcm9zLXZpc2l0Mi1kYXRhc2V0LTAgNiAwL0F1dG9SZW1vdmVkQ29sdW1uczEue0NvbHVtbjI5NSwyOTR9JnF1b3Q7LCZxdW90O1NlY3Rpb24xL21yb3MtdmlzaXQyLWRhdGFzZXQtMCA2IDAvQXV0b1JlbW92ZWRDb2x1bW5zMS57Q29sdW1uMjk2LDI5NX0mcXVvdDssJnF1b3Q7U2VjdGlvbjEvbXJvcy12aXNpdDItZGF0YXNldC0wIDYgMC9BdXRvUmVtb3ZlZENvbHVtbnMxLntDb2x1bW4yOTcsMjk2fSZxdW90OywmcXVvdDtTZWN0aW9uMS9tcm9zLXZpc2l0Mi1kYXRhc2V0LTAgNiAwL0F1dG9SZW1vdmVkQ29sdW1uczEue0NvbHVtbjI5OCwyOTd9JnF1b3Q7LCZxdW90O1NlY3Rpb24xL21yb3MtdmlzaXQyLWRhdGFzZXQtMCA2IDAvQXV0b1JlbW92ZWRDb2x1bW5zMS57Q29sdW1uMjk5LDI5OH0mcXVvdDssJnF1b3Q7U2VjdGlvbjEvbXJvcy12aXNpdDItZGF0YXNldC0wIDYgMC9BdXRvUmVtb3ZlZENvbHVtbnMxLntDb2x1bW4zMDAsMjk5fSZxdW90OywmcXVvdDtTZWN0aW9uMS9tcm9zLXZpc2l0Mi1kYXRhc2V0LTAgNiAwL0F1dG9SZW1vdmVkQ29sdW1uczEue0NvbHVtbjMwMSwzMDB9JnF1b3Q7LCZxdW90O1NlY3Rpb24xL21yb3MtdmlzaXQyLWRhdGFzZXQtMCA2IDAvQXV0b1JlbW92ZWRDb2x1bW5zMS57Q29sdW1uMzAyLDMwMX0mcXVvdDssJnF1b3Q7U2VjdGlvbjEvbXJvcy12aXNpdDItZGF0YXNldC0wIDYgMC9BdXRvUmVtb3ZlZENvbHVtbnMxLntDb2x1bW4zMDMsMzAyfSZxdW90OywmcXVvdDtTZWN0aW9uMS9tcm9zLXZpc2l0Mi1kYXRhc2V0LTAgNiAwL0F1dG9SZW1vdmVkQ29sdW1uczEue0NvbHVtbjMwNCwzMDN9JnF1b3Q7LCZxdW90O1NlY3Rpb24xL21yb3MtdmlzaXQyLWRhdGFzZXQtMCA2IDAvQXV0b1JlbW92ZWRDb2x1bW5zMS57Q29sdW1uMzA1LDMwNH0mcXVvdDssJnF1b3Q7U2VjdGlvbjEvbXJvcy12aXNpdDItZGF0YXNldC0wIDYgMC9BdXRvUmVtb3ZlZENvbHVtbnMxLntDb2x1bW4zMDYsMzA1fSZxdW90OywmcXVvdDtTZWN0aW9uMS9tcm9zLXZpc2l0Mi1kYXRhc2V0LTAgNiAwL0F1dG9SZW1vdmVkQ29sdW1uczEue0NvbHVtbjMwNywzMDZ9JnF1b3Q7LCZxdW90O1NlY3Rpb24xL21yb3MtdmlzaXQyLWRhdGFzZXQtMCA2IDAvQXV0b1JlbW92ZWRDb2x1bW5zMS57Q29sdW1uMzA4LDMwN30mcXVvdDssJnF1b3Q7U2VjdGlvbjEvbXJvcy12aXNpdDItZGF0YXNldC0wIDYgMC9BdXRvUmVtb3ZlZENvbHVtbnMxLntDb2x1bW4zMDksMzA4fSZxdW90OywmcXVvdDtTZWN0aW9uMS9tcm9zLXZpc2l0Mi1kYXRhc2V0LTAgNiAwL0F1dG9SZW1vdmVkQ29sdW1uczEue0NvbHVtbjMxMCwzMDl9JnF1b3Q7LCZxdW90O1NlY3Rpb24xL21yb3MtdmlzaXQyLWRhdGFzZXQtMCA2IDAvQXV0b1JlbW92ZWRDb2x1bW5zMS57Q29sdW1uMzExLDMxMH0mcXVvdDssJnF1b3Q7U2VjdGlvbjEvbXJvcy12aXNpdDItZGF0YXNldC0wIDYgMC9BdXRvUmVtb3ZlZENvbHVtbnMxLntDb2x1bW4zMTIsMzExfSZxdW90OywmcXVvdDtTZWN0aW9uMS9tcm9zLXZpc2l0Mi1kYXRhc2V0LTAgNiAwL0F1dG9SZW1vdmVkQ29sdW1uczEue0NvbHVtbjMxMywzMTJ9JnF1b3Q7LCZxdW90O1NlY3Rpb24xL21yb3MtdmlzaXQyLWRhdGFzZXQtMCA2IDAvQXV0b1JlbW92ZWRDb2x1bW5zMS57Q29sdW1uMzE0LDMxM30mcXVvdDssJnF1b3Q7U2VjdGlvbjEvbXJvcy12aXNpdDItZGF0YXNldC0wIDYgMC9BdXRvUmVtb3ZlZENvbHVtbnMxLntDb2x1bW4zMTUsMzE0fSZxdW90OywmcXVvdDtTZWN0aW9uMS9tcm9zLXZpc2l0Mi1kYXRhc2V0LTAgNiAwL0F1dG9SZW1vdmVkQ29sdW1uczEue0NvbHVtbjMxNiwzMTV9JnF1b3Q7LCZxdW90O1NlY3Rpb24xL21yb3MtdmlzaXQyLWRhdGFzZXQtMCA2IDAvQXV0b1JlbW92ZWRDb2x1bW5zMS57Q29sdW1uMzE3LDMxNn0mcXVvdDssJnF1b3Q7U2VjdGlvbjEvbXJvcy12aXNpdDItZGF0YXNldC0wIDYgMC9BdXRvUmVtb3ZlZENvbHVtbnMxLntDb2x1bW4zMTgsMzE3fSZxdW90OywmcXVvdDtTZWN0aW9uMS9tcm9zLXZpc2l0Mi1kYXRhc2V0LTAgNiAwL0F1dG9SZW1vdmVkQ29sdW1uczEue0NvbHVtbjMxOSwzMTh9JnF1b3Q7LCZxdW90O1NlY3Rpb24xL21yb3MtdmlzaXQyLWRhdGFzZXQtMCA2IDAvQXV0b1JlbW92ZWRDb2x1bW5zMS57Q29sdW1uMzIwLDMxOX0mcXVvdDssJnF1b3Q7U2VjdGlvbjEvbXJvcy12aXNpdDItZGF0YXNldC0wIDYgMC9BdXRvUmVtb3ZlZENvbHVtbnMxLntDb2x1bW4zMjEsMzIwfSZxdW90OywmcXVvdDtTZWN0aW9uMS9tcm9zLXZpc2l0Mi1kYXRhc2V0LTAgNiAwL0F1dG9SZW1vdmVkQ29sdW1uczEue0NvbHVtbjMyMiwzMjF9JnF1b3Q7LCZxdW90O1NlY3Rpb24xL21yb3MtdmlzaXQyLWRhdGFzZXQtMCA2IDAvQXV0b1JlbW92ZWRDb2x1bW5zMS57Q29sdW1uMzIzLDMyMn0mcXVvdDssJnF1b3Q7U2VjdGlvbjEvbXJvcy12aXNpdDItZGF0YXNldC0wIDYgMC9BdXRvUmVtb3ZlZENvbHVtbnMxLntDb2x1bW4zMjQsMzIzfSZxdW90OywmcXVvdDtTZWN0aW9uMS9tcm9zLXZpc2l0Mi1kYXRhc2V0LTAgNiAwL0F1dG9SZW1vdmVkQ29sdW1uczEue0NvbHVtbjMyNSwzMjR9JnF1b3Q7LCZxdW90O1NlY3Rpb24xL21yb3MtdmlzaXQyLWRhdGFzZXQtMCA2IDAvQXV0b1JlbW92ZWRDb2x1bW5zMS57Q29sdW1uMzI2LDMyNX0mcXVvdDssJnF1b3Q7U2VjdGlvbjEvbXJvcy12aXNpdDItZGF0YXNldC0wIDYgMC9BdXRvUmVtb3ZlZENvbHVtbnMxLntDb2x1bW4zMjcsMzI2fSZxdW90OywmcXVvdDtTZWN0aW9uMS9tcm9zLXZpc2l0Mi1kYXRhc2V0LTAgNiAwL0F1dG9SZW1vdmVkQ29sdW1uczEue0NvbHVtbjMyOCwzMjd9JnF1b3Q7LCZxdW90O1NlY3Rpb24xL21yb3MtdmlzaXQyLWRhdGFzZXQtMCA2IDAvQXV0b1JlbW92ZWRDb2x1bW5zMS57Q29sdW1uMzI5LDMyOH0mcXVvdDssJnF1b3Q7U2VjdGlvbjEvbXJvcy12aXNpdDItZGF0YXNldC0wIDYgMC9BdXRvUmVtb3ZlZENvbHVtbnMxLntDb2x1bW4zMzAsMzI5fSZxdW90OywmcXVvdDtTZWN0aW9uMS9tcm9zLXZpc2l0Mi1kYXRhc2V0LTAgNiAwL0F1dG9SZW1vdmVkQ29sdW1uczEue0NvbHVtbjMzMSwzMzB9JnF1b3Q7LCZxdW90O1NlY3Rpb24xL21yb3MtdmlzaXQyLWRhdGFzZXQtMCA2IDAvQXV0b1JlbW92ZWRDb2x1bW5zMS57Q29sdW1uMzMyLDMzMX0mcXVvdDssJnF1b3Q7U2VjdGlvbjEvbXJvcy12aXNpdDItZGF0YXNldC0wIDYgMC9BdXRvUmVtb3ZlZENvbHVtbnMxLntDb2x1bW4zMzMsMzMyfSZxdW90OywmcXVvdDtTZWN0aW9uMS9tcm9zLXZpc2l0Mi1kYXRhc2V0LTAgNiAwL0F1dG9SZW1vdmVkQ29sdW1uczEue0NvbHVtbjMzNCwzMzN9JnF1b3Q7LCZxdW90O1NlY3Rpb24xL21yb3MtdmlzaXQyLWRhdGFzZXQtMCA2IDAvQXV0b1JlbW92ZWRDb2x1bW5zMS57Q29sdW1uMzM1LDMzNH0mcXVvdDssJnF1b3Q7U2VjdGlvbjEvbXJvcy12aXNpdDItZGF0YXNldC0wIDYgMC9BdXRvUmVtb3ZlZENvbHVtbnMxLntDb2x1bW4zMzYsMzM1fSZxdW90OywmcXVvdDtTZWN0aW9uMS9tcm9zLXZpc2l0Mi1kYXRhc2V0LTAgNiAwL0F1dG9SZW1vdmVkQ29sdW1uczEue0NvbHVtbjMzNywzMzZ9JnF1b3Q7LCZxdW90O1NlY3Rpb24xL21yb3MtdmlzaXQyLWRhdGFzZXQtMCA2IDAvQXV0b1JlbW92ZWRDb2x1bW5zMS57Q29sdW1uMzM4LDMzN30mcXVvdDssJnF1b3Q7U2VjdGlvbjEvbXJvcy12aXNpdDItZGF0YXNldC0wIDYgMC9BdXRvUmVtb3ZlZENvbHVtbnMxLntDb2x1bW4zMzksMzM4fSZxdW90OywmcXVvdDtTZWN0aW9uMS9tcm9zLXZpc2l0Mi1kYXRhc2V0LTAgNiAwL0F1dG9SZW1vdmVkQ29sdW1uczEue0NvbHVtbjM0MCwzMzl9JnF1b3Q7LCZxdW90O1NlY3Rpb24xL21yb3MtdmlzaXQyLWRhdGFzZXQtMCA2IDAvQXV0b1JlbW92ZWRDb2x1bW5zMS57Q29sdW1uMzQxLDM0MH0mcXVvdDssJnF1b3Q7U2VjdGlvbjEvbXJvcy12aXNpdDItZGF0YXNldC0wIDYgMC9BdXRvUmVtb3ZlZENvbHVtbnMxLntDb2x1bW4zNDIsMzQxfSZxdW90OywmcXVvdDtTZWN0aW9uMS9tcm9zLXZpc2l0Mi1kYXRhc2V0LTAgNiAwL0F1dG9SZW1vdmVkQ29sdW1uczEue0NvbHVtbjM0MywzNDJ9JnF1b3Q7LCZxdW90O1NlY3Rpb24xL21yb3MtdmlzaXQyLWRhdGFzZXQtMCA2IDAvQXV0b1JlbW92ZWRDb2x1bW5zMS57Q29sdW1uMzQ0LDM0M30mcXVvdDssJnF1b3Q7U2VjdGlvbjEvbXJvcy12aXNpdDItZGF0YXNldC0wIDYgMC9BdXRvUmVtb3ZlZENvbHVtbnMxLntDb2x1bW4zNDUsMzQ0fSZxdW90OywmcXVvdDtTZWN0aW9uMS9tcm9zLXZpc2l0Mi1kYXRhc2V0LTAgNiAwL0F1dG9SZW1vdmVkQ29sdW1uczEue0NvbHVtbjM0NiwzNDV9JnF1b3Q7LCZxdW90O1NlY3Rpb24xL21yb3MtdmlzaXQyLWRhdGFzZXQtMCA2IDAvQXV0b1JlbW92ZWRDb2x1bW5zMS57Q29sdW1uMzQ3LDM0Nn0mcXVvdDssJnF1b3Q7U2VjdGlvbjEvbXJvcy12aXNpdDItZGF0YXNldC0wIDYgMC9BdXRvUmVtb3ZlZENvbHVtbnMxLntDb2x1bW4zNDgsMzQ3fSZxdW90OywmcXVvdDtTZWN0aW9uMS9tcm9zLXZpc2l0Mi1kYXRhc2V0LTAgNiAwL0F1dG9SZW1vdmVkQ29sdW1uczEue0NvbHVtbjM0OSwzNDh9JnF1b3Q7LCZxdW90O1NlY3Rpb24xL21yb3MtdmlzaXQyLWRhdGFzZXQtMCA2IDAvQXV0b1JlbW92ZWRDb2x1bW5zMS57Q29sdW1uMzUwLDM0OX0mcXVvdDssJnF1b3Q7U2VjdGlvbjEvbXJvcy12aXNpdDItZGF0YXNldC0wIDYgMC9BdXRvUmVtb3ZlZENvbHVtbnMxLntDb2x1bW4zNTEsMzUwfSZxdW90OywmcXVvdDtTZWN0aW9uMS9tcm9zLXZpc2l0Mi1kYXRhc2V0LTAgNiAwL0F1dG9SZW1vdmVkQ29sdW1uczEue0NvbHVtbjM1MiwzNTF9JnF1b3Q7LCZxdW90O1NlY3Rpb24xL21yb3MtdmlzaXQyLWRhdGFzZXQtMCA2IDAvQXV0b1JlbW92ZWRDb2x1bW5zMS57Q29sdW1uMzUzLDM1Mn0mcXVvdDssJnF1b3Q7U2VjdGlvbjEvbXJvcy12aXNpdDItZGF0YXNldC0wIDYgMC9BdXRvUmVtb3ZlZENvbHVtbnMxLntDb2x1bW4zNTQsMzUzfSZxdW90OywmcXVvdDtTZWN0aW9uMS9tcm9zLXZpc2l0Mi1kYXRhc2V0LTAgNiAwL0F1dG9SZW1vdmVkQ29sdW1uczEue0NvbHVtbjM1NSwzNTR9JnF1b3Q7LCZxdW90O1NlY3Rpb24xL21yb3MtdmlzaXQyLWRhdGFzZXQtMCA2IDAvQXV0b1JlbW92ZWRDb2x1bW5zMS57Q29sdW1uMzU2LDM1NX0mcXVvdDssJnF1b3Q7U2VjdGlvbjEvbXJvcy12aXNpdDItZGF0YXNldC0wIDYgMC9BdXRvUmVtb3ZlZENvbHVtbnMxLntDb2x1bW4zNTcsMzU2fSZxdW90OywmcXVvdDtTZWN0aW9uMS9tcm9zLXZpc2l0Mi1kYXRhc2V0LTAgNiAwL0F1dG9SZW1vdmVkQ29sdW1uczEue0NvbHVtbjM1OCwzNTd9JnF1b3Q7LCZxdW90O1NlY3Rpb24xL21yb3MtdmlzaXQyLWRhdGFzZXQtMCA2IDAvQXV0b1JlbW92ZWRDb2x1bW5zMS57Q29sdW1uMzU5LDM1OH0mcXVvdDssJnF1b3Q7U2VjdGlvbjEvbXJvcy12aXNpdDItZGF0YXNldC0wIDYgMC9BdXRvUmVtb3ZlZENvbHVtbnMxLntDb2x1bW4zNjAsMzU5fSZxdW90OywmcXVvdDtTZWN0aW9uMS9tcm9zLXZpc2l0Mi1kYXRhc2V0LTAgNiAwL0F1dG9SZW1vdmVkQ29sdW1uczEue0NvbHVtbjM2MSwzNjB9JnF1b3Q7LCZxdW90O1NlY3Rpb24xL21yb3MtdmlzaXQyLWRhdGFzZXQtMCA2IDAvQXV0b1JlbW92ZWRDb2x1bW5zMS57Q29sdW1uMzYyLDM2MX0mcXVvdDssJnF1b3Q7U2VjdGlvbjEvbXJvcy12aXNpdDItZGF0YXNldC0wIDYgMC9BdXRvUmVtb3ZlZENvbHVtbnMxLntDb2x1bW4zNjMsMzYyfSZxdW90OywmcXVvdDtTZWN0aW9uMS9tcm9zLXZpc2l0Mi1kYXRhc2V0LTAgNiAwL0F1dG9SZW1vdmVkQ29sdW1uczEue0NvbHVtbjM2NCwzNjN9JnF1b3Q7LCZxdW90O1NlY3Rpb24xL21yb3MtdmlzaXQyLWRhdGFzZXQtMCA2IDAvQXV0b1JlbW92ZWRDb2x1bW5zMS57Q29sdW1uMzY1LDM2NH0mcXVvdDssJnF1b3Q7U2VjdGlvbjEvbXJvcy12aXNpdDItZGF0YXNldC0wIDYgMC9BdXRvUmVtb3ZlZENvbHVtbnMxLntDb2x1bW4zNjYsMzY1fSZxdW90OywmcXVvdDtTZWN0aW9uMS9tcm9zLXZpc2l0Mi1kYXRhc2V0LTAgNiAwL0F1dG9SZW1vdmVkQ29sdW1uczEue0NvbHVtbjM2NywzNjZ9JnF1b3Q7LCZxdW90O1NlY3Rpb24xL21yb3MtdmlzaXQyLWRhdGFzZXQtMCA2IDAvQXV0b1JlbW92ZWRDb2x1bW5zMS57Q29sdW1uMzY4LDM2N30mcXVvdDssJnF1b3Q7U2VjdGlvbjEvbXJvcy12aXNpdDItZGF0YXNldC0wIDYgMC9BdXRvUmVtb3ZlZENvbHVtbnMxLntDb2x1bW4zNjksMzY4fSZxdW90OywmcXVvdDtTZWN0aW9uMS9tcm9zLXZpc2l0Mi1kYXRhc2V0LTAgNiAwL0F1dG9SZW1vdmVkQ29sdW1uczEue0NvbHVtbjM3MCwzNjl9JnF1b3Q7LCZxdW90O1NlY3Rpb24xL21yb3MtdmlzaXQyLWRhdGFzZXQtMCA2IDAvQXV0b1JlbW92ZWRDb2x1bW5zMS57Q29sdW1uMzcxLDM3MH0mcXVvdDssJnF1b3Q7U2VjdGlvbjEvbXJvcy12aXNpdDItZGF0YXNldC0wIDYgMC9BdXRvUmVtb3ZlZENvbHVtbnMxLntDb2x1bW4zNzIsMzcxfSZxdW90OywmcXVvdDtTZWN0aW9uMS9tcm9zLXZpc2l0Mi1kYXRhc2V0LTAgNiAwL0F1dG9SZW1vdmVkQ29sdW1uczEue0NvbHVtbjM3MywzNzJ9JnF1b3Q7LCZxdW90O1NlY3Rpb24xL21yb3MtdmlzaXQyLWRhdGFzZXQtMCA2IDAvQXV0b1JlbW92ZWRDb2x1bW5zMS57Q29sdW1uMzc0LDM3M30mcXVvdDssJnF1b3Q7U2VjdGlvbjEvbXJvcy12aXNpdDItZGF0YXNldC0wIDYgMC9BdXRvUmVtb3ZlZENvbHVtbnMxLntDb2x1bW4zNzUsMzc0fSZxdW90OywmcXVvdDtTZWN0aW9uMS9tcm9zLXZpc2l0Mi1kYXRhc2V0LTAgNiAwL0F1dG9SZW1vdmVkQ29sdW1uczEue0NvbHVtbjM3NiwzNzV9JnF1b3Q7LCZxdW90O1NlY3Rpb24xL21yb3MtdmlzaXQyLWRhdGFzZXQtMCA2IDAvQXV0b1JlbW92ZWRDb2x1bW5zMS57Q29sdW1uMzc3LDM3Nn0mcXVvdDssJnF1b3Q7U2VjdGlvbjEvbXJvcy12aXNpdDItZGF0YXNldC0wIDYgMC9BdXRvUmVtb3ZlZENvbHVtbnMxLntDb2x1bW4zNzgsMzc3fSZxdW90OywmcXVvdDtTZWN0aW9uMS9tcm9zLXZpc2l0Mi1kYXRhc2V0LTAgNiAwL0F1dG9SZW1vdmVkQ29sdW1uczEue0NvbHVtbjM3OSwzNzh9JnF1b3Q7LCZxdW90O1NlY3Rpb24xL21yb3MtdmlzaXQyLWRhdGFzZXQtMCA2IDAvQXV0b1JlbW92ZWRDb2x1bW5zMS57Q29sdW1uMzgwLDM3OX0mcXVvdDssJnF1b3Q7U2VjdGlvbjEvbXJvcy12aXNpdDItZGF0YXNldC0wIDYgMC9BdXRvUmVtb3ZlZENvbHVtbnMxLntDb2x1bW4zODEsMzgwfSZxdW90OywmcXVvdDtTZWN0aW9uMS9tcm9zLXZpc2l0Mi1kYXRhc2V0LTAgNiAwL0F1dG9SZW1vdmVkQ29sdW1uczEue0NvbHVtbjM4MiwzODF9JnF1b3Q7LCZxdW90O1NlY3Rpb24xL21yb3MtdmlzaXQyLWRhdGFzZXQtMCA2IDAvQXV0b1JlbW92ZWRDb2x1bW5zMS57Q29sdW1uMzgzLDM4Mn0mcXVvdDssJnF1b3Q7U2VjdGlvbjEvbXJvcy12aXNpdDItZGF0YXNldC0wIDYgMC9BdXRvUmVtb3ZlZENvbHVtbnMxLntDb2x1bW4zODQsMzgzfSZxdW90OywmcXVvdDtTZWN0aW9uMS9tcm9zLXZpc2l0Mi1kYXRhc2V0LTAgNiAwL0F1dG9SZW1vdmVkQ29sdW1uczEue0NvbHVtbjM4NSwzODR9JnF1b3Q7LCZxdW90O1NlY3Rpb24xL21yb3MtdmlzaXQyLWRhdGFzZXQtMCA2IDAvQXV0b1JlbW92ZWRDb2x1bW5zMS57Q29sdW1uMzg2LDM4NX0mcXVvdDssJnF1b3Q7U2VjdGlvbjEvbXJvcy12aXNpdDItZGF0YXNldC0wIDYgMC9BdXRvUmVtb3ZlZENvbHVtbnMxLntDb2x1bW4zODcsMzg2fSZxdW90OywmcXVvdDtTZWN0aW9uMS9tcm9zLXZpc2l0Mi1kYXRhc2V0LTAgNiAwL0F1dG9SZW1vdmVkQ29sdW1uczEue0NvbHVtbjM4OCwzODd9JnF1b3Q7LCZxdW90O1NlY3Rpb24xL21yb3MtdmlzaXQyLWRhdGFzZXQtMCA2IDAvQXV0b1JlbW92ZWRDb2x1bW5zMS57Q29sdW1uMzg5LDM4OH0mcXVvdDssJnF1b3Q7U2VjdGlvbjEvbXJvcy12aXNpdDItZGF0YXNldC0wIDYgMC9BdXRvUmVtb3ZlZENvbHVtbnMxLntDb2x1bW4zOTAsMzg5fSZxdW90OywmcXVvdDtTZWN0aW9uMS9tcm9zLXZpc2l0Mi1kYXRhc2V0LTAgNiAwL0F1dG9SZW1vdmVkQ29sdW1uczEue0NvbHVtbjM5MSwzOTB9JnF1b3Q7LCZxdW90O1NlY3Rpb24xL21yb3MtdmlzaXQyLWRhdGFzZXQtMCA2IDAvQXV0b1JlbW92ZWRDb2x1bW5zMS57Q29sdW1uMzkyLDM5MX0mcXVvdDssJnF1b3Q7U2VjdGlvbjEvbXJvcy12aXNpdDItZGF0YXNldC0wIDYgMC9BdXRvUmVtb3ZlZENvbHVtbnMxLntDb2x1bW4zOTMsMzkyfSZxdW90OywmcXVvdDtTZWN0aW9uMS9tcm9zLXZpc2l0Mi1kYXRhc2V0LTAgNiAwL0F1dG9SZW1vdmVkQ29sdW1uczEue0NvbHVtbjM5NCwzOTN9JnF1b3Q7LCZxdW90O1NlY3Rpb24xL21yb3MtdmlzaXQyLWRhdGFzZXQtMCA2IDAvQXV0b1JlbW92ZWRDb2x1bW5zMS57Q29sdW1uMzk1LDM5NH0mcXVvdDssJnF1b3Q7U2VjdGlvbjEvbXJvcy12aXNpdDItZGF0YXNldC0wIDYgMC9BdXRvUmVtb3ZlZENvbHVtbnMxLntDb2x1bW4zOTYsMzk1fSZxdW90OywmcXVvdDtTZWN0aW9uMS9tcm9zLXZpc2l0Mi1kYXRhc2V0LTAgNiAwL0F1dG9SZW1vdmVkQ29sdW1uczEue0NvbHVtbjM5NywzOTZ9JnF1b3Q7LCZxdW90O1NlY3Rpb24xL21yb3MtdmlzaXQyLWRhdGFzZXQtMCA2IDAvQXV0b1JlbW92ZWRDb2x1bW5zMS57Q29sdW1uMzk4LDM5N30mcXVvdDssJnF1b3Q7U2VjdGlvbjEvbXJvcy12aXNpdDItZGF0YXNldC0wIDYgMC9BdXRvUmVtb3ZlZENvbHVtbnMxLntDb2x1bW4zOTksMzk4fSZxdW90OywmcXVvdDtTZWN0aW9uMS9tcm9zLXZpc2l0Mi1kYXRhc2V0LTAgNiAwL0F1dG9SZW1vdmVkQ29sdW1uczEue0NvbHVtbjQwMCwzOTl9JnF1b3Q7LCZxdW90O1NlY3Rpb24xL21yb3MtdmlzaXQyLWRhdGFzZXQtMCA2IDAvQXV0b1JlbW92ZWRDb2x1bW5zMS57Q29sdW1uNDAxLDQwMH0mcXVvdDssJnF1b3Q7U2VjdGlvbjEvbXJvcy12aXNpdDItZGF0YXNldC0wIDYgMC9BdXRvUmVtb3ZlZENvbHVtbnMxLntDb2x1bW40MDIsNDAxfSZxdW90OywmcXVvdDtTZWN0aW9uMS9tcm9zLXZpc2l0Mi1kYXRhc2V0LTAgNiAwL0F1dG9SZW1vdmVkQ29sdW1uczEue0NvbHVtbjQwMyw0MDJ9JnF1b3Q7LCZxdW90O1NlY3Rpb24xL21yb3MtdmlzaXQyLWRhdGFzZXQtMCA2IDAvQXV0b1JlbW92ZWRDb2x1bW5zMS57Q29sdW1uNDA0LDQwM30mcXVvdDssJnF1b3Q7U2VjdGlvbjEvbXJvcy12aXNpdDItZGF0YXNldC0wIDYgMC9BdXRvUmVtb3ZlZENvbHVtbnMxLntDb2x1bW40MDUsNDA0fSZxdW90OywmcXVvdDtTZWN0aW9uMS9tcm9zLXZpc2l0Mi1kYXRhc2V0LTAgNiAwL0F1dG9SZW1vdmVkQ29sdW1uczEue0NvbHVtbjQwNiw0MDV9JnF1b3Q7LCZxdW90O1NlY3Rpb24xL21yb3MtdmlzaXQyLWRhdGFzZXQtMCA2IDAvQXV0b1JlbW92ZWRDb2x1bW5zMS57Q29sdW1uNDA3LDQwNn0mcXVvdDssJnF1b3Q7U2VjdGlvbjEvbXJvcy12aXNpdDItZGF0YXNldC0wIDYgMC9BdXRvUmVtb3ZlZENvbHVtbnMxLntDb2x1bW40MDgsNDA3fSZxdW90OywmcXVvdDtTZWN0aW9uMS9tcm9zLXZpc2l0Mi1kYXRhc2V0LTAgNiAwL0F1dG9SZW1vdmVkQ29sdW1uczEue0NvbHVtbjQwOSw0MDh9JnF1b3Q7LCZxdW90O1NlY3Rpb24xL21yb3MtdmlzaXQyLWRhdGFzZXQtMCA2IDAvQXV0b1JlbW92ZWRDb2x1bW5zMS57Q29sdW1uNDEwLDQwOX0mcXVvdDssJnF1b3Q7U2VjdGlvbjEvbXJvcy12aXNpdDItZGF0YXNldC0wIDYgMC9BdXRvUmVtb3ZlZENvbHVtbnMxLntDb2x1bW40MTEsNDEwfSZxdW90OywmcXVvdDtTZWN0aW9uMS9tcm9zLXZpc2l0Mi1kYXRhc2V0LTAgNiAwL0F1dG9SZW1vdmVkQ29sdW1uczEue0NvbHVtbjQxMiw0MTF9JnF1b3Q7LCZxdW90O1NlY3Rpb24xL21yb3MtdmlzaXQyLWRhdGFzZXQtMCA2IDAvQXV0b1JlbW92ZWRDb2x1bW5zMS57Q29sdW1uNDEzLDQxMn0mcXVvdDssJnF1b3Q7U2VjdGlvbjEvbXJvcy12aXNpdDItZGF0YXNldC0wIDYgMC9BdXRvUmVtb3ZlZENvbHVtbnMxLntDb2x1bW40MTQsNDEzfSZxdW90OywmcXVvdDtTZWN0aW9uMS9tcm9zLXZpc2l0Mi1kYXRhc2V0LTAgNiAwL0F1dG9SZW1vdmVkQ29sdW1uczEue0NvbHVtbjQxNSw0MTR9JnF1b3Q7LCZxdW90O1NlY3Rpb24xL21yb3MtdmlzaXQyLWRhdGFzZXQtMCA2IDAvQXV0b1JlbW92ZWRDb2x1bW5zMS57Q29sdW1uNDE2LDQxNX0mcXVvdDssJnF1b3Q7U2VjdGlvbjEvbXJvcy12aXNpdDItZGF0YXNldC0wIDYgMC9BdXRvUmVtb3ZlZENvbHVtbnMxLntDb2x1bW40MTcsNDE2fSZxdW90OywmcXVvdDtTZWN0aW9uMS9tcm9zLXZpc2l0Mi1kYXRhc2V0LTAgNiAwL0F1dG9SZW1vdmVkQ29sdW1uczEue0NvbHVtbjQxOCw0MTd9JnF1b3Q7LCZxdW90O1NlY3Rpb24xL21yb3MtdmlzaXQyLWRhdGFzZXQtMCA2IDAvQXV0b1JlbW92ZWRDb2x1bW5zMS57Q29sdW1uNDE5LDQxOH0mcXVvdDssJnF1b3Q7U2VjdGlvbjEvbXJvcy12aXNpdDItZGF0YXNldC0wIDYgMC9BdXRvUmVtb3ZlZENvbHVtbnMxLntDb2x1bW40MjAsNDE5fSZxdW90OywmcXVvdDtTZWN0aW9uMS9tcm9zLXZpc2l0Mi1kYXRhc2V0LTAgNiAwL0F1dG9SZW1vdmVkQ29sdW1uczEue0NvbHVtbjQyMSw0MjB9JnF1b3Q7LCZxdW90O1NlY3Rpb24xL21yb3MtdmlzaXQyLWRhdGFzZXQtMCA2IDAvQXV0b1JlbW92ZWRDb2x1bW5zMS57Q29sdW1uNDIyLDQyMX0mcXVvdDssJnF1b3Q7U2VjdGlvbjEvbXJvcy12aXNpdDItZGF0YXNldC0wIDYgMC9BdXRvUmVtb3ZlZENvbHVtbnMxLntDb2x1bW40MjMsNDIyfSZxdW90OywmcXVvdDtTZWN0aW9uMS9tcm9zLXZpc2l0Mi1kYXRhc2V0LTAgNiAwL0F1dG9SZW1vdmVkQ29sdW1uczEue0NvbHVtbjQyNCw0MjN9JnF1b3Q7LCZxdW90O1NlY3Rpb24xL21yb3MtdmlzaXQyLWRhdGFzZXQtMCA2IDAvQXV0b1JlbW92ZWRDb2x1bW5zMS57Q29sdW1uNDI1LDQyNH0mcXVvdDssJnF1b3Q7U2VjdGlvbjEvbXJvcy12aXNpdDItZGF0YXNldC0wIDYgMC9BdXRvUmVtb3ZlZENvbHVtbnMxLntDb2x1bW40MjYsNDI1fSZxdW90OywmcXVvdDtTZWN0aW9uMS9tcm9zLXZpc2l0Mi1kYXRhc2V0LTAgNiAwL0F1dG9SZW1vdmVkQ29sdW1uczEue0NvbHVtbjQyNyw0MjZ9JnF1b3Q7LCZxdW90O1NlY3Rpb24xL21yb3MtdmlzaXQyLWRhdGFzZXQtMCA2IDAvQXV0b1JlbW92ZWRDb2x1bW5zMS57Q29sdW1uNDI4LDQyN30mcXVvdDssJnF1b3Q7U2VjdGlvbjEvbXJvcy12aXNpdDItZGF0YXNldC0wIDYgMC9BdXRvUmVtb3ZlZENvbHVtbnMxLntDb2x1bW40MjksNDI4fSZxdW90OywmcXVvdDtTZWN0aW9uMS9tcm9zLXZpc2l0Mi1kYXRhc2V0LTAgNiAwL0F1dG9SZW1vdmVkQ29sdW1uczEue0NvbHVtbjQzMCw0Mjl9JnF1b3Q7LCZxdW90O1NlY3Rpb24xL21yb3MtdmlzaXQyLWRhdGFzZXQtMCA2IDAvQXV0b1JlbW92ZWRDb2x1bW5zMS57Q29sdW1uNDMxLDQzMH0mcXVvdDssJnF1b3Q7U2VjdGlvbjEvbXJvcy12aXNpdDItZGF0YXNldC0wIDYgMC9BdXRvUmVtb3ZlZENvbHVtbnMxLntDb2x1bW40MzIsNDMxfSZxdW90OywmcXVvdDtTZWN0aW9uMS9tcm9zLXZpc2l0Mi1kYXRhc2V0LTAgNiAwL0F1dG9SZW1vdmVkQ29sdW1uczEue0NvbHVtbjQzMyw0MzJ9JnF1b3Q7LCZxdW90O1NlY3Rpb24xL21yb3MtdmlzaXQyLWRhdGFzZXQtMCA2IDAvQXV0b1JlbW92ZWRDb2x1bW5zMS57Q29sdW1uNDM0LDQzM30mcXVvdDssJnF1b3Q7U2VjdGlvbjEvbXJvcy12aXNpdDItZGF0YXNldC0wIDYgMC9BdXRvUmVtb3ZlZENvbHVtbnMxLntDb2x1bW40MzUsNDM0fSZxdW90OywmcXVvdDtTZWN0aW9uMS9tcm9zLXZpc2l0Mi1kYXRhc2V0LTAgNiAwL0F1dG9SZW1vdmVkQ29sdW1uczEue0NvbHVtbjQzNiw0MzV9JnF1b3Q7LCZxdW90O1NlY3Rpb24xL21yb3MtdmlzaXQyLWRhdGFzZXQtMCA2IDAvQXV0b1JlbW92ZWRDb2x1bW5zMS57Q29sdW1uNDM3LDQzNn0mcXVvdDssJnF1b3Q7U2VjdGlvbjEvbXJvcy12aXNpdDItZGF0YXNldC0wIDYgMC9BdXRvUmVtb3ZlZENvbHVtbnMxLntDb2x1bW40MzgsNDM3fSZxdW90OywmcXVvdDtTZWN0aW9uMS9tcm9zLXZpc2l0Mi1kYXRhc2V0LTAgNiAwL0F1dG9SZW1vdmVkQ29sdW1uczEue0NvbHVtbjQzOSw0Mzh9JnF1b3Q7LCZxdW90O1NlY3Rpb24xL21yb3MtdmlzaXQyLWRhdGFzZXQtMCA2IDAvQXV0b1JlbW92ZWRDb2x1bW5zMS57Q29sdW1uNDQwLDQzOX0mcXVvdDssJnF1b3Q7U2VjdGlvbjEvbXJvcy12aXNpdDItZGF0YXNldC0wIDYgMC9BdXRvUmVtb3ZlZENvbHVtbnMxLntDb2x1bW40NDEsNDQwfSZxdW90OywmcXVvdDtTZWN0aW9uMS9tcm9zLXZpc2l0Mi1kYXRhc2V0LTAgNiAwL0F1dG9SZW1vdmVkQ29sdW1uczEue0NvbHVtbjQ0Miw0NDF9JnF1b3Q7LCZxdW90O1NlY3Rpb24xL21yb3MtdmlzaXQyLWRhdGFzZXQtMCA2IDAvQXV0b1JlbW92ZWRDb2x1bW5zMS57Q29sdW1uNDQzLDQ0Mn0mcXVvdDssJnF1b3Q7U2VjdGlvbjEvbXJvcy12aXNpdDItZGF0YXNldC0wIDYgMC9BdXRvUmVtb3ZlZENvbHVtbnMxLntDb2x1bW40NDQsNDQzfSZxdW90OywmcXVvdDtTZWN0aW9uMS9tcm9zLXZpc2l0Mi1kYXRhc2V0LTAgNiAwL0F1dG9SZW1vdmVkQ29sdW1uczEue0NvbHVtbjQ0NSw0NDR9JnF1b3Q7LCZxdW90O1NlY3Rpb24xL21yb3MtdmlzaXQyLWRhdGFzZXQtMCA2IDAvQXV0b1JlbW92ZWRDb2x1bW5zMS57Q29sdW1uNDQ2LDQ0NX0mcXVvdDssJnF1b3Q7U2VjdGlvbjEvbXJvcy12aXNpdDItZGF0YXNldC0wIDYgMC9BdXRvUmVtb3ZlZENvbHVtbnMxLntDb2x1bW40NDcsNDQ2fSZxdW90OywmcXVvdDtTZWN0aW9uMS9tcm9zLXZpc2l0Mi1kYXRhc2V0LTAgNiAwL0F1dG9SZW1vdmVkQ29sdW1uczEue0NvbHVtbjQ0OCw0NDd9JnF1b3Q7LCZxdW90O1NlY3Rpb24xL21yb3MtdmlzaXQyLWRhdGFzZXQtMCA2IDAvQXV0b1JlbW92ZWRDb2x1bW5zMS57Q29sdW1uNDQ5LDQ0OH0mcXVvdDssJnF1b3Q7U2VjdGlvbjEvbXJvcy12aXNpdDItZGF0YXNldC0wIDYgMC9BdXRvUmVtb3ZlZENvbHVtbnMxLntDb2x1bW40NTAsNDQ5fSZxdW90OywmcXVvdDtTZWN0aW9uMS9tcm9zLXZpc2l0Mi1kYXRhc2V0LTAgNiAwL0F1dG9SZW1vdmVkQ29sdW1uczEue0NvbHVtbjQ1MSw0NTB9JnF1b3Q7LCZxdW90O1NlY3Rpb24xL21yb3MtdmlzaXQyLWRhdGFzZXQtMCA2IDAvQXV0b1JlbW92ZWRDb2x1bW5zMS57Q29sdW1uNDUyLDQ1MX0mcXVvdDssJnF1b3Q7U2VjdGlvbjEvbXJvcy12aXNpdDItZGF0YXNldC0wIDYgMC9BdXRvUmVtb3ZlZENvbHVtbnMxLntDb2x1bW40NTMsNDUyfSZxdW90OywmcXVvdDtTZWN0aW9uMS9tcm9zLXZpc2l0Mi1kYXRhc2V0LTAgNiAwL0F1dG9SZW1vdmVkQ29sdW1uczEue0NvbHVtbjQ1NCw0NTN9JnF1b3Q7LCZxdW90O1NlY3Rpb24xL21yb3MtdmlzaXQyLWRhdGFzZXQtMCA2IDAvQXV0b1JlbW92ZWRDb2x1bW5zMS57Q29sdW1uNDU1LDQ1NH0mcXVvdDssJnF1b3Q7U2VjdGlvbjEvbXJvcy12aXNpdDItZGF0YXNldC0wIDYgMC9BdXRvUmVtb3ZlZENvbHVtbnMxLntDb2x1bW40NTYsNDU1fSZxdW90OywmcXVvdDtTZWN0aW9uMS9tcm9zLXZpc2l0Mi1kYXRhc2V0LTAgNiAwL0F1dG9SZW1vdmVkQ29sdW1uczEue0NvbHVtbjQ1Nyw0NTZ9JnF1b3Q7LCZxdW90O1NlY3Rpb24xL21yb3MtdmlzaXQyLWRhdGFzZXQtMCA2IDAvQXV0b1JlbW92ZWRDb2x1bW5zMS57Q29sdW1uNDU4LDQ1N30mcXVvdDssJnF1b3Q7U2VjdGlvbjEvbXJvcy12aXNpdDItZGF0YXNldC0wIDYgMC9BdXRvUmVtb3ZlZENvbHVtbnMxLntDb2x1bW40NTksNDU4fSZxdW90OywmcXVvdDtTZWN0aW9uMS9tcm9zLXZpc2l0Mi1kYXRhc2V0LTAgNiAwL0F1dG9SZW1vdmVkQ29sdW1uczEue0NvbHVtbjQ2MCw0NTl9JnF1b3Q7LCZxdW90O1NlY3Rpb24xL21yb3MtdmlzaXQyLWRhdGFzZXQtMCA2IDAvQXV0b1JlbW92ZWRDb2x1bW5zMS57Q29sdW1uNDYxLDQ2MH0mcXVvdDssJnF1b3Q7U2VjdGlvbjEvbXJvcy12aXNpdDItZGF0YXNldC0wIDYgMC9BdXRvUmVtb3ZlZENvbHVtbnMxLntDb2x1bW40NjIsNDYxfSZxdW90OywmcXVvdDtTZWN0aW9uMS9tcm9zLXZpc2l0Mi1kYXRhc2V0LTAgNiAwL0F1dG9SZW1vdmVkQ29sdW1uczEue0NvbHVtbjQ2Myw0NjJ9JnF1b3Q7LCZxdW90O1NlY3Rpb24xL21yb3MtdmlzaXQyLWRhdGFzZXQtMCA2IDAvQXV0b1JlbW92ZWRDb2x1bW5zMS57Q29sdW1uNDY0LDQ2M30mcXVvdDssJnF1b3Q7U2VjdGlvbjEvbXJvcy12aXNpdDItZGF0YXNldC0wIDYgMC9BdXRvUmVtb3ZlZENvbHVtbnMxLntDb2x1bW40NjUsNDY0fSZxdW90OywmcXVvdDtTZWN0aW9uMS9tcm9zLXZpc2l0Mi1kYXRhc2V0LTAgNiAwL0F1dG9SZW1vdmVkQ29sdW1uczEue0NvbHVtbjQ2Niw0NjV9JnF1b3Q7LCZxdW90O1NlY3Rpb24xL21yb3MtdmlzaXQyLWRhdGFzZXQtMCA2IDAvQXV0b1JlbW92ZWRDb2x1bW5zMS57Q29sdW1uNDY3LDQ2Nn0mcXVvdDssJnF1b3Q7U2VjdGlvbjEvbXJvcy12aXNpdDItZGF0YXNldC0wIDYgMC9BdXRvUmVtb3ZlZENvbHVtbnMxLntDb2x1bW40NjgsNDY3fSZxdW90OywmcXVvdDtTZWN0aW9uMS9tcm9zLXZpc2l0Mi1kYXRhc2V0LTAgNiAwL0F1dG9SZW1vdmVkQ29sdW1uczEue0NvbHVtbjQ2OSw0Njh9JnF1b3Q7LCZxdW90O1NlY3Rpb24xL21yb3MtdmlzaXQyLWRhdGFzZXQtMCA2IDAvQXV0b1JlbW92ZWRDb2x1bW5zMS57Q29sdW1uNDcwLDQ2OX0mcXVvdDssJnF1b3Q7U2VjdGlvbjEvbXJvcy12aXNpdDItZGF0YXNldC0wIDYgMC9BdXRvUmVtb3ZlZENvbHVtbnMxLntDb2x1bW40NzEsNDcwfSZxdW90OywmcXVvdDtTZWN0aW9uMS9tcm9zLXZpc2l0Mi1kYXRhc2V0LTAgNiAwL0F1dG9SZW1vdmVkQ29sdW1uczEue0NvbHVtbjQ3Miw0NzF9JnF1b3Q7LCZxdW90O1NlY3Rpb24xL21yb3MtdmlzaXQyLWRhdGFzZXQtMCA2IDAvQXV0b1JlbW92ZWRDb2x1bW5zMS57Q29sdW1uNDczLDQ3Mn0mcXVvdDssJnF1b3Q7U2VjdGlvbjEvbXJvcy12aXNpdDItZGF0YXNldC0wIDYgMC9BdXRvUmVtb3ZlZENvbHVtbnMxLntDb2x1bW40NzQsNDczfSZxdW90OywmcXVvdDtTZWN0aW9uMS9tcm9zLXZpc2l0Mi1kYXRhc2V0LTAgNiAwL0F1dG9SZW1vdmVkQ29sdW1uczEue0NvbHVtbjQ3NSw0NzR9JnF1b3Q7LCZxdW90O1NlY3Rpb24xL21yb3MtdmlzaXQyLWRhdGFzZXQtMCA2IDAvQXV0b1JlbW92ZWRDb2x1bW5zMS57Q29sdW1uNDc2LDQ3NX0mcXVvdDssJnF1b3Q7U2VjdGlvbjEvbXJvcy12aXNpdDItZGF0YXNldC0wIDYgMC9BdXRvUmVtb3ZlZENvbHVtbnMxLntDb2x1bW40NzcsNDc2fSZxdW90OywmcXVvdDtTZWN0aW9uMS9tcm9zLXZpc2l0Mi1kYXRhc2V0LTAgNiAwL0F1dG9SZW1vdmVkQ29sdW1uczEue0NvbHVtbjQ3OCw0Nzd9JnF1b3Q7LCZxdW90O1NlY3Rpb24xL21yb3MtdmlzaXQyLWRhdGFzZXQtMCA2IDAvQXV0b1JlbW92ZWRDb2x1bW5zMS57Q29sdW1uNDc5LDQ3OH0mcXVvdDssJnF1b3Q7U2VjdGlvbjEvbXJvcy12aXNpdDItZGF0YXNldC0wIDYgMC9BdXRvUmVtb3ZlZENvbHVtbnMxLntDb2x1bW40ODAsNDc5fSZxdW90OywmcXVvdDtTZWN0aW9uMS9tcm9zLXZpc2l0Mi1kYXRhc2V0LTAgNiAwL0F1dG9SZW1vdmVkQ29sdW1uczEue0NvbHVtbjQ4MSw0ODB9JnF1b3Q7LCZxdW90O1NlY3Rpb24xL21yb3MtdmlzaXQyLWRhdGFzZXQtMCA2IDAvQXV0b1JlbW92ZWRDb2x1bW5zMS57Q29sdW1uNDgyLDQ4MX0mcXVvdDssJnF1b3Q7U2VjdGlvbjEvbXJvcy12aXNpdDItZGF0YXNldC0wIDYgMC9BdXRvUmVtb3ZlZENvbHVtbnMxLntDb2x1bW40ODMsNDgyfSZxdW90OywmcXVvdDtTZWN0aW9uMS9tcm9zLXZpc2l0Mi1kYXRhc2V0LTAgNiAwL0F1dG9SZW1vdmVkQ29sdW1uczEue0NvbHVtbjQ4NCw0ODN9JnF1b3Q7LCZxdW90O1NlY3Rpb24xL21yb3MtdmlzaXQyLWRhdGFzZXQtMCA2IDAvQXV0b1JlbW92ZWRDb2x1bW5zMS57Q29sdW1uNDg1LDQ4NH0mcXVvdDssJnF1b3Q7U2VjdGlvbjEvbXJvcy12aXNpdDItZGF0YXNldC0wIDYgMC9BdXRvUmVtb3ZlZENvbHVtbnMxLntDb2x1bW40ODYsNDg1fSZxdW90OywmcXVvdDtTZWN0aW9uMS9tcm9zLXZpc2l0Mi1kYXRhc2V0LTAgNiAwL0F1dG9SZW1vdmVkQ29sdW1uczEue0NvbHVtbjQ4Nyw0ODZ9JnF1b3Q7LCZxdW90O1NlY3Rpb24xL21yb3MtdmlzaXQyLWRhdGFzZXQtMCA2IDAvQXV0b1JlbW92ZWRDb2x1bW5zMS57Q29sdW1uNDg4LDQ4N30mcXVvdDssJnF1b3Q7U2VjdGlvbjEvbXJvcy12aXNpdDItZGF0YXNldC0wIDYgMC9BdXRvUmVtb3ZlZENvbHVtbnMxLntDb2x1bW40ODksNDg4fSZxdW90OywmcXVvdDtTZWN0aW9uMS9tcm9zLXZpc2l0Mi1kYXRhc2V0LTAgNiAwL0F1dG9SZW1vdmVkQ29sdW1uczEue0NvbHVtbjQ5MCw0ODl9JnF1b3Q7LCZxdW90O1NlY3Rpb24xL21yb3MtdmlzaXQyLWRhdGFzZXQtMCA2IDAvQXV0b1JlbW92ZWRDb2x1bW5zMS57Q29sdW1uNDkxLDQ5MH0mcXVvdDssJnF1b3Q7U2VjdGlvbjEvbXJvcy12aXNpdDItZGF0YXNldC0wIDYgMC9BdXRvUmVtb3ZlZENvbHVtbnMxLntDb2x1bW40OTIsNDkxfSZxdW90OywmcXVvdDtTZWN0aW9uMS9tcm9zLXZpc2l0Mi1kYXRhc2V0LTAgNiAwL0F1dG9SZW1vdmVkQ29sdW1uczEue0NvbHVtbjQ5Myw0OTJ9JnF1b3Q7LCZxdW90O1NlY3Rpb24xL21yb3MtdmlzaXQyLWRhdGFzZXQtMCA2IDAvQXV0b1JlbW92ZWRDb2x1bW5zMS57Q29sdW1uNDk0LDQ5M30mcXVvdDssJnF1b3Q7U2VjdGlvbjEvbXJvcy12aXNpdDItZGF0YXNldC0wIDYgMC9BdXRvUmVtb3ZlZENvbHVtbnMxLntDb2x1bW40OTUsNDk0fSZxdW90OywmcXVvdDtTZWN0aW9uMS9tcm9zLXZpc2l0Mi1kYXRhc2V0LTAgNiAwL0F1dG9SZW1vdmVkQ29sdW1uczEue0NvbHVtbjQ5Niw0OTV9JnF1b3Q7LCZxdW90O1NlY3Rpb24xL21yb3MtdmlzaXQyLWRhdGFzZXQtMCA2IDAvQXV0b1JlbW92ZWRDb2x1bW5zMS57Q29sdW1uNDk3LDQ5Nn0mcXVvdDssJnF1b3Q7U2VjdGlvbjEvbXJvcy12aXNpdDItZGF0YXNldC0wIDYgMC9BdXRvUmVtb3ZlZENvbHVtbnMxLntDb2x1bW40OTgsNDk3fSZxdW90OywmcXVvdDtTZWN0aW9uMS9tcm9zLXZpc2l0Mi1kYXRhc2V0LTAgNiAwL0F1dG9SZW1vdmVkQ29sdW1uczEue0NvbHVtbjQ5OSw0OTh9JnF1b3Q7LCZxdW90O1NlY3Rpb24xL21yb3MtdmlzaXQyLWRhdGFzZXQtMCA2IDAvQXV0b1JlbW92ZWRDb2x1bW5zMS57Q29sdW1uNTAwLDQ5OX0mcXVvdDssJnF1b3Q7U2VjdGlvbjEvbXJvcy12aXNpdDItZGF0YXNldC0wIDYgMC9BdXRvUmVtb3ZlZENvbHVtbnMxLntDb2x1bW41MDEsNTAwfSZxdW90OywmcXVvdDtTZWN0aW9uMS9tcm9zLXZpc2l0Mi1kYXRhc2V0LTAgNiAwL0F1dG9SZW1vdmVkQ29sdW1uczEue0NvbHVtbjUwMiw1MDF9JnF1b3Q7LCZxdW90O1NlY3Rpb24xL21yb3MtdmlzaXQyLWRhdGFzZXQtMCA2IDAvQXV0b1JlbW92ZWRDb2x1bW5zMS57Q29sdW1uNTAzLDUwMn0mcXVvdDssJnF1b3Q7U2VjdGlvbjEvbXJvcy12aXNpdDItZGF0YXNldC0wIDYgMC9BdXRvUmVtb3ZlZENvbHVtbnMxLntDb2x1bW41MDQsNTAzfSZxdW90OywmcXVvdDtTZWN0aW9uMS9tcm9zLXZpc2l0Mi1kYXRhc2V0LTAgNiAwL0F1dG9SZW1vdmVkQ29sdW1uczEue0NvbHVtbjUwNSw1MDR9JnF1b3Q7LCZxdW90O1NlY3Rpb24xL21yb3MtdmlzaXQyLWRhdGFzZXQtMCA2IDAvQXV0b1JlbW92ZWRDb2x1bW5zMS57Q29sdW1uNTA2LDUwNX0mcXVvdDssJnF1b3Q7U2VjdGlvbjEvbXJvcy12aXNpdDItZGF0YXNldC0wIDYgMC9BdXRvUmVtb3ZlZENvbHVtbnMxLntDb2x1bW41MDcsNTA2fSZxdW90OywmcXVvdDtTZWN0aW9uMS9tcm9zLXZpc2l0Mi1kYXRhc2V0LTAgNiAwL0F1dG9SZW1vdmVkQ29sdW1uczEue0NvbHVtbjUwOCw1MDd9JnF1b3Q7LCZxdW90O1NlY3Rpb24xL21yb3MtdmlzaXQyLWRhdGFzZXQtMCA2IDAvQXV0b1JlbW92ZWRDb2x1bW5zMS57Q29sdW1uNTA5LDUwOH0mcXVvdDssJnF1b3Q7U2VjdGlvbjEvbXJvcy12aXNpdDItZGF0YXNldC0wIDYgMC9BdXRvUmVtb3ZlZENvbHVtbnMxLntDb2x1bW41MTAsNTA5fSZxdW90OywmcXVvdDtTZWN0aW9uMS9tcm9zLXZpc2l0Mi1kYXRhc2V0LTAgNiAwL0F1dG9SZW1vdmVkQ29sdW1uczEue0NvbHVtbjUxMSw1MTB9JnF1b3Q7LCZxdW90O1NlY3Rpb24xL21yb3MtdmlzaXQyLWRhdGFzZXQtMCA2IDAvQXV0b1JlbW92ZWRDb2x1bW5zMS57Q29sdW1uNTEyLDUxMX0mcXVvdDssJnF1b3Q7U2VjdGlvbjEvbXJvcy12aXNpdDItZGF0YXNldC0wIDYgMC9BdXRvUmVtb3ZlZENvbHVtbnMxLntDb2x1bW41MTMsNTEyfSZxdW90OywmcXVvdDtTZWN0aW9uMS9tcm9zLXZpc2l0Mi1kYXRhc2V0LTAgNiAwL0F1dG9SZW1vdmVkQ29sdW1uczEue0NvbHVtbjUxNCw1MTN9JnF1b3Q7LCZxdW90O1NlY3Rpb24xL21yb3MtdmlzaXQyLWRhdGFzZXQtMCA2IDAvQXV0b1JlbW92ZWRDb2x1bW5zMS57Q29sdW1uNTE1LDUxNH0mcXVvdDssJnF1b3Q7U2VjdGlvbjEvbXJvcy12aXNpdDItZGF0YXNldC0wIDYgMC9BdXRvUmVtb3ZlZENvbHVtbnMxLntDb2x1bW41MTYsNTE1fSZxdW90OywmcXVvdDtTZWN0aW9uMS9tcm9zLXZpc2l0Mi1kYXRhc2V0LTAgNiAwL0F1dG9SZW1vdmVkQ29sdW1uczEue0NvbHVtbjUxNyw1MTZ9JnF1b3Q7LCZxdW90O1NlY3Rpb24xL21yb3MtdmlzaXQyLWRhdGFzZXQtMCA2IDAvQXV0b1JlbW92ZWRDb2x1bW5zMS57Q29sdW1uNTE4LDUxN30mcXVvdDssJnF1b3Q7U2VjdGlvbjEvbXJvcy12aXNpdDItZGF0YXNldC0wIDYgMC9BdXRvUmVtb3ZlZENvbHVtbnMxLntDb2x1bW41MTksNTE4fSZxdW90OywmcXVvdDtTZWN0aW9uMS9tcm9zLXZpc2l0Mi1kYXRhc2V0LTAgNiAwL0F1dG9SZW1vdmVkQ29sdW1uczEue0NvbHVtbjUyMCw1MTl9JnF1b3Q7LCZxdW90O1NlY3Rpb24xL21yb3MtdmlzaXQyLWRhdGFzZXQtMCA2IDAvQXV0b1JlbW92ZWRDb2x1bW5zMS57Q29sdW1uNTIxLDUyMH0mcXVvdDssJnF1b3Q7U2VjdGlvbjEvbXJvcy12aXNpdDItZGF0YXNldC0wIDYgMC9BdXRvUmVtb3ZlZENvbHVtbnMxLntDb2x1bW41MjIsNTIxfSZxdW90OywmcXVvdDtTZWN0aW9uMS9tcm9zLXZpc2l0Mi1kYXRhc2V0LTAgNiAwL0F1dG9SZW1vdmVkQ29sdW1uczEue0NvbHVtbjUyMyw1MjJ9JnF1b3Q7LCZxdW90O1NlY3Rpb24xL21yb3MtdmlzaXQyLWRhdGFzZXQtMCA2IDAvQXV0b1JlbW92ZWRDb2x1bW5zMS57Q29sdW1uNTI0LDUyM30mcXVvdDssJnF1b3Q7U2VjdGlvbjEvbXJvcy12aXNpdDItZGF0YXNldC0wIDYgMC9BdXRvUmVtb3ZlZENvbHVtbnMxLntDb2x1bW41MjUsNTI0fSZxdW90OywmcXVvdDtTZWN0aW9uMS9tcm9zLXZpc2l0Mi1kYXRhc2V0LTAgNiAwL0F1dG9SZW1vdmVkQ29sdW1uczEue0NvbHVtbjUyNiw1MjV9JnF1b3Q7LCZxdW90O1NlY3Rpb24xL21yb3MtdmlzaXQyLWRhdGFzZXQtMCA2IDAvQXV0b1JlbW92ZWRDb2x1bW5zMS57Q29sdW1uNTI3LDUyNn0mcXVvdDssJnF1b3Q7U2VjdGlvbjEvbXJvcy12aXNpdDItZGF0YXNldC0wIDYgMC9BdXRvUmVtb3ZlZENvbHVtbnMxLntDb2x1bW41MjgsNTI3fSZxdW90OywmcXVvdDtTZWN0aW9uMS9tcm9zLXZpc2l0Mi1kYXRhc2V0LTAgNiAwL0F1dG9SZW1vdmVkQ29sdW1uczEue0NvbHVtbjUyOSw1Mjh9JnF1b3Q7LCZxdW90O1NlY3Rpb24xL21yb3MtdmlzaXQyLWRhdGFzZXQtMCA2IDAvQXV0b1JlbW92ZWRDb2x1bW5zMS57Q29sdW1uNTMwLDUyOX0mcXVvdDssJnF1b3Q7U2VjdGlvbjEvbXJvcy12aXNpdDItZGF0YXNldC0wIDYgMC9BdXRvUmVtb3ZlZENvbHVtbnMxLntDb2x1bW41MzEsNTMwfSZxdW90OywmcXVvdDtTZWN0aW9uMS9tcm9zLXZpc2l0Mi1kYXRhc2V0LTAgNiAwL0F1dG9SZW1vdmVkQ29sdW1uczEue0NvbHVtbjUzMiw1MzF9JnF1b3Q7LCZxdW90O1NlY3Rpb24xL21yb3MtdmlzaXQyLWRhdGFzZXQtMCA2IDAvQXV0b1JlbW92ZWRDb2x1bW5zMS57Q29sdW1uNTMzLDUzMn0mcXVvdDssJnF1b3Q7U2VjdGlvbjEvbXJvcy12aXNpdDItZGF0YXNldC0wIDYgMC9BdXRvUmVtb3ZlZENvbHVtbnMxLntDb2x1bW41MzQsNTMzfSZxdW90OywmcXVvdDtTZWN0aW9uMS9tcm9zLXZpc2l0Mi1kYXRhc2V0LTAgNiAwL0F1dG9SZW1vdmVkQ29sdW1uczEue0NvbHVtbjUzNSw1MzR9JnF1b3Q7LCZxdW90O1NlY3Rpb24xL21yb3MtdmlzaXQyLWRhdGFzZXQtMCA2IDAvQXV0b1JlbW92ZWRDb2x1bW5zMS57Q29sdW1uNTM2LDUzNX0mcXVvdDssJnF1b3Q7U2VjdGlvbjEvbXJvcy12aXNpdDItZGF0YXNldC0wIDYgMC9BdXRvUmVtb3ZlZENvbHVtbnMxLntDb2x1bW41MzcsNTM2fSZxdW90OywmcXVvdDtTZWN0aW9uMS9tcm9zLXZpc2l0Mi1kYXRhc2V0LTAgNiAwL0F1dG9SZW1vdmVkQ29sdW1uczEue0NvbHVtbjUzOCw1Mzd9JnF1b3Q7LCZxdW90O1NlY3Rpb24xL21yb3MtdmlzaXQyLWRhdGFzZXQtMCA2IDAvQXV0b1JlbW92ZWRDb2x1bW5zMS57Q29sdW1uNTM5LDUzOH0mcXVvdDssJnF1b3Q7U2VjdGlvbjEvbXJvcy12aXNpdDItZGF0YXNldC0wIDYgMC9BdXRvUmVtb3ZlZENvbHVtbnMxLntDb2x1bW41NDAsNTM5fSZxdW90O10sJnF1b3Q7Q29sdW1uQ291bnQmcXVvdDs6NTQwLCZxdW90O0tleUNvbHVtbk5hbWVzJnF1b3Q7OltdLCZxdW90O0NvbHVtbklkZW50aXRpZXMmcXVvdDs6WyZxdW90O1NlY3Rpb24xL21yb3MtdmlzaXQyLWRhdGFzZXQtMCA2IDAvQXV0b1JlbW92ZWRDb2x1bW5zMS57Q29sdW1uMSwwfSZxdW90OywmcXVvdDtTZWN0aW9uMS9tcm9zLXZpc2l0Mi1kYXRhc2V0LTAgNiAwL0F1dG9SZW1vdmVkQ29sdW1uczEue0NvbHVtbjIsMX0mcXVvdDssJnF1b3Q7U2VjdGlvbjEvbXJvcy12aXNpdDItZGF0YXNldC0wIDYgMC9BdXRvUmVtb3ZlZENvbHVtbnMxLntDb2x1bW4zLDJ9JnF1b3Q7LCZxdW90O1NlY3Rpb24xL21yb3MtdmlzaXQyLWRhdGFzZXQtMCA2IDAvQXV0b1JlbW92ZWRDb2x1bW5zMS57Q29sdW1uNCwzfSZxdW90OywmcXVvdDtTZWN0aW9uMS9tcm9zLXZpc2l0Mi1kYXRhc2V0LTAgNiAwL0F1dG9SZW1vdmVkQ29sdW1uczEue0NvbHVtbjUsNH0mcXVvdDssJnF1b3Q7U2VjdGlvbjEvbXJvcy12aXNpdDItZGF0YXNldC0wIDYgMC9BdXRvUmVtb3ZlZENvbHVtbnMxLntDb2x1bW42LDV9JnF1b3Q7LCZxdW90O1NlY3Rpb24xL21yb3MtdmlzaXQyLWRhdGFzZXQtMCA2IDAvQXV0b1JlbW92ZWRDb2x1bW5zMS57Q29sdW1uNyw2fSZxdW90OywmcXVvdDtTZWN0aW9uMS9tcm9zLXZpc2l0Mi1kYXRhc2V0LTAgNiAwL0F1dG9SZW1vdmVkQ29sdW1uczEue0NvbHVtbjgsN30mcXVvdDssJnF1b3Q7U2VjdGlvbjEvbXJvcy12aXNpdDItZGF0YXNldC0wIDYgMC9BdXRvUmVtb3ZlZENvbHVtbnMxLntDb2x1bW45LDh9JnF1b3Q7LCZxdW90O1NlY3Rpb24xL21yb3MtdmlzaXQyLWRhdGFzZXQtMCA2IDAvQXV0b1JlbW92ZWRDb2x1bW5zMS57Q29sdW1uMTAsOX0mcXVvdDssJnF1b3Q7U2VjdGlvbjEvbXJvcy12aXNpdDItZGF0YXNldC0wIDYgMC9BdXRvUmVtb3ZlZENvbHVtbnMxLntDb2x1bW4xMSwxMH0mcXVvdDssJnF1b3Q7U2VjdGlvbjEvbXJvcy12aXNpdDItZGF0YXNldC0wIDYgMC9BdXRvUmVtb3ZlZENvbHVtbnMxLntDb2x1bW4xMiwxMX0mcXVvdDssJnF1b3Q7U2VjdGlvbjEvbXJvcy12aXNpdDItZGF0YXNldC0wIDYgMC9BdXRvUmVtb3ZlZENvbHVtbnMxLntDb2x1bW4xMywxMn0mcXVvdDssJnF1b3Q7U2VjdGlvbjEvbXJvcy12aXNpdDItZGF0YXNldC0wIDYgMC9BdXRvUmVtb3ZlZENvbHVtbnMxLntDb2x1bW4xNCwxM30mcXVvdDssJnF1b3Q7U2VjdGlvbjEvbXJvcy12aXNpdDItZGF0YXNldC0wIDYgMC9BdXRvUmVtb3ZlZENvbHVtbnMxLntDb2x1bW4xNSwxNH0mcXVvdDssJnF1b3Q7U2VjdGlvbjEvbXJvcy12aXNpdDItZGF0YXNldC0wIDYgMC9BdXRvUmVtb3ZlZENvbHVtbnMxLntDb2x1bW4xNiwxNX0mcXVvdDssJnF1b3Q7U2VjdGlvbjEvbXJvcy12aXNpdDItZGF0YXNldC0wIDYgMC9BdXRvUmVtb3ZlZENvbHVtbnMxLntDb2x1bW4xNywxNn0mcXVvdDssJnF1b3Q7U2VjdGlvbjEvbXJvcy12aXNpdDItZGF0YXNldC0wIDYgMC9BdXRvUmVtb3ZlZENvbHVtbnMxLntDb2x1bW4xOCwxN30mcXVvdDssJnF1b3Q7U2VjdGlvbjEvbXJvcy12aXNpdDItZGF0YXNldC0wIDYgMC9BdXRvUmVtb3ZlZENvbHVtbnMxLntDb2x1bW4xOSwxOH0mcXVvdDssJnF1b3Q7U2VjdGlvbjEvbXJvcy12aXNpdDItZGF0YXNldC0wIDYgMC9BdXRvUmVtb3ZlZENvbHVtbnMxLntDb2x1bW4yMCwxOX0mcXVvdDssJnF1b3Q7U2VjdGlvbjEvbXJvcy12aXNpdDItZGF0YXNldC0wIDYgMC9BdXRvUmVtb3ZlZENvbHVtbnMxLntDb2x1bW4yMSwyMH0mcXVvdDssJnF1b3Q7U2VjdGlvbjEvbXJvcy12aXNpdDItZGF0YXNldC0wIDYgMC9BdXRvUmVtb3ZlZENvbHVtbnMxLntDb2x1bW4yMiwyMX0mcXVvdDssJnF1b3Q7U2VjdGlvbjEvbXJvcy12aXNpdDItZGF0YXNldC0wIDYgMC9BdXRvUmVtb3ZlZENvbHVtbnMxLntDb2x1bW4yMywyMn0mcXVvdDssJnF1b3Q7U2VjdGlvbjEvbXJvcy12aXNpdDItZGF0YXNldC0wIDYgMC9BdXRvUmVtb3ZlZENvbHVtbnMxLntDb2x1bW4yNCwyM30mcXVvdDssJnF1b3Q7U2VjdGlvbjEvbXJvcy12aXNpdDItZGF0YXNldC0wIDYgMC9BdXRvUmVtb3ZlZENvbHVtbnMxLntDb2x1bW4yNSwyNH0mcXVvdDssJnF1b3Q7U2VjdGlvbjEvbXJvcy12aXNpdDItZGF0YXNldC0wIDYgMC9BdXRvUmVtb3ZlZENvbHVtbnMxLntDb2x1bW4yNiwyNX0mcXVvdDssJnF1b3Q7U2VjdGlvbjEvbXJvcy12aXNpdDItZGF0YXNldC0wIDYgMC9BdXRvUmVtb3ZlZENvbHVtbnMxLntDb2x1bW4yNywyNn0mcXVvdDssJnF1b3Q7U2VjdGlvbjEvbXJvcy12aXNpdDItZGF0YXNldC0wIDYgMC9BdXRvUmVtb3ZlZENvbHVtbnMxLntDb2x1bW4yOCwyN30mcXVvdDssJnF1b3Q7U2VjdGlvbjEvbXJvcy12aXNpdDItZGF0YXNldC0wIDYgMC9BdXRvUmVtb3ZlZENvbHVtbnMxLntDb2x1bW4yOSwyOH0mcXVvdDssJnF1b3Q7U2VjdGlvbjEvbXJvcy12aXNpdDItZGF0YXNldC0wIDYgMC9BdXRvUmVtb3ZlZENvbHVtbnMxLntDb2x1bW4zMCwyOX0mcXVvdDssJnF1b3Q7U2VjdGlvbjEvbXJvcy12aXNpdDItZGF0YXNldC0wIDYgMC9BdXRvUmVtb3ZlZENvbHVtbnMxLntDb2x1bW4zMSwzMH0mcXVvdDssJnF1b3Q7U2VjdGlvbjEvbXJvcy12aXNpdDItZGF0YXNldC0wIDYgMC9BdXRvUmVtb3ZlZENvbHVtbnMxLntDb2x1bW4zMiwzMX0mcXVvdDssJnF1b3Q7U2VjdGlvbjEvbXJvcy12aXNpdDItZGF0YXNldC0wIDYgMC9BdXRvUmVtb3ZlZENvbHVtbnMxLntDb2x1bW4zMywzMn0mcXVvdDssJnF1b3Q7U2VjdGlvbjEvbXJvcy12aXNpdDItZGF0YXNldC0wIDYgMC9BdXRvUmVtb3ZlZENvbHVtbnMxLntDb2x1bW4zNCwzM30mcXVvdDssJnF1b3Q7U2VjdGlvbjEvbXJvcy12aXNpdDItZGF0YXNldC0wIDYgMC9BdXRvUmVtb3ZlZENvbHVtbnMxLntDb2x1bW4zNSwzNH0mcXVvdDssJnF1b3Q7U2VjdGlvbjEvbXJvcy12aXNpdDItZGF0YXNldC0wIDYgMC9BdXRvUmVtb3ZlZENvbHVtbnMxLntDb2x1bW4zNiwzNX0mcXVvdDssJnF1b3Q7U2VjdGlvbjEvbXJvcy12aXNpdDItZGF0YXNldC0wIDYgMC9BdXRvUmVtb3ZlZENvbHVtbnMxLntDb2x1bW4zNywzNn0mcXVvdDssJnF1b3Q7U2VjdGlvbjEvbXJvcy12aXNpdDItZGF0YXNldC0wIDYgMC9BdXRvUmVtb3ZlZENvbHVtbnMxLntDb2x1bW4zOCwzN30mcXVvdDssJnF1b3Q7U2VjdGlvbjEvbXJvcy12aXNpdDItZGF0YXNldC0wIDYgMC9BdXRvUmVtb3ZlZENvbHVtbnMxLntDb2x1bW4zOSwzOH0mcXVvdDssJnF1b3Q7U2VjdGlvbjEvbXJvcy12aXNpdDItZGF0YXNldC0wIDYgMC9BdXRvUmVtb3ZlZENvbHVtbnMxLntDb2x1bW40MCwzOX0mcXVvdDssJnF1b3Q7U2VjdGlvbjEvbXJvcy12aXNpdDItZGF0YXNldC0wIDYgMC9BdXRvUmVtb3ZlZENvbHVtbnMxLntDb2x1bW40MSw0MH0mcXVvdDssJnF1b3Q7U2VjdGlvbjEvbXJvcy12aXNpdDItZGF0YXNldC0wIDYgMC9BdXRvUmVtb3ZlZENvbHVtbnMxLntDb2x1bW40Miw0MX0mcXVvdDssJnF1b3Q7U2VjdGlvbjEvbXJvcy12aXNpdDItZGF0YXNldC0wIDYgMC9BdXRvUmVtb3ZlZENvbHVtbnMxLntDb2x1bW40Myw0Mn0mcXVvdDssJnF1b3Q7U2VjdGlvbjEvbXJvcy12aXNpdDItZGF0YXNldC0wIDYgMC9BdXRvUmVtb3ZlZENvbHVtbnMxLntDb2x1bW40NCw0M30mcXVvdDssJnF1b3Q7U2VjdGlvbjEvbXJvcy12aXNpdDItZGF0YXNldC0wIDYgMC9BdXRvUmVtb3ZlZENvbHVtbnMxLntDb2x1bW40NSw0NH0mcXVvdDssJnF1b3Q7U2VjdGlvbjEvbXJvcy12aXNpdDItZGF0YXNldC0wIDYgMC9BdXRvUmVtb3ZlZENvbHVtbnMxLntDb2x1bW40Niw0NX0mcXVvdDssJnF1b3Q7U2VjdGlvbjEvbXJvcy12aXNpdDItZGF0YXNldC0wIDYgMC9BdXRvUmVtb3ZlZENvbHVtbnMxLntDb2x1bW40Nyw0Nn0mcXVvdDssJnF1b3Q7U2VjdGlvbjEvbXJvcy12aXNpdDItZGF0YXNldC0wIDYgMC9BdXRvUmVtb3ZlZENvbHVtbnMxLntDb2x1bW40OCw0N30mcXVvdDssJnF1b3Q7U2VjdGlvbjEvbXJvcy12aXNpdDItZGF0YXNldC0wIDYgMC9BdXRvUmVtb3ZlZENvbHVtbnMxLntDb2x1bW40OSw0OH0mcXVvdDssJnF1b3Q7U2VjdGlvbjEvbXJvcy12aXNpdDItZGF0YXNldC0wIDYgMC9BdXRvUmVtb3ZlZENvbHVtbnMxLntDb2x1bW41MCw0OX0mcXVvdDssJnF1b3Q7U2VjdGlvbjEvbXJvcy12aXNpdDItZGF0YXNldC0wIDYgMC9BdXRvUmVtb3ZlZENvbHVtbnMxLntDb2x1bW41MSw1MH0mcXVvdDssJnF1b3Q7U2VjdGlvbjEvbXJvcy12aXNpdDItZGF0YXNldC0wIDYgMC9BdXRvUmVtb3ZlZENvbHVtbnMxLntDb2x1bW41Miw1MX0mcXVvdDssJnF1b3Q7U2VjdGlvbjEvbXJvcy12aXNpdDItZGF0YXNldC0wIDYgMC9BdXRvUmVtb3ZlZENvbHVtbnMxLntDb2x1bW41Myw1Mn0mcXVvdDssJnF1b3Q7U2VjdGlvbjEvbXJvcy12aXNpdDItZGF0YXNldC0wIDYgMC9BdXRvUmVtb3ZlZENvbHVtbnMxLntDb2x1bW41NCw1M30mcXVvdDssJnF1b3Q7U2VjdGlvbjEvbXJvcy12aXNpdDItZGF0YXNldC0wIDYgMC9BdXRvUmVtb3ZlZENvbHVtbnMxLntDb2x1bW41NSw1NH0mcXVvdDssJnF1b3Q7U2VjdGlvbjEvbXJvcy12aXNpdDItZGF0YXNldC0wIDYgMC9BdXRvUmVtb3ZlZENvbHVtbnMxLntDb2x1bW41Niw1NX0mcXVvdDssJnF1b3Q7U2VjdGlvbjEvbXJvcy12aXNpdDItZGF0YXNldC0wIDYgMC9BdXRvUmVtb3ZlZENvbHVtbnMxLntDb2x1bW41Nyw1Nn0mcXVvdDssJnF1b3Q7U2VjdGlvbjEvbXJvcy12aXNpdDItZGF0YXNldC0wIDYgMC9BdXRvUmVtb3ZlZENvbHVtbnMxLntDb2x1bW41OCw1N30mcXVvdDssJnF1b3Q7U2VjdGlvbjEvbXJvcy12aXNpdDItZGF0YXNldC0wIDYgMC9BdXRvUmVtb3ZlZENvbHVtbnMxLntDb2x1bW41OSw1OH0mcXVvdDssJnF1b3Q7U2VjdGlvbjEvbXJvcy12aXNpdDItZGF0YXNldC0wIDYgMC9BdXRvUmVtb3ZlZENvbHVtbnMxLntDb2x1bW42MCw1OX0mcXVvdDssJnF1b3Q7U2VjdGlvbjEvbXJvcy12aXNpdDItZGF0YXNldC0wIDYgMC9BdXRvUmVtb3ZlZENvbHVtbnMxLntDb2x1bW42MSw2MH0mcXVvdDssJnF1b3Q7U2VjdGlvbjEvbXJvcy12aXNpdDItZGF0YXNldC0wIDYgMC9BdXRvUmVtb3ZlZENvbHVtbnMxLntDb2x1bW42Miw2MX0mcXVvdDssJnF1b3Q7U2VjdGlvbjEvbXJvcy12aXNpdDItZGF0YXNldC0wIDYgMC9BdXRvUmVtb3ZlZENvbHVtbnMxLntDb2x1bW42Myw2Mn0mcXVvdDssJnF1b3Q7U2VjdGlvbjEvbXJvcy12aXNpdDItZGF0YXNldC0wIDYgMC9BdXRvUmVtb3ZlZENvbHVtbnMxLntDb2x1bW42NCw2M30mcXVvdDssJnF1b3Q7U2VjdGlvbjEvbXJvcy12aXNpdDItZGF0YXNldC0wIDYgMC9BdXRvUmVtb3ZlZENvbHVtbnMxLntDb2x1bW42NSw2NH0mcXVvdDssJnF1b3Q7U2VjdGlvbjEvbXJvcy12aXNpdDItZGF0YXNldC0wIDYgMC9BdXRvUmVtb3ZlZENvbHVtbnMxLntDb2x1bW42Niw2NX0mcXVvdDssJnF1b3Q7U2VjdGlvbjEvbXJvcy12aXNpdDItZGF0YXNldC0wIDYgMC9BdXRvUmVtb3ZlZENvbHVtbnMxLntDb2x1bW42Nyw2Nn0mcXVvdDssJnF1b3Q7U2VjdGlvbjEvbXJvcy12aXNpdDItZGF0YXNldC0wIDYgMC9BdXRvUmVtb3ZlZENvbHVtbnMxLntDb2x1bW42OCw2N30mcXVvdDssJnF1b3Q7U2VjdGlvbjEvbXJvcy12aXNpdDItZGF0YXNldC0wIDYgMC9BdXRvUmVtb3ZlZENvbHVtbnMxLntDb2x1bW42OSw2OH0mcXVvdDssJnF1b3Q7U2VjdGlvbjEvbXJvcy12aXNpdDItZGF0YXNldC0wIDYgMC9BdXRvUmVtb3ZlZENvbHVtbnMxLntDb2x1bW43MCw2OX0mcXVvdDssJnF1b3Q7U2VjdGlvbjEvbXJvcy12aXNpdDItZGF0YXNldC0wIDYgMC9BdXRvUmVtb3ZlZENvbHVtbnMxLntDb2x1bW43MSw3MH0mcXVvdDssJnF1b3Q7U2VjdGlvbjEvbXJvcy12aXNpdDItZGF0YXNldC0wIDYgMC9BdXRvUmVtb3ZlZENvbHVtbnMxLntDb2x1bW43Miw3MX0mcXVvdDssJnF1b3Q7U2VjdGlvbjEvbXJvcy12aXNpdDItZGF0YXNldC0wIDYgMC9BdXRvUmVtb3ZlZENvbHVtbnMxLntDb2x1bW43Myw3Mn0mcXVvdDssJnF1b3Q7U2VjdGlvbjEvbXJvcy12aXNpdDItZGF0YXNldC0wIDYgMC9BdXRvUmVtb3ZlZENvbHVtbnMxLntDb2x1bW43NCw3M30mcXVvdDssJnF1b3Q7U2VjdGlvbjEvbXJvcy12aXNpdDItZGF0YXNldC0wIDYgMC9BdXRvUmVtb3ZlZENvbHVtbnMxLntDb2x1bW43NSw3NH0mcXVvdDssJnF1b3Q7U2VjdGlvbjEvbXJvcy12aXNpdDItZGF0YXNldC0wIDYgMC9BdXRvUmVtb3ZlZENvbHVtbnMxLntDb2x1bW43Niw3NX0mcXVvdDssJnF1b3Q7U2VjdGlvbjEvbXJvcy12aXNpdDItZGF0YXNldC0wIDYgMC9BdXRvUmVtb3ZlZENvbHVtbnMxLntDb2x1bW43Nyw3Nn0mcXVvdDssJnF1b3Q7U2VjdGlvbjEvbXJvcy12aXNpdDItZGF0YXNldC0wIDYgMC9BdXRvUmVtb3ZlZENvbHVtbnMxLntDb2x1bW43OCw3N30mcXVvdDssJnF1b3Q7U2VjdGlvbjEvbXJvcy12aXNpdDItZGF0YXNldC0wIDYgMC9BdXRvUmVtb3ZlZENvbHVtbnMxLntDb2x1bW43OSw3OH0mcXVvdDssJnF1b3Q7U2VjdGlvbjEvbXJvcy12aXNpdDItZGF0YXNldC0wIDYgMC9BdXRvUmVtb3ZlZENvbHVtbnMxLntDb2x1bW44MCw3OX0mcXVvdDssJnF1b3Q7U2VjdGlvbjEvbXJvcy12aXNpdDItZGF0YXNldC0wIDYgMC9BdXRvUmVtb3ZlZENvbHVtbnMxLntDb2x1bW44MSw4MH0mcXVvdDssJnF1b3Q7U2VjdGlvbjEvbXJvcy12aXNpdDItZGF0YXNldC0wIDYgMC9BdXRvUmVtb3ZlZENvbHVtbnMxLntDb2x1bW44Miw4MX0mcXVvdDssJnF1b3Q7U2VjdGlvbjEvbXJvcy12aXNpdDItZGF0YXNldC0wIDYgMC9BdXRvUmVtb3ZlZENvbHVtbnMxLntDb2x1bW44Myw4Mn0mcXVvdDssJnF1b3Q7U2VjdGlvbjEvbXJvcy12aXNpdDItZGF0YXNldC0wIDYgMC9BdXRvUmVtb3ZlZENvbHVtbnMxLntDb2x1bW44NCw4M30mcXVvdDssJnF1b3Q7U2VjdGlvbjEvbXJvcy12aXNpdDItZGF0YXNldC0wIDYgMC9BdXRvUmVtb3ZlZENvbHVtbnMxLntDb2x1bW44NSw4NH0mcXVvdDssJnF1b3Q7U2VjdGlvbjEvbXJvcy12aXNpdDItZGF0YXNldC0wIDYgMC9BdXRvUmVtb3ZlZENvbHVtbnMxLntDb2x1bW44Niw4NX0mcXVvdDssJnF1b3Q7U2VjdGlvbjEvbXJvcy12aXNpdDItZGF0YXNldC0wIDYgMC9BdXRvUmVtb3ZlZENvbHVtbnMxLntDb2x1bW44Nyw4Nn0mcXVvdDssJnF1b3Q7U2VjdGlvbjEvbXJvcy12aXNpdDItZGF0YXNldC0wIDYgMC9BdXRvUmVtb3ZlZENvbHVtbnMxLntDb2x1bW44OCw4N30mcXVvdDssJnF1b3Q7U2VjdGlvbjEvbXJvcy12aXNpdDItZGF0YXNldC0wIDYgMC9BdXRvUmVtb3ZlZENvbHVtbnMxLntDb2x1bW44OSw4OH0mcXVvdDssJnF1b3Q7U2VjdGlvbjEvbXJvcy12aXNpdDItZGF0YXNldC0wIDYgMC9BdXRvUmVtb3ZlZENvbHVtbnMxLntDb2x1bW45MCw4OX0mcXVvdDssJnF1b3Q7U2VjdGlvbjEvbXJvcy12aXNpdDItZGF0YXNldC0wIDYgMC9BdXRvUmVtb3ZlZENvbHVtbnMxLntDb2x1bW45MSw5MH0mcXVvdDssJnF1b3Q7U2VjdGlvbjEvbXJvcy12aXNpdDItZGF0YXNldC0wIDYgMC9BdXRvUmVtb3ZlZENvbHVtbnMxLntDb2x1bW45Miw5MX0mcXVvdDssJnF1b3Q7U2VjdGlvbjEvbXJvcy12aXNpdDItZGF0YXNldC0wIDYgMC9BdXRvUmVtb3ZlZENvbHVtbnMxLntDb2x1bW45Myw5Mn0mcXVvdDssJnF1b3Q7U2VjdGlvbjEvbXJvcy12aXNpdDItZGF0YXNldC0wIDYgMC9BdXRvUmVtb3ZlZENvbHVtbnMxLntDb2x1bW45NCw5M30mcXVvdDssJnF1b3Q7U2VjdGlvbjEvbXJvcy12aXNpdDItZGF0YXNldC0wIDYgMC9BdXRvUmVtb3ZlZENvbHVtbnMxLntDb2x1bW45NSw5NH0mcXVvdDssJnF1b3Q7U2VjdGlvbjEvbXJvcy12aXNpdDItZGF0YXNldC0wIDYgMC9BdXRvUmVtb3ZlZENvbHVtbnMxLntDb2x1bW45Niw5NX0mcXVvdDssJnF1b3Q7U2VjdGlvbjEvbXJvcy12aXNpdDItZGF0YXNldC0wIDYgMC9BdXRvUmVtb3ZlZENvbHVtbnMxLntDb2x1bW45Nyw5Nn0mcXVvdDssJnF1b3Q7U2VjdGlvbjEvbXJvcy12aXNpdDItZGF0YXNldC0wIDYgMC9BdXRvUmVtb3ZlZENvbHVtbnMxLntDb2x1bW45OCw5N30mcXVvdDssJnF1b3Q7U2VjdGlvbjEvbXJvcy12aXNpdDItZGF0YXNldC0wIDYgMC9BdXRvUmVtb3ZlZENvbHVtbnMxLntDb2x1bW45OSw5OH0mcXVvdDssJnF1b3Q7U2VjdGlvbjEvbXJvcy12aXNpdDItZGF0YXNldC0wIDYgMC9BdXRvUmVtb3ZlZENvbHVtbnMxLntDb2x1bW4xMDAsOTl9JnF1b3Q7LCZxdW90O1NlY3Rpb24xL21yb3MtdmlzaXQyLWRhdGFzZXQtMCA2IDAvQXV0b1JlbW92ZWRDb2x1bW5zMS57Q29sdW1uMTAxLDEwMH0mcXVvdDssJnF1b3Q7U2VjdGlvbjEvbXJvcy12aXNpdDItZGF0YXNldC0wIDYgMC9BdXRvUmVtb3ZlZENvbHVtbnMxLntDb2x1bW4xMDIsMTAxfSZxdW90OywmcXVvdDtTZWN0aW9uMS9tcm9zLXZpc2l0Mi1kYXRhc2V0LTAgNiAwL0F1dG9SZW1vdmVkQ29sdW1uczEue0NvbHVtbjEwMywxMDJ9JnF1b3Q7LCZxdW90O1NlY3Rpb24xL21yb3MtdmlzaXQyLWRhdGFzZXQtMCA2IDAvQXV0b1JlbW92ZWRDb2x1bW5zMS57Q29sdW1uMTA0LDEwM30mcXVvdDssJnF1b3Q7U2VjdGlvbjEvbXJvcy12aXNpdDItZGF0YXNldC0wIDYgMC9BdXRvUmVtb3ZlZENvbHVtbnMxLntDb2x1bW4xMDUsMTA0fSZxdW90OywmcXVvdDtTZWN0aW9uMS9tcm9zLXZpc2l0Mi1kYXRhc2V0LTAgNiAwL0F1dG9SZW1vdmVkQ29sdW1uczEue0NvbHVtbjEwNiwxMDV9JnF1b3Q7LCZxdW90O1NlY3Rpb24xL21yb3MtdmlzaXQyLWRhdGFzZXQtMCA2IDAvQXV0b1JlbW92ZWRDb2x1bW5zMS57Q29sdW1uMTA3LDEwNn0mcXVvdDssJnF1b3Q7U2VjdGlvbjEvbXJvcy12aXNpdDItZGF0YXNldC0wIDYgMC9BdXRvUmVtb3ZlZENvbHVtbnMxLntDb2x1bW4xMDgsMTA3fSZxdW90OywmcXVvdDtTZWN0aW9uMS9tcm9zLXZpc2l0Mi1kYXRhc2V0LTAgNiAwL0F1dG9SZW1vdmVkQ29sdW1uczEue0NvbHVtbjEwOSwxMDh9JnF1b3Q7LCZxdW90O1NlY3Rpb24xL21yb3MtdmlzaXQyLWRhdGFzZXQtMCA2IDAvQXV0b1JlbW92ZWRDb2x1bW5zMS57Q29sdW1uMTEwLDEwOX0mcXVvdDssJnF1b3Q7U2VjdGlvbjEvbXJvcy12aXNpdDItZGF0YXNldC0wIDYgMC9BdXRvUmVtb3ZlZENvbHVtbnMxLntDb2x1bW4xMTEsMTEwfSZxdW90OywmcXVvdDtTZWN0aW9uMS9tcm9zLXZpc2l0Mi1kYXRhc2V0LTAgNiAwL0F1dG9SZW1vdmVkQ29sdW1uczEue0NvbHVtbjExMiwxMTF9JnF1b3Q7LCZxdW90O1NlY3Rpb24xL21yb3MtdmlzaXQyLWRhdGFzZXQtMCA2IDAvQXV0b1JlbW92ZWRDb2x1bW5zMS57Q29sdW1uMTEzLDExMn0mcXVvdDssJnF1b3Q7U2VjdGlvbjEvbXJvcy12aXNpdDItZGF0YXNldC0wIDYgMC9BdXRvUmVtb3ZlZENvbHVtbnMxLntDb2x1bW4xMTQsMTEzfSZxdW90OywmcXVvdDtTZWN0aW9uMS9tcm9zLXZpc2l0Mi1kYXRhc2V0LTAgNiAwL0F1dG9SZW1vdmVkQ29sdW1uczEue0NvbHVtbjExNSwxMTR9JnF1b3Q7LCZxdW90O1NlY3Rpb24xL21yb3MtdmlzaXQyLWRhdGFzZXQtMCA2IDAvQXV0b1JlbW92ZWRDb2x1bW5zMS57Q29sdW1uMTE2LDExNX0mcXVvdDssJnF1b3Q7U2VjdGlvbjEvbXJvcy12aXNpdDItZGF0YXNldC0wIDYgMC9BdXRvUmVtb3ZlZENvbHVtbnMxLntDb2x1bW4xMTcsMTE2fSZxdW90OywmcXVvdDtTZWN0aW9uMS9tcm9zLXZpc2l0Mi1kYXRhc2V0LTAgNiAwL0F1dG9SZW1vdmVkQ29sdW1uczEue0NvbHVtbjExOCwxMTd9JnF1b3Q7LCZxdW90O1NlY3Rpb24xL21yb3MtdmlzaXQyLWRhdGFzZXQtMCA2IDAvQXV0b1JlbW92ZWRDb2x1bW5zMS57Q29sdW1uMTE5LDExOH0mcXVvdDssJnF1b3Q7U2VjdGlvbjEvbXJvcy12aXNpdDItZGF0YXNldC0wIDYgMC9BdXRvUmVtb3ZlZENvbHVtbnMxLntDb2x1bW4xMjAsMTE5fSZxdW90OywmcXVvdDtTZWN0aW9uMS9tcm9zLXZpc2l0Mi1kYXRhc2V0LTAgNiAwL0F1dG9SZW1vdmVkQ29sdW1uczEue0NvbHVtbjEyMSwxMjB9JnF1b3Q7LCZxdW90O1NlY3Rpb24xL21yb3MtdmlzaXQyLWRhdGFzZXQtMCA2IDAvQXV0b1JlbW92ZWRDb2x1bW5zMS57Q29sdW1uMTIyLDEyMX0mcXVvdDssJnF1b3Q7U2VjdGlvbjEvbXJvcy12aXNpdDItZGF0YXNldC0wIDYgMC9BdXRvUmVtb3ZlZENvbHVtbnMxLntDb2x1bW4xMjMsMTIyfSZxdW90OywmcXVvdDtTZWN0aW9uMS9tcm9zLXZpc2l0Mi1kYXRhc2V0LTAgNiAwL0F1dG9SZW1vdmVkQ29sdW1uczEue0NvbHVtbjEyNCwxMjN9JnF1b3Q7LCZxdW90O1NlY3Rpb24xL21yb3MtdmlzaXQyLWRhdGFzZXQtMCA2IDAvQXV0b1JlbW92ZWRDb2x1bW5zMS57Q29sdW1uMTI1LDEyNH0mcXVvdDssJnF1b3Q7U2VjdGlvbjEvbXJvcy12aXNpdDItZGF0YXNldC0wIDYgMC9BdXRvUmVtb3ZlZENvbHVtbnMxLntDb2x1bW4xMjYsMTI1fSZxdW90OywmcXVvdDtTZWN0aW9uMS9tcm9zLXZpc2l0Mi1kYXRhc2V0LTAgNiAwL0F1dG9SZW1vdmVkQ29sdW1uczEue0NvbHVtbjEyNywxMjZ9JnF1b3Q7LCZxdW90O1NlY3Rpb24xL21yb3MtdmlzaXQyLWRhdGFzZXQtMCA2IDAvQXV0b1JlbW92ZWRDb2x1bW5zMS57Q29sdW1uMTI4LDEyN30mcXVvdDssJnF1b3Q7U2VjdGlvbjEvbXJvcy12aXNpdDItZGF0YXNldC0wIDYgMC9BdXRvUmVtb3ZlZENvbHVtbnMxLntDb2x1bW4xMjksMTI4fSZxdW90OywmcXVvdDtTZWN0aW9uMS9tcm9zLXZpc2l0Mi1kYXRhc2V0LTAgNiAwL0F1dG9SZW1vdmVkQ29sdW1uczEue0NvbHVtbjEzMCwxMjl9JnF1b3Q7LCZxdW90O1NlY3Rpb24xL21yb3MtdmlzaXQyLWRhdGFzZXQtMCA2IDAvQXV0b1JlbW92ZWRDb2x1bW5zMS57Q29sdW1uMTMxLDEzMH0mcXVvdDssJnF1b3Q7U2VjdGlvbjEvbXJvcy12aXNpdDItZGF0YXNldC0wIDYgMC9BdXRvUmVtb3ZlZENvbHVtbnMxLntDb2x1bW4xMzIsMTMxfSZxdW90OywmcXVvdDtTZWN0aW9uMS9tcm9zLXZpc2l0Mi1kYXRhc2V0LTAgNiAwL0F1dG9SZW1vdmVkQ29sdW1uczEue0NvbHVtbjEzMywxMzJ9JnF1b3Q7LCZxdW90O1NlY3Rpb24xL21yb3MtdmlzaXQyLWRhdGFzZXQtMCA2IDAvQXV0b1JlbW92ZWRDb2x1bW5zMS57Q29sdW1uMTM0LDEzM30mcXVvdDssJnF1b3Q7U2VjdGlvbjEvbXJvcy12aXNpdDItZGF0YXNldC0wIDYgMC9BdXRvUmVtb3ZlZENvbHVtbnMxLntDb2x1bW4xMzUsMTM0fSZxdW90OywmcXVvdDtTZWN0aW9uMS9tcm9zLXZpc2l0Mi1kYXRhc2V0LTAgNiAwL0F1dG9SZW1vdmVkQ29sdW1uczEue0NvbHVtbjEzNiwxMzV9JnF1b3Q7LCZxdW90O1NlY3Rpb24xL21yb3MtdmlzaXQyLWRhdGFzZXQtMCA2IDAvQXV0b1JlbW92ZWRDb2x1bW5zMS57Q29sdW1uMTM3LDEzNn0mcXVvdDssJnF1b3Q7U2VjdGlvbjEvbXJvcy12aXNpdDItZGF0YXNldC0wIDYgMC9BdXRvUmVtb3ZlZENvbHVtbnMxLntDb2x1bW4xMzgsMTM3fSZxdW90OywmcXVvdDtTZWN0aW9uMS9tcm9zLXZpc2l0Mi1kYXRhc2V0LTAgNiAwL0F1dG9SZW1vdmVkQ29sdW1uczEue0NvbHVtbjEzOSwxMzh9JnF1b3Q7LCZxdW90O1NlY3Rpb24xL21yb3MtdmlzaXQyLWRhdGFzZXQtMCA2IDAvQXV0b1JlbW92ZWRDb2x1bW5zMS57Q29sdW1uMTQwLDEzOX0mcXVvdDssJnF1b3Q7U2VjdGlvbjEvbXJvcy12aXNpdDItZGF0YXNldC0wIDYgMC9BdXRvUmVtb3ZlZENvbHVtbnMxLntDb2x1bW4xNDEsMTQwfSZxdW90OywmcXVvdDtTZWN0aW9uMS9tcm9zLXZpc2l0Mi1kYXRhc2V0LTAgNiAwL0F1dG9SZW1vdmVkQ29sdW1uczEue0NvbHVtbjE0MiwxNDF9JnF1b3Q7LCZxdW90O1NlY3Rpb24xL21yb3MtdmlzaXQyLWRhdGFzZXQtMCA2IDAvQXV0b1JlbW92ZWRDb2x1bW5zMS57Q29sdW1uMTQzLDE0Mn0mcXVvdDssJnF1b3Q7U2VjdGlvbjEvbXJvcy12aXNpdDItZGF0YXNldC0wIDYgMC9BdXRvUmVtb3ZlZENvbHVtbnMxLntDb2x1bW4xNDQsMTQzfSZxdW90OywmcXVvdDtTZWN0aW9uMS9tcm9zLXZpc2l0Mi1kYXRhc2V0LTAgNiAwL0F1dG9SZW1vdmVkQ29sdW1uczEue0NvbHVtbjE0NSwxNDR9JnF1b3Q7LCZxdW90O1NlY3Rpb24xL21yb3MtdmlzaXQyLWRhdGFzZXQtMCA2IDAvQXV0b1JlbW92ZWRDb2x1bW5zMS57Q29sdW1uMTQ2LDE0NX0mcXVvdDssJnF1b3Q7U2VjdGlvbjEvbXJvcy12aXNpdDItZGF0YXNldC0wIDYgMC9BdXRvUmVtb3ZlZENvbHVtbnMxLntDb2x1bW4xNDcsMTQ2fSZxdW90OywmcXVvdDtTZWN0aW9uMS9tcm9zLXZpc2l0Mi1kYXRhc2V0LTAgNiAwL0F1dG9SZW1vdmVkQ29sdW1uczEue0NvbHVtbjE0OCwxNDd9JnF1b3Q7LCZxdW90O1NlY3Rpb24xL21yb3MtdmlzaXQyLWRhdGFzZXQtMCA2IDAvQXV0b1JlbW92ZWRDb2x1bW5zMS57Q29sdW1uMTQ5LDE0OH0mcXVvdDssJnF1b3Q7U2VjdGlvbjEvbXJvcy12aXNpdDItZGF0YXNldC0wIDYgMC9BdXRvUmVtb3ZlZENvbHVtbnMxLntDb2x1bW4xNTAsMTQ5fSZxdW90OywmcXVvdDtTZWN0aW9uMS9tcm9zLXZpc2l0Mi1kYXRhc2V0LTAgNiAwL0F1dG9SZW1vdmVkQ29sdW1uczEue0NvbHVtbjE1MSwxNTB9JnF1b3Q7LCZxdW90O1NlY3Rpb24xL21yb3MtdmlzaXQyLWRhdGFzZXQtMCA2IDAvQXV0b1JlbW92ZWRDb2x1bW5zMS57Q29sdW1uMTUyLDE1MX0mcXVvdDssJnF1b3Q7U2VjdGlvbjEvbXJvcy12aXNpdDItZGF0YXNldC0wIDYgMC9BdXRvUmVtb3ZlZENvbHVtbnMxLntDb2x1bW4xNTMsMTUyfSZxdW90OywmcXVvdDtTZWN0aW9uMS9tcm9zLXZpc2l0Mi1kYXRhc2V0LTAgNiAwL0F1dG9SZW1vdmVkQ29sdW1uczEue0NvbHVtbjE1NCwxNTN9JnF1b3Q7LCZxdW90O1NlY3Rpb24xL21yb3MtdmlzaXQyLWRhdGFzZXQtMCA2IDAvQXV0b1JlbW92ZWRDb2x1bW5zMS57Q29sdW1uMTU1LDE1NH0mcXVvdDssJnF1b3Q7U2VjdGlvbjEvbXJvcy12aXNpdDItZGF0YXNldC0wIDYgMC9BdXRvUmVtb3ZlZENvbHVtbnMxLntDb2x1bW4xNTYsMTU1fSZxdW90OywmcXVvdDtTZWN0aW9uMS9tcm9zLXZpc2l0Mi1kYXRhc2V0LTAgNiAwL0F1dG9SZW1vdmVkQ29sdW1uczEue0NvbHVtbjE1NywxNTZ9JnF1b3Q7LCZxdW90O1NlY3Rpb24xL21yb3MtdmlzaXQyLWRhdGFzZXQtMCA2IDAvQXV0b1JlbW92ZWRDb2x1bW5zMS57Q29sdW1uMTU4LDE1N30mcXVvdDssJnF1b3Q7U2VjdGlvbjEvbXJvcy12aXNpdDItZGF0YXNldC0wIDYgMC9BdXRvUmVtb3ZlZENvbHVtbnMxLntDb2x1bW4xNTksMTU4fSZxdW90OywmcXVvdDtTZWN0aW9uMS9tcm9zLXZpc2l0Mi1kYXRhc2V0LTAgNiAwL0F1dG9SZW1vdmVkQ29sdW1uczEue0NvbHVtbjE2MCwxNTl9JnF1b3Q7LCZxdW90O1NlY3Rpb24xL21yb3MtdmlzaXQyLWRhdGFzZXQtMCA2IDAvQXV0b1JlbW92ZWRDb2x1bW5zMS57Q29sdW1uMTYxLDE2MH0mcXVvdDssJnF1b3Q7U2VjdGlvbjEvbXJvcy12aXNpdDItZGF0YXNldC0wIDYgMC9BdXRvUmVtb3ZlZENvbHVtbnMxLntDb2x1bW4xNjIsMTYxfSZxdW90OywmcXVvdDtTZWN0aW9uMS9tcm9zLXZpc2l0Mi1kYXRhc2V0LTAgNiAwL0F1dG9SZW1vdmVkQ29sdW1uczEue0NvbHVtbjE2MywxNjJ9JnF1b3Q7LCZxdW90O1NlY3Rpb24xL21yb3MtdmlzaXQyLWRhdGFzZXQtMCA2IDAvQXV0b1JlbW92ZWRDb2x1bW5zMS57Q29sdW1uMTY0LDE2M30mcXVvdDssJnF1b3Q7U2VjdGlvbjEvbXJvcy12aXNpdDItZGF0YXNldC0wIDYgMC9BdXRvUmVtb3ZlZENvbHVtbnMxLntDb2x1bW4xNjUsMTY0fSZxdW90OywmcXVvdDtTZWN0aW9uMS9tcm9zLXZpc2l0Mi1kYXRhc2V0LTAgNiAwL0F1dG9SZW1vdmVkQ29sdW1uczEue0NvbHVtbjE2NiwxNjV9JnF1b3Q7LCZxdW90O1NlY3Rpb24xL21yb3MtdmlzaXQyLWRhdGFzZXQtMCA2IDAvQXV0b1JlbW92ZWRDb2x1bW5zMS57Q29sdW1uMTY3LDE2Nn0mcXVvdDssJnF1b3Q7U2VjdGlvbjEvbXJvcy12aXNpdDItZGF0YXNldC0wIDYgMC9BdXRvUmVtb3ZlZENvbHVtbnMxLntDb2x1bW4xNjgsMTY3fSZxdW90OywmcXVvdDtTZWN0aW9uMS9tcm9zLXZpc2l0Mi1kYXRhc2V0LTAgNiAwL0F1dG9SZW1vdmVkQ29sdW1uczEue0NvbHVtbjE2OSwxNjh9JnF1b3Q7LCZxdW90O1NlY3Rpb24xL21yb3MtdmlzaXQyLWRhdGFzZXQtMCA2IDAvQXV0b1JlbW92ZWRDb2x1bW5zMS57Q29sdW1uMTcwLDE2OX0mcXVvdDssJnF1b3Q7U2VjdGlvbjEvbXJvcy12aXNpdDItZGF0YXNldC0wIDYgMC9BdXRvUmVtb3ZlZENvbHVtbnMxLntDb2x1bW4xNzEsMTcwfSZxdW90OywmcXVvdDtTZWN0aW9uMS9tcm9zLXZpc2l0Mi1kYXRhc2V0LTAgNiAwL0F1dG9SZW1vdmVkQ29sdW1uczEue0NvbHVtbjE3MiwxNzF9JnF1b3Q7LCZxdW90O1NlY3Rpb24xL21yb3MtdmlzaXQyLWRhdGFzZXQtMCA2IDAvQXV0b1JlbW92ZWRDb2x1bW5zMS57Q29sdW1uMTczLDE3Mn0mcXVvdDssJnF1b3Q7U2VjdGlvbjEvbXJvcy12aXNpdDItZGF0YXNldC0wIDYgMC9BdXRvUmVtb3ZlZENvbHVtbnMxLntDb2x1bW4xNzQsMTczfSZxdW90OywmcXVvdDtTZWN0aW9uMS9tcm9zLXZpc2l0Mi1kYXRhc2V0LTAgNiAwL0F1dG9SZW1vdmVkQ29sdW1uczEue0NvbHVtbjE3NSwxNzR9JnF1b3Q7LCZxdW90O1NlY3Rpb24xL21yb3MtdmlzaXQyLWRhdGFzZXQtMCA2IDAvQXV0b1JlbW92ZWRDb2x1bW5zMS57Q29sdW1uMTc2LDE3NX0mcXVvdDssJnF1b3Q7U2VjdGlvbjEvbXJvcy12aXNpdDItZGF0YXNldC0wIDYgMC9BdXRvUmVtb3ZlZENvbHVtbnMxLntDb2x1bW4xNzcsMTc2fSZxdW90OywmcXVvdDtTZWN0aW9uMS9tcm9zLXZpc2l0Mi1kYXRhc2V0LTAgNiAwL0F1dG9SZW1vdmVkQ29sdW1uczEue0NvbHVtbjE3OCwxNzd9JnF1b3Q7LCZxdW90O1NlY3Rpb24xL21yb3MtdmlzaXQyLWRhdGFzZXQtMCA2IDAvQXV0b1JlbW92ZWRDb2x1bW5zMS57Q29sdW1uMTc5LDE3OH0mcXVvdDssJnF1b3Q7U2VjdGlvbjEvbXJvcy12aXNpdDItZGF0YXNldC0wIDYgMC9BdXRvUmVtb3ZlZENvbHVtbnMxLntDb2x1bW4xODAsMTc5fSZxdW90OywmcXVvdDtTZWN0aW9uMS9tcm9zLXZpc2l0Mi1kYXRhc2V0LTAgNiAwL0F1dG9SZW1vdmVkQ29sdW1uczEue0NvbHVtbjE4MSwxODB9JnF1b3Q7LCZxdW90O1NlY3Rpb24xL21yb3MtdmlzaXQyLWRhdGFzZXQtMCA2IDAvQXV0b1JlbW92ZWRDb2x1bW5zMS57Q29sdW1uMTgyLDE4MX0mcXVvdDssJnF1b3Q7U2VjdGlvbjEvbXJvcy12aXNpdDItZGF0YXNldC0wIDYgMC9BdXRvUmVtb3ZlZENvbHVtbnMxLntDb2x1bW4xODMsMTgyfSZxdW90OywmcXVvdDtTZWN0aW9uMS9tcm9zLXZpc2l0Mi1kYXRhc2V0LTAgNiAwL0F1dG9SZW1vdmVkQ29sdW1uczEue0NvbHVtbjE4NCwxODN9JnF1b3Q7LCZxdW90O1NlY3Rpb24xL21yb3MtdmlzaXQyLWRhdGFzZXQtMCA2IDAvQXV0b1JlbW92ZWRDb2x1bW5zMS57Q29sdW1uMTg1LDE4NH0mcXVvdDssJnF1b3Q7U2VjdGlvbjEvbXJvcy12aXNpdDItZGF0YXNldC0wIDYgMC9BdXRvUmVtb3ZlZENvbHVtbnMxLntDb2x1bW4xODYsMTg1fSZxdW90OywmcXVvdDtTZWN0aW9uMS9tcm9zLXZpc2l0Mi1kYXRhc2V0LTAgNiAwL0F1dG9SZW1vdmVkQ29sdW1uczEue0NvbHVtbjE4NywxODZ9JnF1b3Q7LCZxdW90O1NlY3Rpb24xL21yb3MtdmlzaXQyLWRhdGFzZXQtMCA2IDAvQXV0b1JlbW92ZWRDb2x1bW5zMS57Q29sdW1uMTg4LDE4N30mcXVvdDssJnF1b3Q7U2VjdGlvbjEvbXJvcy12aXNpdDItZGF0YXNldC0wIDYgMC9BdXRvUmVtb3ZlZENvbHVtbnMxLntDb2x1bW4xODksMTg4fSZxdW90OywmcXVvdDtTZWN0aW9uMS9tcm9zLXZpc2l0Mi1kYXRhc2V0LTAgNiAwL0F1dG9SZW1vdmVkQ29sdW1uczEue0NvbHVtbjE5MCwxODl9JnF1b3Q7LCZxdW90O1NlY3Rpb24xL21yb3MtdmlzaXQyLWRhdGFzZXQtMCA2IDAvQXV0b1JlbW92ZWRDb2x1bW5zMS57Q29sdW1uMTkxLDE5MH0mcXVvdDssJnF1b3Q7U2VjdGlvbjEvbXJvcy12aXNpdDItZGF0YXNldC0wIDYgMC9BdXRvUmVtb3ZlZENvbHVtbnMxLntDb2x1bW4xOTIsMTkxfSZxdW90OywmcXVvdDtTZWN0aW9uMS9tcm9zLXZpc2l0Mi1kYXRhc2V0LTAgNiAwL0F1dG9SZW1vdmVkQ29sdW1uczEue0NvbHVtbjE5MywxOTJ9JnF1b3Q7LCZxdW90O1NlY3Rpb24xL21yb3MtdmlzaXQyLWRhdGFzZXQtMCA2IDAvQXV0b1JlbW92ZWRDb2x1bW5zMS57Q29sdW1uMTk0LDE5M30mcXVvdDssJnF1b3Q7U2VjdGlvbjEvbXJvcy12aXNpdDItZGF0YXNldC0wIDYgMC9BdXRvUmVtb3ZlZENvbHVtbnMxLntDb2x1bW4xOTUsMTk0fSZxdW90OywmcXVvdDtTZWN0aW9uMS9tcm9zLXZpc2l0Mi1kYXRhc2V0LTAgNiAwL0F1dG9SZW1vdmVkQ29sdW1uczEue0NvbHVtbjE5NiwxOTV9JnF1b3Q7LCZxdW90O1NlY3Rpb24xL21yb3MtdmlzaXQyLWRhdGFzZXQtMCA2IDAvQXV0b1JlbW92ZWRDb2x1bW5zMS57Q29sdW1uMTk3LDE5Nn0mcXVvdDssJnF1b3Q7U2VjdGlvbjEvbXJvcy12aXNpdDItZGF0YXNldC0wIDYgMC9BdXRvUmVtb3ZlZENvbHVtbnMxLntDb2x1bW4xOTgsMTk3fSZxdW90OywmcXVvdDtTZWN0aW9uMS9tcm9zLXZpc2l0Mi1kYXRhc2V0LTAgNiAwL0F1dG9SZW1vdmVkQ29sdW1uczEue0NvbHVtbjE5OSwxOTh9JnF1b3Q7LCZxdW90O1NlY3Rpb24xL21yb3MtdmlzaXQyLWRhdGFzZXQtMCA2IDAvQXV0b1JlbW92ZWRDb2x1bW5zMS57Q29sdW1uMjAwLDE5OX0mcXVvdDssJnF1b3Q7U2VjdGlvbjEvbXJvcy12aXNpdDItZGF0YXNldC0wIDYgMC9BdXRvUmVtb3ZlZENvbHVtbnMxLntDb2x1bW4yMDEsMjAwfSZxdW90OywmcXVvdDtTZWN0aW9uMS9tcm9zLXZpc2l0Mi1kYXRhc2V0LTAgNiAwL0F1dG9SZW1vdmVkQ29sdW1uczEue0NvbHVtbjIwMiwyMDF9JnF1b3Q7LCZxdW90O1NlY3Rpb24xL21yb3MtdmlzaXQyLWRhdGFzZXQtMCA2IDAvQXV0b1JlbW92ZWRDb2x1bW5zMS57Q29sdW1uMjAzLDIwMn0mcXVvdDssJnF1b3Q7U2VjdGlvbjEvbXJvcy12aXNpdDItZGF0YXNldC0wIDYgMC9BdXRvUmVtb3ZlZENvbHVtbnMxLntDb2x1bW4yMDQsMjAzfSZxdW90OywmcXVvdDtTZWN0aW9uMS9tcm9zLXZpc2l0Mi1kYXRhc2V0LTAgNiAwL0F1dG9SZW1vdmVkQ29sdW1uczEue0NvbHVtbjIwNSwyMDR9JnF1b3Q7LCZxdW90O1NlY3Rpb24xL21yb3MtdmlzaXQyLWRhdGFzZXQtMCA2IDAvQXV0b1JlbW92ZWRDb2x1bW5zMS57Q29sdW1uMjA2LDIwNX0mcXVvdDssJnF1b3Q7U2VjdGlvbjEvbXJvcy12aXNpdDItZGF0YXNldC0wIDYgMC9BdXRvUmVtb3ZlZENvbHVtbnMxLntDb2x1bW4yMDcsMjA2fSZxdW90OywmcXVvdDtTZWN0aW9uMS9tcm9zLXZpc2l0Mi1kYXRhc2V0LTAgNiAwL0F1dG9SZW1vdmVkQ29sdW1uczEue0NvbHVtbjIwOCwyMDd9JnF1b3Q7LCZxdW90O1NlY3Rpb24xL21yb3MtdmlzaXQyLWRhdGFzZXQtMCA2IDAvQXV0b1JlbW92ZWRDb2x1bW5zMS57Q29sdW1uMjA5LDIwOH0mcXVvdDssJnF1b3Q7U2VjdGlvbjEvbXJvcy12aXNpdDItZGF0YXNldC0wIDYgMC9BdXRvUmVtb3ZlZENvbHVtbnMxLntDb2x1bW4yMTAsMjA5fSZxdW90OywmcXVvdDtTZWN0aW9uMS9tcm9zLXZpc2l0Mi1kYXRhc2V0LTAgNiAwL0F1dG9SZW1vdmVkQ29sdW1uczEue0NvbHVtbjIxMSwyMTB9JnF1b3Q7LCZxdW90O1NlY3Rpb24xL21yb3MtdmlzaXQyLWRhdGFzZXQtMCA2IDAvQXV0b1JlbW92ZWRDb2x1bW5zMS57Q29sdW1uMjEyLDIxMX0mcXVvdDssJnF1b3Q7U2VjdGlvbjEvbXJvcy12aXNpdDItZGF0YXNldC0wIDYgMC9BdXRvUmVtb3ZlZENvbHVtbnMxLntDb2x1bW4yMTMsMjEyfSZxdW90OywmcXVvdDtTZWN0aW9uMS9tcm9zLXZpc2l0Mi1kYXRhc2V0LTAgNiAwL0F1dG9SZW1vdmVkQ29sdW1uczEue0NvbHVtbjIxNCwyMTN9JnF1b3Q7LCZxdW90O1NlY3Rpb24xL21yb3MtdmlzaXQyLWRhdGFzZXQtMCA2IDAvQXV0b1JlbW92ZWRDb2x1bW5zMS57Q29sdW1uMjE1LDIxNH0mcXVvdDssJnF1b3Q7U2VjdGlvbjEvbXJvcy12aXNpdDItZGF0YXNldC0wIDYgMC9BdXRvUmVtb3ZlZENvbHVtbnMxLntDb2x1bW4yMTYsMjE1fSZxdW90OywmcXVvdDtTZWN0aW9uMS9tcm9zLXZpc2l0Mi1kYXRhc2V0LTAgNiAwL0F1dG9SZW1vdmVkQ29sdW1uczEue0NvbHVtbjIxNywyMTZ9JnF1b3Q7LCZxdW90O1NlY3Rpb24xL21yb3MtdmlzaXQyLWRhdGFzZXQtMCA2IDAvQXV0b1JlbW92ZWRDb2x1bW5zMS57Q29sdW1uMjE4LDIxN30mcXVvdDssJnF1b3Q7U2VjdGlvbjEvbXJvcy12aXNpdDItZGF0YXNldC0wIDYgMC9BdXRvUmVtb3ZlZENvbHVtbnMxLntDb2x1bW4yMTksMjE4fSZxdW90OywmcXVvdDtTZWN0aW9uMS9tcm9zLXZpc2l0Mi1kYXRhc2V0LTAgNiAwL0F1dG9SZW1vdmVkQ29sdW1uczEue0NvbHVtbjIyMCwyMTl9JnF1b3Q7LCZxdW90O1NlY3Rpb24xL21yb3MtdmlzaXQyLWRhdGFzZXQtMCA2IDAvQXV0b1JlbW92ZWRDb2x1bW5zMS57Q29sdW1uMjIxLDIyMH0mcXVvdDssJnF1b3Q7U2VjdGlvbjEvbXJvcy12aXNpdDItZGF0YXNldC0wIDYgMC9BdXRvUmVtb3ZlZENvbHVtbnMxLntDb2x1bW4yMjIsMjIxfSZxdW90OywmcXVvdDtTZWN0aW9uMS9tcm9zLXZpc2l0Mi1kYXRhc2V0LTAgNiAwL0F1dG9SZW1vdmVkQ29sdW1uczEue0NvbHVtbjIyMywyMjJ9JnF1b3Q7LCZxdW90O1NlY3Rpb24xL21yb3MtdmlzaXQyLWRhdGFzZXQtMCA2IDAvQXV0b1JlbW92ZWRDb2x1bW5zMS57Q29sdW1uMjI0LDIyM30mcXVvdDssJnF1b3Q7U2VjdGlvbjEvbXJvcy12aXNpdDItZGF0YXNldC0wIDYgMC9BdXRvUmVtb3ZlZENvbHVtbnMxLntDb2x1bW4yMjUsMjI0fSZxdW90OywmcXVvdDtTZWN0aW9uMS9tcm9zLXZpc2l0Mi1kYXRhc2V0LTAgNiAwL0F1dG9SZW1vdmVkQ29sdW1uczEue0NvbHVtbjIyNiwyMjV9JnF1b3Q7LCZxdW90O1NlY3Rpb24xL21yb3MtdmlzaXQyLWRhdGFzZXQtMCA2IDAvQXV0b1JlbW92ZWRDb2x1bW5zMS57Q29sdW1uMjI3LDIyNn0mcXVvdDssJnF1b3Q7U2VjdGlvbjEvbXJvcy12aXNpdDItZGF0YXNldC0wIDYgMC9BdXRvUmVtb3ZlZENvbHVtbnMxLntDb2x1bW4yMjgsMjI3fSZxdW90OywmcXVvdDtTZWN0aW9uMS9tcm9zLXZpc2l0Mi1kYXRhc2V0LTAgNiAwL0F1dG9SZW1vdmVkQ29sdW1uczEue0NvbHVtbjIyOSwyMjh9JnF1b3Q7LCZxdW90O1NlY3Rpb24xL21yb3MtdmlzaXQyLWRhdGFzZXQtMCA2IDAvQXV0b1JlbW92ZWRDb2x1bW5zMS57Q29sdW1uMjMwLDIyOX0mcXVvdDssJnF1b3Q7U2VjdGlvbjEvbXJvcy12aXNpdDItZGF0YXNldC0wIDYgMC9BdXRvUmVtb3ZlZENvbHVtbnMxLntDb2x1bW4yMzEsMjMwfSZxdW90OywmcXVvdDtTZWN0aW9uMS9tcm9zLXZpc2l0Mi1kYXRhc2V0LTAgNiAwL0F1dG9SZW1vdmVkQ29sdW1uczEue0NvbHVtbjIzMiwyMzF9JnF1b3Q7LCZxdW90O1NlY3Rpb24xL21yb3MtdmlzaXQyLWRhdGFzZXQtMCA2IDAvQXV0b1JlbW92ZWRDb2x1bW5zMS57Q29sdW1uMjMzLDIzMn0mcXVvdDssJnF1b3Q7U2VjdGlvbjEvbXJvcy12aXNpdDItZGF0YXNldC0wIDYgMC9BdXRvUmVtb3ZlZENvbHVtbnMxLntDb2x1bW4yMzQsMjMzfSZxdW90OywmcXVvdDtTZWN0aW9uMS9tcm9zLXZpc2l0Mi1kYXRhc2V0LTAgNiAwL0F1dG9SZW1vdmVkQ29sdW1uczEue0NvbHVtbjIzNSwyMzR9JnF1b3Q7LCZxdW90O1NlY3Rpb24xL21yb3MtdmlzaXQyLWRhdGFzZXQtMCA2IDAvQXV0b1JlbW92ZWRDb2x1bW5zMS57Q29sdW1uMjM2LDIzNX0mcXVvdDssJnF1b3Q7U2VjdGlvbjEvbXJvcy12aXNpdDItZGF0YXNldC0wIDYgMC9BdXRvUmVtb3ZlZENvbHVtbnMxLntDb2x1bW4yMzcsMjM2fSZxdW90OywmcXVvdDtTZWN0aW9uMS9tcm9zLXZpc2l0Mi1kYXRhc2V0LTAgNiAwL0F1dG9SZW1vdmVkQ29sdW1uczEue0NvbHVtbjIzOCwyMzd9JnF1b3Q7LCZxdW90O1NlY3Rpb24xL21yb3MtdmlzaXQyLWRhdGFzZXQtMCA2IDAvQXV0b1JlbW92ZWRDb2x1bW5zMS57Q29sdW1uMjM5LDIzOH0mcXVvdDssJnF1b3Q7U2VjdGlvbjEvbXJvcy12aXNpdDItZGF0YXNldC0wIDYgMC9BdXRvUmVtb3ZlZENvbHVtbnMxLntDb2x1bW4yNDAsMjM5fSZxdW90OywmcXVvdDtTZWN0aW9uMS9tcm9zLXZpc2l0Mi1kYXRhc2V0LTAgNiAwL0F1dG9SZW1vdmVkQ29sdW1uczEue0NvbHVtbjI0MSwyNDB9JnF1b3Q7LCZxdW90O1NlY3Rpb24xL21yb3MtdmlzaXQyLWRhdGFzZXQtMCA2IDAvQXV0b1JlbW92ZWRDb2x1bW5zMS57Q29sdW1uMjQyLDI0MX0mcXVvdDssJnF1b3Q7U2VjdGlvbjEvbXJvcy12aXNpdDItZGF0YXNldC0wIDYgMC9BdXRvUmVtb3ZlZENvbHVtbnMxLntDb2x1bW4yNDMsMjQyfSZxdW90OywmcXVvdDtTZWN0aW9uMS9tcm9zLXZpc2l0Mi1kYXRhc2V0LTAgNiAwL0F1dG9SZW1vdmVkQ29sdW1uczEue0NvbHVtbjI0NCwyNDN9JnF1b3Q7LCZxdW90O1NlY3Rpb24xL21yb3MtdmlzaXQyLWRhdGFzZXQtMCA2IDAvQXV0b1JlbW92ZWRDb2x1bW5zMS57Q29sdW1uMjQ1LDI0NH0mcXVvdDssJnF1b3Q7U2VjdGlvbjEvbXJvcy12aXNpdDItZGF0YXNldC0wIDYgMC9BdXRvUmVtb3ZlZENvbHVtbnMxLntDb2x1bW4yNDYsMjQ1fSZxdW90OywmcXVvdDtTZWN0aW9uMS9tcm9zLXZpc2l0Mi1kYXRhc2V0LTAgNiAwL0F1dG9SZW1vdmVkQ29sdW1uczEue0NvbHVtbjI0NywyNDZ9JnF1b3Q7LCZxdW90O1NlY3Rpb24xL21yb3MtdmlzaXQyLWRhdGFzZXQtMCA2IDAvQXV0b1JlbW92ZWRDb2x1bW5zMS57Q29sdW1uMjQ4LDI0N30mcXVvdDssJnF1b3Q7U2VjdGlvbjEvbXJvcy12aXNpdDItZGF0YXNldC0wIDYgMC9BdXRvUmVtb3ZlZENvbHVtbnMxLntDb2x1bW4yNDksMjQ4fSZxdW90OywmcXVvdDtTZWN0aW9uMS9tcm9zLXZpc2l0Mi1kYXRhc2V0LTAgNiAwL0F1dG9SZW1vdmVkQ29sdW1uczEue0NvbHVtbjI1MCwyNDl9JnF1b3Q7LCZxdW90O1NlY3Rpb24xL21yb3MtdmlzaXQyLWRhdGFzZXQtMCA2IDAvQXV0b1JlbW92ZWRDb2x1bW5zMS57Q29sdW1uMjUxLDI1MH0mcXVvdDssJnF1b3Q7U2VjdGlvbjEvbXJvcy12aXNpdDItZGF0YXNldC0wIDYgMC9BdXRvUmVtb3ZlZENvbHVtbnMxLntDb2x1bW4yNTIsMjUxfSZxdW90OywmcXVvdDtTZWN0aW9uMS9tcm9zLXZpc2l0Mi1kYXRhc2V0LTAgNiAwL0F1dG9SZW1vdmVkQ29sdW1uczEue0NvbHVtbjI1MywyNTJ9JnF1b3Q7LCZxdW90O1NlY3Rpb24xL21yb3MtdmlzaXQyLWRhdGFzZXQtMCA2IDAvQXV0b1JlbW92ZWRDb2x1bW5zMS57Q29sdW1uMjU0LDI1M30mcXVvdDssJnF1b3Q7U2VjdGlvbjEvbXJvcy12aXNpdDItZGF0YXNldC0wIDYgMC9BdXRvUmVtb3ZlZENvbHVtbnMxLntDb2x1bW4yNTUsMjU0fSZxdW90OywmcXVvdDtTZWN0aW9uMS9tcm9zLXZpc2l0Mi1kYXRhc2V0LTAgNiAwL0F1dG9SZW1vdmVkQ29sdW1uczEue0NvbHVtbjI1NiwyNTV9JnF1b3Q7LCZxdW90O1NlY3Rpb24xL21yb3MtdmlzaXQyLWRhdGFzZXQtMCA2IDAvQXV0b1JlbW92ZWRDb2x1bW5zMS57Q29sdW1uMjU3LDI1Nn0mcXVvdDssJnF1b3Q7U2VjdGlvbjEvbXJvcy12aXNpdDItZGF0YXNldC0wIDYgMC9BdXRvUmVtb3ZlZENvbHVtbnMxLntDb2x1bW4yNTgsMjU3fSZxdW90OywmcXVvdDtTZWN0aW9uMS9tcm9zLXZpc2l0Mi1kYXRhc2V0LTAgNiAwL0F1dG9SZW1vdmVkQ29sdW1uczEue0NvbHVtbjI1OSwyNTh9JnF1b3Q7LCZxdW90O1NlY3Rpb24xL21yb3MtdmlzaXQyLWRhdGFzZXQtMCA2IDAvQXV0b1JlbW92ZWRDb2x1bW5zMS57Q29sdW1uMjYwLDI1OX0mcXVvdDssJnF1b3Q7U2VjdGlvbjEvbXJvcy12aXNpdDItZGF0YXNldC0wIDYgMC9BdXRvUmVtb3ZlZENvbHVtbnMxLntDb2x1bW4yNjEsMjYwfSZxdW90OywmcXVvdDtTZWN0aW9uMS9tcm9zLXZpc2l0Mi1kYXRhc2V0LTAgNiAwL0F1dG9SZW1vdmVkQ29sdW1uczEue0NvbHVtbjI2MiwyNjF9JnF1b3Q7LCZxdW90O1NlY3Rpb24xL21yb3MtdmlzaXQyLWRhdGFzZXQtMCA2IDAvQXV0b1JlbW92ZWRDb2x1bW5zMS57Q29sdW1uMjYzLDI2Mn0mcXVvdDssJnF1b3Q7U2VjdGlvbjEvbXJvcy12aXNpdDItZGF0YXNldC0wIDYgMC9BdXRvUmVtb3ZlZENvbHVtbnMxLntDb2x1bW4yNjQsMjYzfSZxdW90OywmcXVvdDtTZWN0aW9uMS9tcm9zLXZpc2l0Mi1kYXRhc2V0LTAgNiAwL0F1dG9SZW1vdmVkQ29sdW1uczEue0NvbHVtbjI2NSwyNjR9JnF1b3Q7LCZxdW90O1NlY3Rpb24xL21yb3MtdmlzaXQyLWRhdGFzZXQtMCA2IDAvQXV0b1JlbW92ZWRDb2x1bW5zMS57Q29sdW1uMjY2LDI2NX0mcXVvdDssJnF1b3Q7U2VjdGlvbjEvbXJvcy12aXNpdDItZGF0YXNldC0wIDYgMC9BdXRvUmVtb3ZlZENvbHVtbnMxLntDb2x1bW4yNjcsMjY2fSZxdW90OywmcXVvdDtTZWN0aW9uMS9tcm9zLXZpc2l0Mi1kYXRhc2V0LTAgNiAwL0F1dG9SZW1vdmVkQ29sdW1uczEue0NvbHVtbjI2OCwyNjd9JnF1b3Q7LCZxdW90O1NlY3Rpb24xL21yb3MtdmlzaXQyLWRhdGFzZXQtMCA2IDAvQXV0b1JlbW92ZWRDb2x1bW5zMS57Q29sdW1uMjY5LDI2OH0mcXVvdDssJnF1b3Q7U2VjdGlvbjEvbXJvcy12aXNpdDItZGF0YXNldC0wIDYgMC9BdXRvUmVtb3ZlZENvbHVtbnMxLntDb2x1bW4yNzAsMjY5fSZxdW90OywmcXVvdDtTZWN0aW9uMS9tcm9zLXZpc2l0Mi1kYXRhc2V0LTAgNiAwL0F1dG9SZW1vdmVkQ29sdW1uczEue0NvbHVtbjI3MSwyNzB9JnF1b3Q7LCZxdW90O1NlY3Rpb24xL21yb3MtdmlzaXQyLWRhdGFzZXQtMCA2IDAvQXV0b1JlbW92ZWRDb2x1bW5zMS57Q29sdW1uMjcyLDI3MX0mcXVvdDssJnF1b3Q7U2VjdGlvbjEvbXJvcy12aXNpdDItZGF0YXNldC0wIDYgMC9BdXRvUmVtb3ZlZENvbHVtbnMxLntDb2x1bW4yNzMsMjcyfSZxdW90OywmcXVvdDtTZWN0aW9uMS9tcm9zLXZpc2l0Mi1kYXRhc2V0LTAgNiAwL0F1dG9SZW1vdmVkQ29sdW1uczEue0NvbHVtbjI3NCwyNzN9JnF1b3Q7LCZxdW90O1NlY3Rpb24xL21yb3MtdmlzaXQyLWRhdGFzZXQtMCA2IDAvQXV0b1JlbW92ZWRDb2x1bW5zMS57Q29sdW1uMjc1LDI3NH0mcXVvdDssJnF1b3Q7U2VjdGlvbjEvbXJvcy12aXNpdDItZGF0YXNldC0wIDYgMC9BdXRvUmVtb3ZlZENvbHVtbnMxLntDb2x1bW4yNzYsMjc1fSZxdW90OywmcXVvdDtTZWN0aW9uMS9tcm9zLXZpc2l0Mi1kYXRhc2V0LTAgNiAwL0F1dG9SZW1vdmVkQ29sdW1uczEue0NvbHVtbjI3NywyNzZ9JnF1b3Q7LCZxdW90O1NlY3Rpb24xL21yb3MtdmlzaXQyLWRhdGFzZXQtMCA2IDAvQXV0b1JlbW92ZWRDb2x1bW5zMS57Q29sdW1uMjc4LDI3N30mcXVvdDssJnF1b3Q7U2VjdGlvbjEvbXJvcy12aXNpdDItZGF0YXNldC0wIDYgMC9BdXRvUmVtb3ZlZENvbHVtbnMxLntDb2x1bW4yNzksMjc4fSZxdW90OywmcXVvdDtTZWN0aW9uMS9tcm9zLXZpc2l0Mi1kYXRhc2V0LTAgNiAwL0F1dG9SZW1vdmVkQ29sdW1uczEue0NvbHVtbjI4MCwyNzl9JnF1b3Q7LCZxdW90O1NlY3Rpb24xL21yb3MtdmlzaXQyLWRhdGFzZXQtMCA2IDAvQXV0b1JlbW92ZWRDb2x1bW5zMS57Q29sdW1uMjgxLDI4MH0mcXVvdDssJnF1b3Q7U2VjdGlvbjEvbXJvcy12aXNpdDItZGF0YXNldC0wIDYgMC9BdXRvUmVtb3ZlZENvbHVtbnMxLntDb2x1bW4yODIsMjgxfSZxdW90OywmcXVvdDtTZWN0aW9uMS9tcm9zLXZpc2l0Mi1kYXRhc2V0LTAgNiAwL0F1dG9SZW1vdmVkQ29sdW1uczEue0NvbHVtbjI4MywyODJ9JnF1b3Q7LCZxdW90O1NlY3Rpb24xL21yb3MtdmlzaXQyLWRhdGFzZXQtMCA2IDAvQXV0b1JlbW92ZWRDb2x1bW5zMS57Q29sdW1uMjg0LDI4M30mcXVvdDssJnF1b3Q7U2VjdGlvbjEvbXJvcy12aXNpdDItZGF0YXNldC0wIDYgMC9BdXRvUmVtb3ZlZENvbHVtbnMxLntDb2x1bW4yODUsMjg0fSZxdW90OywmcXVvdDtTZWN0aW9uMS9tcm9zLXZpc2l0Mi1kYXRhc2V0LTAgNiAwL0F1dG9SZW1vdmVkQ29sdW1uczEue0NvbHVtbjI4NiwyODV9JnF1b3Q7LCZxdW90O1NlY3Rpb24xL21yb3MtdmlzaXQyLWRhdGFzZXQtMCA2IDAvQXV0b1JlbW92ZWRDb2x1bW5zMS57Q29sdW1uMjg3LDI4Nn0mcXVvdDssJnF1b3Q7U2VjdGlvbjEvbXJvcy12aXNpdDItZGF0YXNldC0wIDYgMC9BdXRvUmVtb3ZlZENvbHVtbnMxLntDb2x1bW4yODgsMjg3fSZxdW90OywmcXVvdDtTZWN0aW9uMS9tcm9zLXZpc2l0Mi1kYXRhc2V0LTAgNiAwL0F1dG9SZW1vdmVkQ29sdW1uczEue0NvbHVtbjI4OSwyODh9JnF1b3Q7LCZxdW90O1NlY3Rpb24xL21yb3MtdmlzaXQyLWRhdGFzZXQtMCA2IDAvQXV0b1JlbW92ZWRDb2x1bW5zMS57Q29sdW1uMjkwLDI4OX0mcXVvdDssJnF1b3Q7U2VjdGlvbjEvbXJvcy12aXNpdDItZGF0YXNldC0wIDYgMC9BdXRvUmVtb3ZlZENvbHVtbnMxLntDb2x1bW4yOTEsMjkwfSZxdW90OywmcXVvdDtTZWN0aW9uMS9tcm9zLXZpc2l0Mi1kYXRhc2V0LTAgNiAwL0F1dG9SZW1vdmVkQ29sdW1uczEue0NvbHVtbjI5MiwyOTF9JnF1b3Q7LCZxdW90O1NlY3Rpb24xL21yb3MtdmlzaXQyLWRhdGFzZXQtMCA2IDAvQXV0b1JlbW92ZWRDb2x1bW5zMS57Q29sdW1uMjkzLDI5Mn0mcXVvdDssJnF1b3Q7U2VjdGlvbjEvbXJvcy12aXNpdDItZGF0YXNldC0wIDYgMC9BdXRvUmVtb3ZlZENvbHVtbnMxLntDb2x1bW4yOTQsMjkzfSZxdW90OywmcXVvdDtTZWN0aW9uMS9tcm9zLXZpc2l0Mi1kYXRhc2V0LTAgNiAwL0F1dG9SZW1vdmVkQ29sdW1uczEue0NvbHVtbjI5NSwyOTR9JnF1b3Q7LCZxdW90O1NlY3Rpb24xL21yb3MtdmlzaXQyLWRhdGFzZXQtMCA2IDAvQXV0b1JlbW92ZWRDb2x1bW5zMS57Q29sdW1uMjk2LDI5NX0mcXVvdDssJnF1b3Q7U2VjdGlvbjEvbXJvcy12aXNpdDItZGF0YXNldC0wIDYgMC9BdXRvUmVtb3ZlZENvbHVtbnMxLntDb2x1bW4yOTcsMjk2fSZxdW90OywmcXVvdDtTZWN0aW9uMS9tcm9zLXZpc2l0Mi1kYXRhc2V0LTAgNiAwL0F1dG9SZW1vdmVkQ29sdW1uczEue0NvbHVtbjI5OCwyOTd9JnF1b3Q7LCZxdW90O1NlY3Rpb24xL21yb3MtdmlzaXQyLWRhdGFzZXQtMCA2IDAvQXV0b1JlbW92ZWRDb2x1bW5zMS57Q29sdW1uMjk5LDI5OH0mcXVvdDssJnF1b3Q7U2VjdGlvbjEvbXJvcy12aXNpdDItZGF0YXNldC0wIDYgMC9BdXRvUmVtb3ZlZENvbHVtbnMxLntDb2x1bW4zMDAsMjk5fSZxdW90OywmcXVvdDtTZWN0aW9uMS9tcm9zLXZpc2l0Mi1kYXRhc2V0LTAgNiAwL0F1dG9SZW1vdmVkQ29sdW1uczEue0NvbHVtbjMwMSwzMDB9JnF1b3Q7LCZxdW90O1NlY3Rpb24xL21yb3MtdmlzaXQyLWRhdGFzZXQtMCA2IDAvQXV0b1JlbW92ZWRDb2x1bW5zMS57Q29sdW1uMzAyLDMwMX0mcXVvdDssJnF1b3Q7U2VjdGlvbjEvbXJvcy12aXNpdDItZGF0YXNldC0wIDYgMC9BdXRvUmVtb3ZlZENvbHVtbnMxLntDb2x1bW4zMDMsMzAyfSZxdW90OywmcXVvdDtTZWN0aW9uMS9tcm9zLXZpc2l0Mi1kYXRhc2V0LTAgNiAwL0F1dG9SZW1vdmVkQ29sdW1uczEue0NvbHVtbjMwNCwzMDN9JnF1b3Q7LCZxdW90O1NlY3Rpb24xL21yb3MtdmlzaXQyLWRhdGFzZXQtMCA2IDAvQXV0b1JlbW92ZWRDb2x1bW5zMS57Q29sdW1uMzA1LDMwNH0mcXVvdDssJnF1b3Q7U2VjdGlvbjEvbXJvcy12aXNpdDItZGF0YXNldC0wIDYgMC9BdXRvUmVtb3ZlZENvbHVtbnMxLntDb2x1bW4zMDYsMzA1fSZxdW90OywmcXVvdDtTZWN0aW9uMS9tcm9zLXZpc2l0Mi1kYXRhc2V0LTAgNiAwL0F1dG9SZW1vdmVkQ29sdW1uczEue0NvbHVtbjMwNywzMDZ9JnF1b3Q7LCZxdW90O1NlY3Rpb24xL21yb3MtdmlzaXQyLWRhdGFzZXQtMCA2IDAvQXV0b1JlbW92ZWRDb2x1bW5zMS57Q29sdW1uMzA4LDMwN30mcXVvdDssJnF1b3Q7U2VjdGlvbjEvbXJvcy12aXNpdDItZGF0YXNldC0wIDYgMC9BdXRvUmVtb3ZlZENvbHVtbnMxLntDb2x1bW4zMDksMzA4fSZxdW90OywmcXVvdDtTZWN0aW9uMS9tcm9zLXZpc2l0Mi1kYXRhc2V0LTAgNiAwL0F1dG9SZW1vdmVkQ29sdW1uczEue0NvbHVtbjMxMCwzMDl9JnF1b3Q7LCZxdW90O1NlY3Rpb24xL21yb3MtdmlzaXQyLWRhdGFzZXQtMCA2IDAvQXV0b1JlbW92ZWRDb2x1bW5zMS57Q29sdW1uMzExLDMxMH0mcXVvdDssJnF1b3Q7U2VjdGlvbjEvbXJvcy12aXNpdDItZGF0YXNldC0wIDYgMC9BdXRvUmVtb3ZlZENvbHVtbnMxLntDb2x1bW4zMTIsMzExfSZxdW90OywmcXVvdDtTZWN0aW9uMS9tcm9zLXZpc2l0Mi1kYXRhc2V0LTAgNiAwL0F1dG9SZW1vdmVkQ29sdW1uczEue0NvbHVtbjMxMywzMTJ9JnF1b3Q7LCZxdW90O1NlY3Rpb24xL21yb3MtdmlzaXQyLWRhdGFzZXQtMCA2IDAvQXV0b1JlbW92ZWRDb2x1bW5zMS57Q29sdW1uMzE0LDMxM30mcXVvdDssJnF1b3Q7U2VjdGlvbjEvbXJvcy12aXNpdDItZGF0YXNldC0wIDYgMC9BdXRvUmVtb3ZlZENvbHVtbnMxLntDb2x1bW4zMTUsMzE0fSZxdW90OywmcXVvdDtTZWN0aW9uMS9tcm9zLXZpc2l0Mi1kYXRhc2V0LTAgNiAwL0F1dG9SZW1vdmVkQ29sdW1uczEue0NvbHVtbjMxNiwzMTV9JnF1b3Q7LCZxdW90O1NlY3Rpb24xL21yb3MtdmlzaXQyLWRhdGFzZXQtMCA2IDAvQXV0b1JlbW92ZWRDb2x1bW5zMS57Q29sdW1uMzE3LDMxNn0mcXVvdDssJnF1b3Q7U2VjdGlvbjEvbXJvcy12aXNpdDItZGF0YXNldC0wIDYgMC9BdXRvUmVtb3ZlZENvbHVtbnMxLntDb2x1bW4zMTgsMzE3fSZxdW90OywmcXVvdDtTZWN0aW9uMS9tcm9zLXZpc2l0Mi1kYXRhc2V0LTAgNiAwL0F1dG9SZW1vdmVkQ29sdW1uczEue0NvbHVtbjMxOSwzMTh9JnF1b3Q7LCZxdW90O1NlY3Rpb24xL21yb3MtdmlzaXQyLWRhdGFzZXQtMCA2IDAvQXV0b1JlbW92ZWRDb2x1bW5zMS57Q29sdW1uMzIwLDMxOX0mcXVvdDssJnF1b3Q7U2VjdGlvbjEvbXJvcy12aXNpdDItZGF0YXNldC0wIDYgMC9BdXRvUmVtb3ZlZENvbHVtbnMxLntDb2x1bW4zMjEsMzIwfSZxdW90OywmcXVvdDtTZWN0aW9uMS9tcm9zLXZpc2l0Mi1kYXRhc2V0LTAgNiAwL0F1dG9SZW1vdmVkQ29sdW1uczEue0NvbHVtbjMyMiwzMjF9JnF1b3Q7LCZxdW90O1NlY3Rpb24xL21yb3MtdmlzaXQyLWRhdGFzZXQtMCA2IDAvQXV0b1JlbW92ZWRDb2x1bW5zMS57Q29sdW1uMzIzLDMyMn0mcXVvdDssJnF1b3Q7U2VjdGlvbjEvbXJvcy12aXNpdDItZGF0YXNldC0wIDYgMC9BdXRvUmVtb3ZlZENvbHVtbnMxLntDb2x1bW4zMjQsMzIzfSZxdW90OywmcXVvdDtTZWN0aW9uMS9tcm9zLXZpc2l0Mi1kYXRhc2V0LTAgNiAwL0F1dG9SZW1vdmVkQ29sdW1uczEue0NvbHVtbjMyNSwzMjR9JnF1b3Q7LCZxdW90O1NlY3Rpb24xL21yb3MtdmlzaXQyLWRhdGFzZXQtMCA2IDAvQXV0b1JlbW92ZWRDb2x1bW5zMS57Q29sdW1uMzI2LDMyNX0mcXVvdDssJnF1b3Q7U2VjdGlvbjEvbXJvcy12aXNpdDItZGF0YXNldC0wIDYgMC9BdXRvUmVtb3ZlZENvbHVtbnMxLntDb2x1bW4zMjcsMzI2fSZxdW90OywmcXVvdDtTZWN0aW9uMS9tcm9zLXZpc2l0Mi1kYXRhc2V0LTAgNiAwL0F1dG9SZW1vdmVkQ29sdW1uczEue0NvbHVtbjMyOCwzMjd9JnF1b3Q7LCZxdW90O1NlY3Rpb24xL21yb3MtdmlzaXQyLWRhdGFzZXQtMCA2IDAvQXV0b1JlbW92ZWRDb2x1bW5zMS57Q29sdW1uMzI5LDMyOH0mcXVvdDssJnF1b3Q7U2VjdGlvbjEvbXJvcy12aXNpdDItZGF0YXNldC0wIDYgMC9BdXRvUmVtb3ZlZENvbHVtbnMxLntDb2x1bW4zMzAsMzI5fSZxdW90OywmcXVvdDtTZWN0aW9uMS9tcm9zLXZpc2l0Mi1kYXRhc2V0LTAgNiAwL0F1dG9SZW1vdmVkQ29sdW1uczEue0NvbHVtbjMzMSwzMzB9JnF1b3Q7LCZxdW90O1NlY3Rpb24xL21yb3MtdmlzaXQyLWRhdGFzZXQtMCA2IDAvQXV0b1JlbW92ZWRDb2x1bW5zMS57Q29sdW1uMzMyLDMzMX0mcXVvdDssJnF1b3Q7U2VjdGlvbjEvbXJvcy12aXNpdDItZGF0YXNldC0wIDYgMC9BdXRvUmVtb3ZlZENvbHVtbnMxLntDb2x1bW4zMzMsMzMyfSZxdW90OywmcXVvdDtTZWN0aW9uMS9tcm9zLXZpc2l0Mi1kYXRhc2V0LTAgNiAwL0F1dG9SZW1vdmVkQ29sdW1uczEue0NvbHVtbjMzNCwzMzN9JnF1b3Q7LCZxdW90O1NlY3Rpb24xL21yb3MtdmlzaXQyLWRhdGFzZXQtMCA2IDAvQXV0b1JlbW92ZWRDb2x1bW5zMS57Q29sdW1uMzM1LDMzNH0mcXVvdDssJnF1b3Q7U2VjdGlvbjEvbXJvcy12aXNpdDItZGF0YXNldC0wIDYgMC9BdXRvUmVtb3ZlZENvbHVtbnMxLntDb2x1bW4zMzYsMzM1fSZxdW90OywmcXVvdDtTZWN0aW9uMS9tcm9zLXZpc2l0Mi1kYXRhc2V0LTAgNiAwL0F1dG9SZW1vdmVkQ29sdW1uczEue0NvbHVtbjMzNywzMzZ9JnF1b3Q7LCZxdW90O1NlY3Rpb24xL21yb3MtdmlzaXQyLWRhdGFzZXQtMCA2IDAvQXV0b1JlbW92ZWRDb2x1bW5zMS57Q29sdW1uMzM4LDMzN30mcXVvdDssJnF1b3Q7U2VjdGlvbjEvbXJvcy12aXNpdDItZGF0YXNldC0wIDYgMC9BdXRvUmVtb3ZlZENvbHVtbnMxLntDb2x1bW4zMzksMzM4fSZxdW90OywmcXVvdDtTZWN0aW9uMS9tcm9zLXZpc2l0Mi1kYXRhc2V0LTAgNiAwL0F1dG9SZW1vdmVkQ29sdW1uczEue0NvbHVtbjM0MCwzMzl9JnF1b3Q7LCZxdW90O1NlY3Rpb24xL21yb3MtdmlzaXQyLWRhdGFzZXQtMCA2IDAvQXV0b1JlbW92ZWRDb2x1bW5zMS57Q29sdW1uMzQxLDM0MH0mcXVvdDssJnF1b3Q7U2VjdGlvbjEvbXJvcy12aXNpdDItZGF0YXNldC0wIDYgMC9BdXRvUmVtb3ZlZENvbHVtbnMxLntDb2x1bW4zNDIsMzQxfSZxdW90OywmcXVvdDtTZWN0aW9uMS9tcm9zLXZpc2l0Mi1kYXRhc2V0LTAgNiAwL0F1dG9SZW1vdmVkQ29sdW1uczEue0NvbHVtbjM0MywzNDJ9JnF1b3Q7LCZxdW90O1NlY3Rpb24xL21yb3MtdmlzaXQyLWRhdGFzZXQtMCA2IDAvQXV0b1JlbW92ZWRDb2x1bW5zMS57Q29sdW1uMzQ0LDM0M30mcXVvdDssJnF1b3Q7U2VjdGlvbjEvbXJvcy12aXNpdDItZGF0YXNldC0wIDYgMC9BdXRvUmVtb3ZlZENvbHVtbnMxLntDb2x1bW4zNDUsMzQ0fSZxdW90OywmcXVvdDtTZWN0aW9uMS9tcm9zLXZpc2l0Mi1kYXRhc2V0LTAgNiAwL0F1dG9SZW1vdmVkQ29sdW1uczEue0NvbHVtbjM0NiwzNDV9JnF1b3Q7LCZxdW90O1NlY3Rpb24xL21yb3MtdmlzaXQyLWRhdGFzZXQtMCA2IDAvQXV0b1JlbW92ZWRDb2x1bW5zMS57Q29sdW1uMzQ3LDM0Nn0mcXVvdDssJnF1b3Q7U2VjdGlvbjEvbXJvcy12aXNpdDItZGF0YXNldC0wIDYgMC9BdXRvUmVtb3ZlZENvbHVtbnMxLntDb2x1bW4zNDgsMzQ3fSZxdW90OywmcXVvdDtTZWN0aW9uMS9tcm9zLXZpc2l0Mi1kYXRhc2V0LTAgNiAwL0F1dG9SZW1vdmVkQ29sdW1uczEue0NvbHVtbjM0OSwzNDh9JnF1b3Q7LCZxdW90O1NlY3Rpb24xL21yb3MtdmlzaXQyLWRhdGFzZXQtMCA2IDAvQXV0b1JlbW92ZWRDb2x1bW5zMS57Q29sdW1uMzUwLDM0OX0mcXVvdDssJnF1b3Q7U2VjdGlvbjEvbXJvcy12aXNpdDItZGF0YXNldC0wIDYgMC9BdXRvUmVtb3ZlZENvbHVtbnMxLntDb2x1bW4zNTEsMzUwfSZxdW90OywmcXVvdDtTZWN0aW9uMS9tcm9zLXZpc2l0Mi1kYXRhc2V0LTAgNiAwL0F1dG9SZW1vdmVkQ29sdW1uczEue0NvbHVtbjM1MiwzNTF9JnF1b3Q7LCZxdW90O1NlY3Rpb24xL21yb3MtdmlzaXQyLWRhdGFzZXQtMCA2IDAvQXV0b1JlbW92ZWRDb2x1bW5zMS57Q29sdW1uMzUzLDM1Mn0mcXVvdDssJnF1b3Q7U2VjdGlvbjEvbXJvcy12aXNpdDItZGF0YXNldC0wIDYgMC9BdXRvUmVtb3ZlZENvbHVtbnMxLntDb2x1bW4zNTQsMzUzfSZxdW90OywmcXVvdDtTZWN0aW9uMS9tcm9zLXZpc2l0Mi1kYXRhc2V0LTAgNiAwL0F1dG9SZW1vdmVkQ29sdW1uczEue0NvbHVtbjM1NSwzNTR9JnF1b3Q7LCZxdW90O1NlY3Rpb24xL21yb3MtdmlzaXQyLWRhdGFzZXQtMCA2IDAvQXV0b1JlbW92ZWRDb2x1bW5zMS57Q29sdW1uMzU2LDM1NX0mcXVvdDssJnF1b3Q7U2VjdGlvbjEvbXJvcy12aXNpdDItZGF0YXNldC0wIDYgMC9BdXRvUmVtb3ZlZENvbHVtbnMxLntDb2x1bW4zNTcsMzU2fSZxdW90OywmcXVvdDtTZWN0aW9uMS9tcm9zLXZpc2l0Mi1kYXRhc2V0LTAgNiAwL0F1dG9SZW1vdmVkQ29sdW1uczEue0NvbHVtbjM1OCwzNTd9JnF1b3Q7LCZxdW90O1NlY3Rpb24xL21yb3MtdmlzaXQyLWRhdGFzZXQtMCA2IDAvQXV0b1JlbW92ZWRDb2x1bW5zMS57Q29sdW1uMzU5LDM1OH0mcXVvdDssJnF1b3Q7U2VjdGlvbjEvbXJvcy12aXNpdDItZGF0YXNldC0wIDYgMC9BdXRvUmVtb3ZlZENvbHVtbnMxLntDb2x1bW4zNjAsMzU5fSZxdW90OywmcXVvdDtTZWN0aW9uMS9tcm9zLXZpc2l0Mi1kYXRhc2V0LTAgNiAwL0F1dG9SZW1vdmVkQ29sdW1uczEue0NvbHVtbjM2MSwzNjB9JnF1b3Q7LCZxdW90O1NlY3Rpb24xL21yb3MtdmlzaXQyLWRhdGFzZXQtMCA2IDAvQXV0b1JlbW92ZWRDb2x1bW5zMS57Q29sdW1uMzYyLDM2MX0mcXVvdDssJnF1b3Q7U2VjdGlvbjEvbXJvcy12aXNpdDItZGF0YXNldC0wIDYgMC9BdXRvUmVtb3ZlZENvbHVtbnMxLntDb2x1bW4zNjMsMzYyfSZxdW90OywmcXVvdDtTZWN0aW9uMS9tcm9zLXZpc2l0Mi1kYXRhc2V0LTAgNiAwL0F1dG9SZW1vdmVkQ29sdW1uczEue0NvbHVtbjM2NCwzNjN9JnF1b3Q7LCZxdW90O1NlY3Rpb24xL21yb3MtdmlzaXQyLWRhdGFzZXQtMCA2IDAvQXV0b1JlbW92ZWRDb2x1bW5zMS57Q29sdW1uMzY1LDM2NH0mcXVvdDssJnF1b3Q7U2VjdGlvbjEvbXJvcy12aXNpdDItZGF0YXNldC0wIDYgMC9BdXRvUmVtb3ZlZENvbHVtbnMxLntDb2x1bW4zNjYsMzY1fSZxdW90OywmcXVvdDtTZWN0aW9uMS9tcm9zLXZpc2l0Mi1kYXRhc2V0LTAgNiAwL0F1dG9SZW1vdmVkQ29sdW1uczEue0NvbHVtbjM2NywzNjZ9JnF1b3Q7LCZxdW90O1NlY3Rpb24xL21yb3MtdmlzaXQyLWRhdGFzZXQtMCA2IDAvQXV0b1JlbW92ZWRDb2x1bW5zMS57Q29sdW1uMzY4LDM2N30mcXVvdDssJnF1b3Q7U2VjdGlvbjEvbXJvcy12aXNpdDItZGF0YXNldC0wIDYgMC9BdXRvUmVtb3ZlZENvbHVtbnMxLntDb2x1bW4zNjksMzY4fSZxdW90OywmcXVvdDtTZWN0aW9uMS9tcm9zLXZpc2l0Mi1kYXRhc2V0LTAgNiAwL0F1dG9SZW1vdmVkQ29sdW1uczEue0NvbHVtbjM3MCwzNjl9JnF1b3Q7LCZxdW90O1NlY3Rpb24xL21yb3MtdmlzaXQyLWRhdGFzZXQtMCA2IDAvQXV0b1JlbW92ZWRDb2x1bW5zMS57Q29sdW1uMzcxLDM3MH0mcXVvdDssJnF1b3Q7U2VjdGlvbjEvbXJvcy12aXNpdDItZGF0YXNldC0wIDYgMC9BdXRvUmVtb3ZlZENvbHVtbnMxLntDb2x1bW4zNzIsMzcxfSZxdW90OywmcXVvdDtTZWN0aW9uMS9tcm9zLXZpc2l0Mi1kYXRhc2V0LTAgNiAwL0F1dG9SZW1vdmVkQ29sdW1uczEue0NvbHVtbjM3MywzNzJ9JnF1b3Q7LCZxdW90O1NlY3Rpb24xL21yb3MtdmlzaXQyLWRhdGFzZXQtMCA2IDAvQXV0b1JlbW92ZWRDb2x1bW5zMS57Q29sdW1uMzc0LDM3M30mcXVvdDssJnF1b3Q7U2VjdGlvbjEvbXJvcy12aXNpdDItZGF0YXNldC0wIDYgMC9BdXRvUmVtb3ZlZENvbHVtbnMxLntDb2x1bW4zNzUsMzc0fSZxdW90OywmcXVvdDtTZWN0aW9uMS9tcm9zLXZpc2l0Mi1kYXRhc2V0LTAgNiAwL0F1dG9SZW1vdmVkQ29sdW1uczEue0NvbHVtbjM3NiwzNzV9JnF1b3Q7LCZxdW90O1NlY3Rpb24xL21yb3MtdmlzaXQyLWRhdGFzZXQtMCA2IDAvQXV0b1JlbW92ZWRDb2x1bW5zMS57Q29sdW1uMzc3LDM3Nn0mcXVvdDssJnF1b3Q7U2VjdGlvbjEvbXJvcy12aXNpdDItZGF0YXNldC0wIDYgMC9BdXRvUmVtb3ZlZENvbHVtbnMxLntDb2x1bW4zNzgsMzc3fSZxdW90OywmcXVvdDtTZWN0aW9uMS9tcm9zLXZpc2l0Mi1kYXRhc2V0LTAgNiAwL0F1dG9SZW1vdmVkQ29sdW1uczEue0NvbHVtbjM3OSwzNzh9JnF1b3Q7LCZxdW90O1NlY3Rpb24xL21yb3MtdmlzaXQyLWRhdGFzZXQtMCA2IDAvQXV0b1JlbW92ZWRDb2x1bW5zMS57Q29sdW1uMzgwLDM3OX0mcXVvdDssJnF1b3Q7U2VjdGlvbjEvbXJvcy12aXNpdDItZGF0YXNldC0wIDYgMC9BdXRvUmVtb3ZlZENvbHVtbnMxLntDb2x1bW4zODEsMzgwfSZxdW90OywmcXVvdDtTZWN0aW9uMS9tcm9zLXZpc2l0Mi1kYXRhc2V0LTAgNiAwL0F1dG9SZW1vdmVkQ29sdW1uczEue0NvbHVtbjM4MiwzODF9JnF1b3Q7LCZxdW90O1NlY3Rpb24xL21yb3MtdmlzaXQyLWRhdGFzZXQtMCA2IDAvQXV0b1JlbW92ZWRDb2x1bW5zMS57Q29sdW1uMzgzLDM4Mn0mcXVvdDssJnF1b3Q7U2VjdGlvbjEvbXJvcy12aXNpdDItZGF0YXNldC0wIDYgMC9BdXRvUmVtb3ZlZENvbHVtbnMxLntDb2x1bW4zODQsMzgzfSZxdW90OywmcXVvdDtTZWN0aW9uMS9tcm9zLXZpc2l0Mi1kYXRhc2V0LTAgNiAwL0F1dG9SZW1vdmVkQ29sdW1uczEue0NvbHVtbjM4NSwzODR9JnF1b3Q7LCZxdW90O1NlY3Rpb24xL21yb3MtdmlzaXQyLWRhdGFzZXQtMCA2IDAvQXV0b1JlbW92ZWRDb2x1bW5zMS57Q29sdW1uMzg2LDM4NX0mcXVvdDssJnF1b3Q7U2VjdGlvbjEvbXJvcy12aXNpdDItZGF0YXNldC0wIDYgMC9BdXRvUmVtb3ZlZENvbHVtbnMxLntDb2x1bW4zODcsMzg2fSZxdW90OywmcXVvdDtTZWN0aW9uMS9tcm9zLXZpc2l0Mi1kYXRhc2V0LTAgNiAwL0F1dG9SZW1vdmVkQ29sdW1uczEue0NvbHVtbjM4OCwzODd9JnF1b3Q7LCZxdW90O1NlY3Rpb24xL21yb3MtdmlzaXQyLWRhdGFzZXQtMCA2IDAvQXV0b1JlbW92ZWRDb2x1bW5zMS57Q29sdW1uMzg5LDM4OH0mcXVvdDssJnF1b3Q7U2VjdGlvbjEvbXJvcy12aXNpdDItZGF0YXNldC0wIDYgMC9BdXRvUmVtb3ZlZENvbHVtbnMxLntDb2x1bW4zOTAsMzg5fSZxdW90OywmcXVvdDtTZWN0aW9uMS9tcm9zLXZpc2l0Mi1kYXRhc2V0LTAgNiAwL0F1dG9SZW1vdmVkQ29sdW1uczEue0NvbHVtbjM5MSwzOTB9JnF1b3Q7LCZxdW90O1NlY3Rpb24xL21yb3MtdmlzaXQyLWRhdGFzZXQtMCA2IDAvQXV0b1JlbW92ZWRDb2x1bW5zMS57Q29sdW1uMzkyLDM5MX0mcXVvdDssJnF1b3Q7U2VjdGlvbjEvbXJvcy12aXNpdDItZGF0YXNldC0wIDYgMC9BdXRvUmVtb3ZlZENvbHVtbnMxLntDb2x1bW4zOTMsMzkyfSZxdW90OywmcXVvdDtTZWN0aW9uMS9tcm9zLXZpc2l0Mi1kYXRhc2V0LTAgNiAwL0F1dG9SZW1vdmVkQ29sdW1uczEue0NvbHVtbjM5NCwzOTN9JnF1b3Q7LCZxdW90O1NlY3Rpb24xL21yb3MtdmlzaXQyLWRhdGFzZXQtMCA2IDAvQXV0b1JlbW92ZWRDb2x1bW5zMS57Q29sdW1uMzk1LDM5NH0mcXVvdDssJnF1b3Q7U2VjdGlvbjEvbXJvcy12aXNpdDItZGF0YXNldC0wIDYgMC9BdXRvUmVtb3ZlZENvbHVtbnMxLntDb2x1bW4zOTYsMzk1fSZxdW90OywmcXVvdDtTZWN0aW9uMS9tcm9zLXZpc2l0Mi1kYXRhc2V0LTAgNiAwL0F1dG9SZW1vdmVkQ29sdW1uczEue0NvbHVtbjM5NywzOTZ9JnF1b3Q7LCZxdW90O1NlY3Rpb24xL21yb3MtdmlzaXQyLWRhdGFzZXQtMCA2IDAvQXV0b1JlbW92ZWRDb2x1bW5zMS57Q29sdW1uMzk4LDM5N30mcXVvdDssJnF1b3Q7U2VjdGlvbjEvbXJvcy12aXNpdDItZGF0YXNldC0wIDYgMC9BdXRvUmVtb3ZlZENvbHVtbnMxLntDb2x1bW4zOTksMzk4fSZxdW90OywmcXVvdDtTZWN0aW9uMS9tcm9zLXZpc2l0Mi1kYXRhc2V0LTAgNiAwL0F1dG9SZW1vdmVkQ29sdW1uczEue0NvbHVtbjQwMCwzOTl9JnF1b3Q7LCZxdW90O1NlY3Rpb24xL21yb3MtdmlzaXQyLWRhdGFzZXQtMCA2IDAvQXV0b1JlbW92ZWRDb2x1bW5zMS57Q29sdW1uNDAxLDQwMH0mcXVvdDssJnF1b3Q7U2VjdGlvbjEvbXJvcy12aXNpdDItZGF0YXNldC0wIDYgMC9BdXRvUmVtb3ZlZENvbHVtbnMxLntDb2x1bW40MDIsNDAxfSZxdW90OywmcXVvdDtTZWN0aW9uMS9tcm9zLXZpc2l0Mi1kYXRhc2V0LTAgNiAwL0F1dG9SZW1vdmVkQ29sdW1uczEue0NvbHVtbjQwMyw0MDJ9JnF1b3Q7LCZxdW90O1NlY3Rpb24xL21yb3MtdmlzaXQyLWRhdGFzZXQtMCA2IDAvQXV0b1JlbW92ZWRDb2x1bW5zMS57Q29sdW1uNDA0LDQwM30mcXVvdDssJnF1b3Q7U2VjdGlvbjEvbXJvcy12aXNpdDItZGF0YXNldC0wIDYgMC9BdXRvUmVtb3ZlZENvbHVtbnMxLntDb2x1bW40MDUsNDA0fSZxdW90OywmcXVvdDtTZWN0aW9uMS9tcm9zLXZpc2l0Mi1kYXRhc2V0LTAgNiAwL0F1dG9SZW1vdmVkQ29sdW1uczEue0NvbHVtbjQwNiw0MDV9JnF1b3Q7LCZxdW90O1NlY3Rpb24xL21yb3MtdmlzaXQyLWRhdGFzZXQtMCA2IDAvQXV0b1JlbW92ZWRDb2x1bW5zMS57Q29sdW1uNDA3LDQwNn0mcXVvdDssJnF1b3Q7U2VjdGlvbjEvbXJvcy12aXNpdDItZGF0YXNldC0wIDYgMC9BdXRvUmVtb3ZlZENvbHVtbnMxLntDb2x1bW40MDgsNDA3fSZxdW90OywmcXVvdDtTZWN0aW9uMS9tcm9zLXZpc2l0Mi1kYXRhc2V0LTAgNiAwL0F1dG9SZW1vdmVkQ29sdW1uczEue0NvbHVtbjQwOSw0MDh9JnF1b3Q7LCZxdW90O1NlY3Rpb24xL21yb3MtdmlzaXQyLWRhdGFzZXQtMCA2IDAvQXV0b1JlbW92ZWRDb2x1bW5zMS57Q29sdW1uNDEwLDQwOX0mcXVvdDssJnF1b3Q7U2VjdGlvbjEvbXJvcy12aXNpdDItZGF0YXNldC0wIDYgMC9BdXRvUmVtb3ZlZENvbHVtbnMxLntDb2x1bW40MTEsNDEwfSZxdW90OywmcXVvdDtTZWN0aW9uMS9tcm9zLXZpc2l0Mi1kYXRhc2V0LTAgNiAwL0F1dG9SZW1vdmVkQ29sdW1uczEue0NvbHVtbjQxMiw0MTF9JnF1b3Q7LCZxdW90O1NlY3Rpb24xL21yb3MtdmlzaXQyLWRhdGFzZXQtMCA2IDAvQXV0b1JlbW92ZWRDb2x1bW5zMS57Q29sdW1uNDEzLDQxMn0mcXVvdDssJnF1b3Q7U2VjdGlvbjEvbXJvcy12aXNpdDItZGF0YXNldC0wIDYgMC9BdXRvUmVtb3ZlZENvbHVtbnMxLntDb2x1bW40MTQsNDEzfSZxdW90OywmcXVvdDtTZWN0aW9uMS9tcm9zLXZpc2l0Mi1kYXRhc2V0LTAgNiAwL0F1dG9SZW1vdmVkQ29sdW1uczEue0NvbHVtbjQxNSw0MTR9JnF1b3Q7LCZxdW90O1NlY3Rpb24xL21yb3MtdmlzaXQyLWRhdGFzZXQtMCA2IDAvQXV0b1JlbW92ZWRDb2x1bW5zMS57Q29sdW1uNDE2LDQxNX0mcXVvdDssJnF1b3Q7U2VjdGlvbjEvbXJvcy12aXNpdDItZGF0YXNldC0wIDYgMC9BdXRvUmVtb3ZlZENvbHVtbnMxLntDb2x1bW40MTcsNDE2fSZxdW90OywmcXVvdDtTZWN0aW9uMS9tcm9zLXZpc2l0Mi1kYXRhc2V0LTAgNiAwL0F1dG9SZW1vdmVkQ29sdW1uczEue0NvbHVtbjQxOCw0MTd9JnF1b3Q7LCZxdW90O1NlY3Rpb24xL21yb3MtdmlzaXQyLWRhdGFzZXQtMCA2IDAvQXV0b1JlbW92ZWRDb2x1bW5zMS57Q29sdW1uNDE5LDQxOH0mcXVvdDssJnF1b3Q7U2VjdGlvbjEvbXJvcy12aXNpdDItZGF0YXNldC0wIDYgMC9BdXRvUmVtb3ZlZENvbHVtbnMxLntDb2x1bW40MjAsNDE5fSZxdW90OywmcXVvdDtTZWN0aW9uMS9tcm9zLXZpc2l0Mi1kYXRhc2V0LTAgNiAwL0F1dG9SZW1vdmVkQ29sdW1uczEue0NvbHVtbjQyMSw0MjB9JnF1b3Q7LCZxdW90O1NlY3Rpb24xL21yb3MtdmlzaXQyLWRhdGFzZXQtMCA2IDAvQXV0b1JlbW92ZWRDb2x1bW5zMS57Q29sdW1uNDIyLDQyMX0mcXVvdDssJnF1b3Q7U2VjdGlvbjEvbXJvcy12aXNpdDItZGF0YXNldC0wIDYgMC9BdXRvUmVtb3ZlZENvbHVtbnMxLntDb2x1bW40MjMsNDIyfSZxdW90OywmcXVvdDtTZWN0aW9uMS9tcm9zLXZpc2l0Mi1kYXRhc2V0LTAgNiAwL0F1dG9SZW1vdmVkQ29sdW1uczEue0NvbHVtbjQyNCw0MjN9JnF1b3Q7LCZxdW90O1NlY3Rpb24xL21yb3MtdmlzaXQyLWRhdGFzZXQtMCA2IDAvQXV0b1JlbW92ZWRDb2x1bW5zMS57Q29sdW1uNDI1LDQyNH0mcXVvdDssJnF1b3Q7U2VjdGlvbjEvbXJvcy12aXNpdDItZGF0YXNldC0wIDYgMC9BdXRvUmVtb3ZlZENvbHVtbnMxLntDb2x1bW40MjYsNDI1fSZxdW90OywmcXVvdDtTZWN0aW9uMS9tcm9zLXZpc2l0Mi1kYXRhc2V0LTAgNiAwL0F1dG9SZW1vdmVkQ29sdW1uczEue0NvbHVtbjQyNyw0MjZ9JnF1b3Q7LCZxdW90O1NlY3Rpb24xL21yb3MtdmlzaXQyLWRhdGFzZXQtMCA2IDAvQXV0b1JlbW92ZWRDb2x1bW5zMS57Q29sdW1uNDI4LDQyN30mcXVvdDssJnF1b3Q7U2VjdGlvbjEvbXJvcy12aXNpdDItZGF0YXNldC0wIDYgMC9BdXRvUmVtb3ZlZENvbHVtbnMxLntDb2x1bW40MjksNDI4fSZxdW90OywmcXVvdDtTZWN0aW9uMS9tcm9zLXZpc2l0Mi1kYXRhc2V0LTAgNiAwL0F1dG9SZW1vdmVkQ29sdW1uczEue0NvbHVtbjQzMCw0Mjl9JnF1b3Q7LCZxdW90O1NlY3Rpb24xL21yb3MtdmlzaXQyLWRhdGFzZXQtMCA2IDAvQXV0b1JlbW92ZWRDb2x1bW5zMS57Q29sdW1uNDMxLDQzMH0mcXVvdDssJnF1b3Q7U2VjdGlvbjEvbXJvcy12aXNpdDItZGF0YXNldC0wIDYgMC9BdXRvUmVtb3ZlZENvbHVtbnMxLntDb2x1bW40MzIsNDMxfSZxdW90OywmcXVvdDtTZWN0aW9uMS9tcm9zLXZpc2l0Mi1kYXRhc2V0LTAgNiAwL0F1dG9SZW1vdmVkQ29sdW1uczEue0NvbHVtbjQzMyw0MzJ9JnF1b3Q7LCZxdW90O1NlY3Rpb24xL21yb3MtdmlzaXQyLWRhdGFzZXQtMCA2IDAvQXV0b1JlbW92ZWRDb2x1bW5zMS57Q29sdW1uNDM0LDQzM30mcXVvdDssJnF1b3Q7U2VjdGlvbjEvbXJvcy12aXNpdDItZGF0YXNldC0wIDYgMC9BdXRvUmVtb3ZlZENvbHVtbnMxLntDb2x1bW40MzUsNDM0fSZxdW90OywmcXVvdDtTZWN0aW9uMS9tcm9zLXZpc2l0Mi1kYXRhc2V0LTAgNiAwL0F1dG9SZW1vdmVkQ29sdW1uczEue0NvbHVtbjQzNiw0MzV9JnF1b3Q7LCZxdW90O1NlY3Rpb24xL21yb3MtdmlzaXQyLWRhdGFzZXQtMCA2IDAvQXV0b1JlbW92ZWRDb2x1bW5zMS57Q29sdW1uNDM3LDQzNn0mcXVvdDssJnF1b3Q7U2VjdGlvbjEvbXJvcy12aXNpdDItZGF0YXNldC0wIDYgMC9BdXRvUmVtb3ZlZENvbHVtbnMxLntDb2x1bW40MzgsNDM3fSZxdW90OywmcXVvdDtTZWN0aW9uMS9tcm9zLXZpc2l0Mi1kYXRhc2V0LTAgNiAwL0F1dG9SZW1vdmVkQ29sdW1uczEue0NvbHVtbjQzOSw0Mzh9JnF1b3Q7LCZxdW90O1NlY3Rpb24xL21yb3MtdmlzaXQyLWRhdGFzZXQtMCA2IDAvQXV0b1JlbW92ZWRDb2x1bW5zMS57Q29sdW1uNDQwLDQzOX0mcXVvdDssJnF1b3Q7U2VjdGlvbjEvbXJvcy12aXNpdDItZGF0YXNldC0wIDYgMC9BdXRvUmVtb3ZlZENvbHVtbnMxLntDb2x1bW40NDEsNDQwfSZxdW90OywmcXVvdDtTZWN0aW9uMS9tcm9zLXZpc2l0Mi1kYXRhc2V0LTAgNiAwL0F1dG9SZW1vdmVkQ29sdW1uczEue0NvbHVtbjQ0Miw0NDF9JnF1b3Q7LCZxdW90O1NlY3Rpb24xL21yb3MtdmlzaXQyLWRhdGFzZXQtMCA2IDAvQXV0b1JlbW92ZWRDb2x1bW5zMS57Q29sdW1uNDQzLDQ0Mn0mcXVvdDssJnF1b3Q7U2VjdGlvbjEvbXJvcy12aXNpdDItZGF0YXNldC0wIDYgMC9BdXRvUmVtb3ZlZENvbHVtbnMxLntDb2x1bW40NDQsNDQzfSZxdW90OywmcXVvdDtTZWN0aW9uMS9tcm9zLXZpc2l0Mi1kYXRhc2V0LTAgNiAwL0F1dG9SZW1vdmVkQ29sdW1uczEue0NvbHVtbjQ0NSw0NDR9JnF1b3Q7LCZxdW90O1NlY3Rpb24xL21yb3MtdmlzaXQyLWRhdGFzZXQtMCA2IDAvQXV0b1JlbW92ZWRDb2x1bW5zMS57Q29sdW1uNDQ2LDQ0NX0mcXVvdDssJnF1b3Q7U2VjdGlvbjEvbXJvcy12aXNpdDItZGF0YXNldC0wIDYgMC9BdXRvUmVtb3ZlZENvbHVtbnMxLntDb2x1bW40NDcsNDQ2fSZxdW90OywmcXVvdDtTZWN0aW9uMS9tcm9zLXZpc2l0Mi1kYXRhc2V0LTAgNiAwL0F1dG9SZW1vdmVkQ29sdW1uczEue0NvbHVtbjQ0OCw0NDd9JnF1b3Q7LCZxdW90O1NlY3Rpb24xL21yb3MtdmlzaXQyLWRhdGFzZXQtMCA2IDAvQXV0b1JlbW92ZWRDb2x1bW5zMS57Q29sdW1uNDQ5LDQ0OH0mcXVvdDssJnF1b3Q7U2VjdGlvbjEvbXJvcy12aXNpdDItZGF0YXNldC0wIDYgMC9BdXRvUmVtb3ZlZENvbHVtbnMxLntDb2x1bW40NTAsNDQ5fSZxdW90OywmcXVvdDtTZWN0aW9uMS9tcm9zLXZpc2l0Mi1kYXRhc2V0LTAgNiAwL0F1dG9SZW1vdmVkQ29sdW1uczEue0NvbHVtbjQ1MSw0NTB9JnF1b3Q7LCZxdW90O1NlY3Rpb24xL21yb3MtdmlzaXQyLWRhdGFzZXQtMCA2IDAvQXV0b1JlbW92ZWRDb2x1bW5zMS57Q29sdW1uNDUyLDQ1MX0mcXVvdDssJnF1b3Q7U2VjdGlvbjEvbXJvcy12aXNpdDItZGF0YXNldC0wIDYgMC9BdXRvUmVtb3ZlZENvbHVtbnMxLntDb2x1bW40NTMsNDUyfSZxdW90OywmcXVvdDtTZWN0aW9uMS9tcm9zLXZpc2l0Mi1kYXRhc2V0LTAgNiAwL0F1dG9SZW1vdmVkQ29sdW1uczEue0NvbHVtbjQ1NCw0NTN9JnF1b3Q7LCZxdW90O1NlY3Rpb24xL21yb3MtdmlzaXQyLWRhdGFzZXQtMCA2IDAvQXV0b1JlbW92ZWRDb2x1bW5zMS57Q29sdW1uNDU1LDQ1NH0mcXVvdDssJnF1b3Q7U2VjdGlvbjEvbXJvcy12aXNpdDItZGF0YXNldC0wIDYgMC9BdXRvUmVtb3ZlZENvbHVtbnMxLntDb2x1bW40NTYsNDU1fSZxdW90OywmcXVvdDtTZWN0aW9uMS9tcm9zLXZpc2l0Mi1kYXRhc2V0LTAgNiAwL0F1dG9SZW1vdmVkQ29sdW1uczEue0NvbHVtbjQ1Nyw0NTZ9JnF1b3Q7LCZxdW90O1NlY3Rpb24xL21yb3MtdmlzaXQyLWRhdGFzZXQtMCA2IDAvQXV0b1JlbW92ZWRDb2x1bW5zMS57Q29sdW1uNDU4LDQ1N30mcXVvdDssJnF1b3Q7U2VjdGlvbjEvbXJvcy12aXNpdDItZGF0YXNldC0wIDYgMC9BdXRvUmVtb3ZlZENvbHVtbnMxLntDb2x1bW40NTksNDU4fSZxdW90OywmcXVvdDtTZWN0aW9uMS9tcm9zLXZpc2l0Mi1kYXRhc2V0LTAgNiAwL0F1dG9SZW1vdmVkQ29sdW1uczEue0NvbHVtbjQ2MCw0NTl9JnF1b3Q7LCZxdW90O1NlY3Rpb24xL21yb3MtdmlzaXQyLWRhdGFzZXQtMCA2IDAvQXV0b1JlbW92ZWRDb2x1bW5zMS57Q29sdW1uNDYxLDQ2MH0mcXVvdDssJnF1b3Q7U2VjdGlvbjEvbXJvcy12aXNpdDItZGF0YXNldC0wIDYgMC9BdXRvUmVtb3ZlZENvbHVtbnMxLntDb2x1bW40NjIsNDYxfSZxdW90OywmcXVvdDtTZWN0aW9uMS9tcm9zLXZpc2l0Mi1kYXRhc2V0LTAgNiAwL0F1dG9SZW1vdmVkQ29sdW1uczEue0NvbHVtbjQ2Myw0NjJ9JnF1b3Q7LCZxdW90O1NlY3Rpb24xL21yb3MtdmlzaXQyLWRhdGFzZXQtMCA2IDAvQXV0b1JlbW92ZWRDb2x1bW5zMS57Q29sdW1uNDY0LDQ2M30mcXVvdDssJnF1b3Q7U2VjdGlvbjEvbXJvcy12aXNpdDItZGF0YXNldC0wIDYgMC9BdXRvUmVtb3ZlZENvbHVtbnMxLntDb2x1bW40NjUsNDY0fSZxdW90OywmcXVvdDtTZWN0aW9uMS9tcm9zLXZpc2l0Mi1kYXRhc2V0LTAgNiAwL0F1dG9SZW1vdmVkQ29sdW1uczEue0NvbHVtbjQ2Niw0NjV9JnF1b3Q7LCZxdW90O1NlY3Rpb24xL21yb3MtdmlzaXQyLWRhdGFzZXQtMCA2IDAvQXV0b1JlbW92ZWRDb2x1bW5zMS57Q29sdW1uNDY3LDQ2Nn0mcXVvdDssJnF1b3Q7U2VjdGlvbjEvbXJvcy12aXNpdDItZGF0YXNldC0wIDYgMC9BdXRvUmVtb3ZlZENvbHVtbnMxLntDb2x1bW40NjgsNDY3fSZxdW90OywmcXVvdDtTZWN0aW9uMS9tcm9zLXZpc2l0Mi1kYXRhc2V0LTAgNiAwL0F1dG9SZW1vdmVkQ29sdW1uczEue0NvbHVtbjQ2OSw0Njh9JnF1b3Q7LCZxdW90O1NlY3Rpb24xL21yb3MtdmlzaXQyLWRhdGFzZXQtMCA2IDAvQXV0b1JlbW92ZWRDb2x1bW5zMS57Q29sdW1uNDcwLDQ2OX0mcXVvdDssJnF1b3Q7U2VjdGlvbjEvbXJvcy12aXNpdDItZGF0YXNldC0wIDYgMC9BdXRvUmVtb3ZlZENvbHVtbnMxLntDb2x1bW40NzEsNDcwfSZxdW90OywmcXVvdDtTZWN0aW9uMS9tcm9zLXZpc2l0Mi1kYXRhc2V0LTAgNiAwL0F1dG9SZW1vdmVkQ29sdW1uczEue0NvbHVtbjQ3Miw0NzF9JnF1b3Q7LCZxdW90O1NlY3Rpb24xL21yb3MtdmlzaXQyLWRhdGFzZXQtMCA2IDAvQXV0b1JlbW92ZWRDb2x1bW5zMS57Q29sdW1uNDczLDQ3Mn0mcXVvdDssJnF1b3Q7U2VjdGlvbjEvbXJvcy12aXNpdDItZGF0YXNldC0wIDYgMC9BdXRvUmVtb3ZlZENvbHVtbnMxLntDb2x1bW40NzQsNDczfSZxdW90OywmcXVvdDtTZWN0aW9uMS9tcm9zLXZpc2l0Mi1kYXRhc2V0LTAgNiAwL0F1dG9SZW1vdmVkQ29sdW1uczEue0NvbHVtbjQ3NSw0NzR9JnF1b3Q7LCZxdW90O1NlY3Rpb24xL21yb3MtdmlzaXQyLWRhdGFzZXQtMCA2IDAvQXV0b1JlbW92ZWRDb2x1bW5zMS57Q29sdW1uNDc2LDQ3NX0mcXVvdDssJnF1b3Q7U2VjdGlvbjEvbXJvcy12aXNpdDItZGF0YXNldC0wIDYgMC9BdXRvUmVtb3ZlZENvbHVtbnMxLntDb2x1bW40NzcsNDc2fSZxdW90OywmcXVvdDtTZWN0aW9uMS9tcm9zLXZpc2l0Mi1kYXRhc2V0LTAgNiAwL0F1dG9SZW1vdmVkQ29sdW1uczEue0NvbHVtbjQ3OCw0Nzd9JnF1b3Q7LCZxdW90O1NlY3Rpb24xL21yb3MtdmlzaXQyLWRhdGFzZXQtMCA2IDAvQXV0b1JlbW92ZWRDb2x1bW5zMS57Q29sdW1uNDc5LDQ3OH0mcXVvdDssJnF1b3Q7U2VjdGlvbjEvbXJvcy12aXNpdDItZGF0YXNldC0wIDYgMC9BdXRvUmVtb3ZlZENvbHVtbnMxLntDb2x1bW40ODAsNDc5fSZxdW90OywmcXVvdDtTZWN0aW9uMS9tcm9zLXZpc2l0Mi1kYXRhc2V0LTAgNiAwL0F1dG9SZW1vdmVkQ29sdW1uczEue0NvbHVtbjQ4MSw0ODB9JnF1b3Q7LCZxdW90O1NlY3Rpb24xL21yb3MtdmlzaXQyLWRhdGFzZXQtMCA2IDAvQXV0b1JlbW92ZWRDb2x1bW5zMS57Q29sdW1uNDgyLDQ4MX0mcXVvdDssJnF1b3Q7U2VjdGlvbjEvbXJvcy12aXNpdDItZGF0YXNldC0wIDYgMC9BdXRvUmVtb3ZlZENvbHVtbnMxLntDb2x1bW40ODMsNDgyfSZxdW90OywmcXVvdDtTZWN0aW9uMS9tcm9zLXZpc2l0Mi1kYXRhc2V0LTAgNiAwL0F1dG9SZW1vdmVkQ29sdW1uczEue0NvbHVtbjQ4NCw0ODN9JnF1b3Q7LCZxdW90O1NlY3Rpb24xL21yb3MtdmlzaXQyLWRhdGFzZXQtMCA2IDAvQXV0b1JlbW92ZWRDb2x1bW5zMS57Q29sdW1uNDg1LDQ4NH0mcXVvdDssJnF1b3Q7U2VjdGlvbjEvbXJvcy12aXNpdDItZGF0YXNldC0wIDYgMC9BdXRvUmVtb3ZlZENvbHVtbnMxLntDb2x1bW40ODYsNDg1fSZxdW90OywmcXVvdDtTZWN0aW9uMS9tcm9zLXZpc2l0Mi1kYXRhc2V0LTAgNiAwL0F1dG9SZW1vdmVkQ29sdW1uczEue0NvbHVtbjQ4Nyw0ODZ9JnF1b3Q7LCZxdW90O1NlY3Rpb24xL21yb3MtdmlzaXQyLWRhdGFzZXQtMCA2IDAvQXV0b1JlbW92ZWRDb2x1bW5zMS57Q29sdW1uNDg4LDQ4N30mcXVvdDssJnF1b3Q7U2VjdGlvbjEvbXJvcy12aXNpdDItZGF0YXNldC0wIDYgMC9BdXRvUmVtb3ZlZENvbHVtbnMxLntDb2x1bW40ODksNDg4fSZxdW90OywmcXVvdDtTZWN0aW9uMS9tcm9zLXZpc2l0Mi1kYXRhc2V0LTAgNiAwL0F1dG9SZW1vdmVkQ29sdW1uczEue0NvbHVtbjQ5MCw0ODl9JnF1b3Q7LCZxdW90O1NlY3Rpb24xL21yb3MtdmlzaXQyLWRhdGFzZXQtMCA2IDAvQXV0b1JlbW92ZWRDb2x1bW5zMS57Q29sdW1uNDkxLDQ5MH0mcXVvdDssJnF1b3Q7U2VjdGlvbjEvbXJvcy12aXNpdDItZGF0YXNldC0wIDYgMC9BdXRvUmVtb3ZlZENvbHVtbnMxLntDb2x1bW40OTIsNDkxfSZxdW90OywmcXVvdDtTZWN0aW9uMS9tcm9zLXZpc2l0Mi1kYXRhc2V0LTAgNiAwL0F1dG9SZW1vdmVkQ29sdW1uczEue0NvbHVtbjQ5Myw0OTJ9JnF1b3Q7LCZxdW90O1NlY3Rpb24xL21yb3MtdmlzaXQyLWRhdGFzZXQtMCA2IDAvQXV0b1JlbW92ZWRDb2x1bW5zMS57Q29sdW1uNDk0LDQ5M30mcXVvdDssJnF1b3Q7U2VjdGlvbjEvbXJvcy12aXNpdDItZGF0YXNldC0wIDYgMC9BdXRvUmVtb3ZlZENvbHVtbnMxLntDb2x1bW40OTUsNDk0fSZxdW90OywmcXVvdDtTZWN0aW9uMS9tcm9zLXZpc2l0Mi1kYXRhc2V0LTAgNiAwL0F1dG9SZW1vdmVkQ29sdW1uczEue0NvbHVtbjQ5Niw0OTV9JnF1b3Q7LCZxdW90O1NlY3Rpb24xL21yb3MtdmlzaXQyLWRhdGFzZXQtMCA2IDAvQXV0b1JlbW92ZWRDb2x1bW5zMS57Q29sdW1uNDk3LDQ5Nn0mcXVvdDssJnF1b3Q7U2VjdGlvbjEvbXJvcy12aXNpdDItZGF0YXNldC0wIDYgMC9BdXRvUmVtb3ZlZENvbHVtbnMxLntDb2x1bW40OTgsNDk3fSZxdW90OywmcXVvdDtTZWN0aW9uMS9tcm9zLXZpc2l0Mi1kYXRhc2V0LTAgNiAwL0F1dG9SZW1vdmVkQ29sdW1uczEue0NvbHVtbjQ5OSw0OTh9JnF1b3Q7LCZxdW90O1NlY3Rpb24xL21yb3MtdmlzaXQyLWRhdGFzZXQtMCA2IDAvQXV0b1JlbW92ZWRDb2x1bW5zMS57Q29sdW1uNTAwLDQ5OX0mcXVvdDssJnF1b3Q7U2VjdGlvbjEvbXJvcy12aXNpdDItZGF0YXNldC0wIDYgMC9BdXRvUmVtb3ZlZENvbHVtbnMxLntDb2x1bW41MDEsNTAwfSZxdW90OywmcXVvdDtTZWN0aW9uMS9tcm9zLXZpc2l0Mi1kYXRhc2V0LTAgNiAwL0F1dG9SZW1vdmVkQ29sdW1uczEue0NvbHVtbjUwMiw1MDF9JnF1b3Q7LCZxdW90O1NlY3Rpb24xL21yb3MtdmlzaXQyLWRhdGFzZXQtMCA2IDAvQXV0b1JlbW92ZWRDb2x1bW5zMS57Q29sdW1uNTAzLDUwMn0mcXVvdDssJnF1b3Q7U2VjdGlvbjEvbXJvcy12aXNpdDItZGF0YXNldC0wIDYgMC9BdXRvUmVtb3ZlZENvbHVtbnMxLntDb2x1bW41MDQsNTAzfSZxdW90OywmcXVvdDtTZWN0aW9uMS9tcm9zLXZpc2l0Mi1kYXRhc2V0LTAgNiAwL0F1dG9SZW1vdmVkQ29sdW1uczEue0NvbHVtbjUwNSw1MDR9JnF1b3Q7LCZxdW90O1NlY3Rpb24xL21yb3MtdmlzaXQyLWRhdGFzZXQtMCA2IDAvQXV0b1JlbW92ZWRDb2x1bW5zMS57Q29sdW1uNTA2LDUwNX0mcXVvdDssJnF1b3Q7U2VjdGlvbjEvbXJvcy12aXNpdDItZGF0YXNldC0wIDYgMC9BdXRvUmVtb3ZlZENvbHVtbnMxLntDb2x1bW41MDcsNTA2fSZxdW90OywmcXVvdDtTZWN0aW9uMS9tcm9zLXZpc2l0Mi1kYXRhc2V0LTAgNiAwL0F1dG9SZW1vdmVkQ29sdW1uczEue0NvbHVtbjUwOCw1MDd9JnF1b3Q7LCZxdW90O1NlY3Rpb24xL21yb3MtdmlzaXQyLWRhdGFzZXQtMCA2IDAvQXV0b1JlbW92ZWRDb2x1bW5zMS57Q29sdW1uNTA5LDUwOH0mcXVvdDssJnF1b3Q7U2VjdGlvbjEvbXJvcy12aXNpdDItZGF0YXNldC0wIDYgMC9BdXRvUmVtb3ZlZENvbHVtbnMxLntDb2x1bW41MTAsNTA5fSZxdW90OywmcXVvdDtTZWN0aW9uMS9tcm9zLXZpc2l0Mi1kYXRhc2V0LTAgNiAwL0F1dG9SZW1vdmVkQ29sdW1uczEue0NvbHVtbjUxMSw1MTB9JnF1b3Q7LCZxdW90O1NlY3Rpb24xL21yb3MtdmlzaXQyLWRhdGFzZXQtMCA2IDAvQXV0b1JlbW92ZWRDb2x1bW5zMS57Q29sdW1uNTEyLDUxMX0mcXVvdDssJnF1b3Q7U2VjdGlvbjEvbXJvcy12aXNpdDItZGF0YXNldC0wIDYgMC9BdXRvUmVtb3ZlZENvbHVtbnMxLntDb2x1bW41MTMsNTEyfSZxdW90OywmcXVvdDtTZWN0aW9uMS9tcm9zLXZpc2l0Mi1kYXRhc2V0LTAgNiAwL0F1dG9SZW1vdmVkQ29sdW1uczEue0NvbHVtbjUxNCw1MTN9JnF1b3Q7LCZxdW90O1NlY3Rpb24xL21yb3MtdmlzaXQyLWRhdGFzZXQtMCA2IDAvQXV0b1JlbW92ZWRDb2x1bW5zMS57Q29sdW1uNTE1LDUxNH0mcXVvdDssJnF1b3Q7U2VjdGlvbjEvbXJvcy12aXNpdDItZGF0YXNldC0wIDYgMC9BdXRvUmVtb3ZlZENvbHVtbnMxLntDb2x1bW41MTYsNTE1fSZxdW90OywmcXVvdDtTZWN0aW9uMS9tcm9zLXZpc2l0Mi1kYXRhc2V0LTAgNiAwL0F1dG9SZW1vdmVkQ29sdW1uczEue0NvbHVtbjUxNyw1MTZ9JnF1b3Q7LCZxdW90O1NlY3Rpb24xL21yb3MtdmlzaXQyLWRhdGFzZXQtMCA2IDAvQXV0b1JlbW92ZWRDb2x1bW5zMS57Q29sdW1uNTE4LDUxN30mcXVvdDssJnF1b3Q7U2VjdGlvbjEvbXJvcy12aXNpdDItZGF0YXNldC0wIDYgMC9BdXRvUmVtb3ZlZENvbHVtbnMxLntDb2x1bW41MTksNTE4fSZxdW90OywmcXVvdDtTZWN0aW9uMS9tcm9zLXZpc2l0Mi1kYXRhc2V0LTAgNiAwL0F1dG9SZW1vdmVkQ29sdW1uczEue0NvbHVtbjUyMCw1MTl9JnF1b3Q7LCZxdW90O1NlY3Rpb24xL21yb3MtdmlzaXQyLWRhdGFzZXQtMCA2IDAvQXV0b1JlbW92ZWRDb2x1bW5zMS57Q29sdW1uNTIxLDUyMH0mcXVvdDssJnF1b3Q7U2VjdGlvbjEvbXJvcy12aXNpdDItZGF0YXNldC0wIDYgMC9BdXRvUmVtb3ZlZENvbHVtbnMxLntDb2x1bW41MjIsNTIxfSZxdW90OywmcXVvdDtTZWN0aW9uMS9tcm9zLXZpc2l0Mi1kYXRhc2V0LTAgNiAwL0F1dG9SZW1vdmVkQ29sdW1uczEue0NvbHVtbjUyMyw1MjJ9JnF1b3Q7LCZxdW90O1NlY3Rpb24xL21yb3MtdmlzaXQyLWRhdGFzZXQtMCA2IDAvQXV0b1JlbW92ZWRDb2x1bW5zMS57Q29sdW1uNTI0LDUyM30mcXVvdDssJnF1b3Q7U2VjdGlvbjEvbXJvcy12aXNpdDItZGF0YXNldC0wIDYgMC9BdXRvUmVtb3ZlZENvbHVtbnMxLntDb2x1bW41MjUsNTI0fSZxdW90OywmcXVvdDtTZWN0aW9uMS9tcm9zLXZpc2l0Mi1kYXRhc2V0LTAgNiAwL0F1dG9SZW1vdmVkQ29sdW1uczEue0NvbHVtbjUyNiw1MjV9JnF1b3Q7LCZxdW90O1NlY3Rpb24xL21yb3MtdmlzaXQyLWRhdGFzZXQtMCA2IDAvQXV0b1JlbW92ZWRDb2x1bW5zMS57Q29sdW1uNTI3LDUyNn0mcXVvdDssJnF1b3Q7U2VjdGlvbjEvbXJvcy12aXNpdDItZGF0YXNldC0wIDYgMC9BdXRvUmVtb3ZlZENvbHVtbnMxLntDb2x1bW41MjgsNTI3fSZxdW90OywmcXVvdDtTZWN0aW9uMS9tcm9zLXZpc2l0Mi1kYXRhc2V0LTAgNiAwL0F1dG9SZW1vdmVkQ29sdW1uczEue0NvbHVtbjUyOSw1Mjh9JnF1b3Q7LCZxdW90O1NlY3Rpb24xL21yb3MtdmlzaXQyLWRhdGFzZXQtMCA2IDAvQXV0b1JlbW92ZWRDb2x1bW5zMS57Q29sdW1uNTMwLDUyOX0mcXVvdDssJnF1b3Q7U2VjdGlvbjEvbXJvcy12aXNpdDItZGF0YXNldC0wIDYgMC9BdXRvUmVtb3ZlZENvbHVtbnMxLntDb2x1bW41MzEsNTMwfSZxdW90OywmcXVvdDtTZWN0aW9uMS9tcm9zLXZpc2l0Mi1kYXRhc2V0LTAgNiAwL0F1dG9SZW1vdmVkQ29sdW1uczEue0NvbHVtbjUzMiw1MzF9JnF1b3Q7LCZxdW90O1NlY3Rpb24xL21yb3MtdmlzaXQyLWRhdGFzZXQtMCA2IDAvQXV0b1JlbW92ZWRDb2x1bW5zMS57Q29sdW1uNTMzLDUzMn0mcXVvdDssJnF1b3Q7U2VjdGlvbjEvbXJvcy12aXNpdDItZGF0YXNldC0wIDYgMC9BdXRvUmVtb3ZlZENvbHVtbnMxLntDb2x1bW41MzQsNTMzfSZxdW90OywmcXVvdDtTZWN0aW9uMS9tcm9zLXZpc2l0Mi1kYXRhc2V0LTAgNiAwL0F1dG9SZW1vdmVkQ29sdW1uczEue0NvbHVtbjUzNSw1MzR9JnF1b3Q7LCZxdW90O1NlY3Rpb24xL21yb3MtdmlzaXQyLWRhdGFzZXQtMCA2IDAvQXV0b1JlbW92ZWRDb2x1bW5zMS57Q29sdW1uNTM2LDUzNX0mcXVvdDssJnF1b3Q7U2VjdGlvbjEvbXJvcy12aXNpdDItZGF0YXNldC0wIDYgMC9BdXRvUmVtb3ZlZENvbHVtbnMxLntDb2x1bW41MzcsNTM2fSZxdW90OywmcXVvdDtTZWN0aW9uMS9tcm9zLXZpc2l0Mi1kYXRhc2V0LTAgNiAwL0F1dG9SZW1vdmVkQ29sdW1uczEue0NvbHVtbjUzOCw1Mzd9JnF1b3Q7LCZxdW90O1NlY3Rpb24xL21yb3MtdmlzaXQyLWRhdGFzZXQtMCA2IDAvQXV0b1JlbW92ZWRDb2x1bW5zMS57Q29sdW1uNTM5LDUzOH0mcXVvdDssJnF1b3Q7U2VjdGlvbjEvbXJvcy12aXNpdDItZGF0YXNldC0wIDYgMC9BdXRvUmVtb3ZlZENvbHVtbnMxLntDb2x1bW41NDAsNTM5fSZxdW90O10sJnF1b3Q7UmVsYXRpb25zaGlwSW5mbyZxdW90OzpbXX0iIC8+PC9TdGFibGVFbnRyaWVzPjwvSXRlbT48SXRlbT48SXRlbUxvY2F0aW9uPjxJdGVtVHlwZT5Gb3JtdWxhPC9JdGVtVHlwZT48SXRlbVBhdGg+U2VjdGlvbjEvbXJvcy12aXNpdDItZGF0YXNldC0wJTIwNiUyMDAvUXVlbGxlPC9JdGVtUGF0aD48L0l0ZW1Mb2NhdGlvbj48U3RhYmxlRW50cmllcyAvPjwvSXRlbT48SXRlbT48SXRlbUxvY2F0aW9uPjxJdGVtVHlwZT5Gb3JtdWxhPC9JdGVtVHlwZT48SXRlbVBhdGg+U2VjdGlvbjEvbXJvcy12aXNpdDItZGF0YXNldC0wJTIwNiUyMDAvVHlwJTIwJUMzJUE0bmRlcm48L0l0ZW1QYXRoPjwvSXRlbUxvY2F0aW9uPjxTdGFibGVFbnRyaWVzIC8+PC9JdGVtPjxJdGVtPjxJdGVtTG9jYXRpb24+PEl0ZW1UeXBlPkZvcm11bGE8L0l0ZW1UeXBlPjxJdGVtUGF0aD5TZWN0aW9uMS9ESUFHTk9TSVM8L0l0ZW1QYXRoPjwvSXRlbUxvY2F0aW9uPjxTdGFibGVFbnRyaWVzPjxFbnRyeSBUeXBlPSJJc1ByaXZhdGUiIFZhbHVlPSJsMCIgLz48RW50cnkgVHlwZT0iUXVlcnlJRCIgVmFsdWU9InM0ZWRmNjY1Mi1kNWNhLTQzMjEtYjI1Zi02OGQ0OGRhMzhjNTk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FkZGVkVG9EYXRhTW9kZWwiIFZhbHVlPSJsMCIgLz48RW50cnkgVHlwZT0iRmlsbEVycm9yQ29kZSIgVmFsdWU9InNXb3Jrc2hlZXRNYXhSb3dzRXhjZWVkZWQiIC8+PEVudHJ5IFR5cGU9IkZpbGxFcnJvck1lc3NhZ2UiIFZhbHVlPSJzRGFzIEFiZnJhZ2VlcmdlYm5pcyBpc3QgenUgdW1mYW5ncmVpY2gsIHVtIGFuIGRlciBhbmdlZ2ViZW5lbiBQb3NpdGlvbiBpbSBBcmJlaXRzYmxhdHQgZ2VsYWRlbiB6dSB3ZXJkZW4uIEbDvHIgQXJiZWl0c2Jsw6R0dGVyIGdpbHQgZWluZSBCZXNjaHLDpG5rdW5nIHZvbiAxLjA0OC41NzYgWmVpbGVuIHVuZCAxNi4zODQgU3BhbHRlbi4gTGFkZW4gU2llIGRpZSBBYmZyYWdlIHN0YXR0ZGVzc2VuIGluIGRhcyBEYXRlbm1vZGVsbC4iIC8+PEVudHJ5IFR5cGU9IkZpbGxMYXN0VXBkYXRlZCIgVmFsdWU9ImQyMDI2LTAzLTI2VDA5OjMxOjIxLjcwNjg3NzNaIiAvPjxFbnRyeSBUeXBlPSJGaWxsU3RhdHVzIiBWYWx1ZT0ic0Vycm9yIiAvPjwvU3RhYmxlRW50cmllcz48L0l0ZW0+PEl0ZW0+PEl0ZW1Mb2NhdGlvbj48SXRlbVR5cGU+Rm9ybXVsYTwvSXRlbVR5cGU+PEl0ZW1QYXRoPlNlY3Rpb24xL0RJQUdOT1NJUy9RdWVsbGU8L0l0ZW1QYXRoPjwvSXRlbUxvY2F0aW9uPjxTdGFibGVFbnRyaWVzIC8+PC9JdGVtPjxJdGVtPjxJdGVtTG9jYXRpb24+PEl0ZW1UeXBlPkZvcm11bGE8L0l0ZW1UeXBlPjxJdGVtUGF0aD5TZWN0aW9uMS9ESUFHTk9TSVMvVHlwJTIwJUMzJUE0bmRlcm48L0l0ZW1QYXRoPjwvSXRlbUxvY2F0aW9uPjxTdGFibGVFbnRyaWVzIC8+PC9JdGVtPjxJdGVtPjxJdGVtTG9jYXRpb24+PEl0ZW1UeXBlPkZvcm11bGE8L0l0ZW1UeXBlPjxJdGVtUGF0aD5TZWN0aW9uMS9NRUFTVVJFTUVOVDwvSXRlbVBhdGg+PC9JdGVtTG9jYXRpb24+PFN0YWJsZUVudHJpZXM+PEVudHJ5IFR5cGU9IklzUHJpdmF0ZSIgVmFsdWU9ImwwIiAvPjxFbnRyeSBUeXBlPSJRdWVyeUlEIiBWYWx1ZT0iczAyNDI1YzA0LTgwYmQtNDg3OS05ODNkLWViODgzMzU2ZGRjO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BZGRlZFRvRGF0YU1vZGVsIiBWYWx1ZT0ibDAiIC8+PEVudHJ5IFR5cGU9IkZpbGxDb3VudCIgVmFsdWU9ImwzMzI1NzAiIC8+PEVudHJ5IFR5cGU9IkZpbGxFcnJvckNvZGUiIFZhbHVlPSJzVW5rbm93biIgLz48RW50cnkgVHlwZT0iRmlsbEVycm9yQ291bnQiIFZhbHVlPSJsMCIgLz48RW50cnkgVHlwZT0iRmlsbExhc3RVcGRhdGVkIiBWYWx1ZT0iZDIwMjYtMDMtMjZUMDk6MzI6MTguNTkwNjk0MFoiIC8+PEVudHJ5IFR5cGU9IkZpbGxDb2x1bW5UeXBlcyIgVmFsdWU9InNCZ1lHQmdZR0JnWUc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tdIiAvPjxFbnRyeSBUeXBlPSJGaWxsU3RhdHVzIiBWYWx1ZT0ic0NvbXBsZXRlIiAvPjxFbnRyeSBUeXBlPSJSZWxhdGlvbnNoaXBJbmZvQ29udGFpbmVyIiBWYWx1ZT0ic3smcXVvdDtjb2x1bW5Db3VudCZxdW90Ozo5LCZxdW90O2tleUNvbHVtbk5hbWVzJnF1b3Q7OltdLCZxdW90O3F1ZXJ5UmVsYXRpb25zaGlwcyZxdW90OzpbXSwmcXVvdDtjb2x1bW5JZGVudGl0aWVzJnF1b3Q7OlsmcXVvdDtTZWN0aW9uMS9NRUFTVVJFTUVOVC9BdXRvUmVtb3ZlZENvbHVtbnMxLntDb2x1bW4xLDB9JnF1b3Q7LCZxdW90O1NlY3Rpb24xL01FQVNVUkVNRU5UL0F1dG9SZW1vdmVkQ29sdW1uczEue0NvbHVtbjIsMX0mcXVvdDssJnF1b3Q7U2VjdGlvbjEvTUVBU1VSRU1FTlQvQXV0b1JlbW92ZWRDb2x1bW5zMS57Q29sdW1uMywyfSZxdW90OywmcXVvdDtTZWN0aW9uMS9NRUFTVVJFTUVOVC9BdXRvUmVtb3ZlZENvbHVtbnMxLntDb2x1bW40LDN9JnF1b3Q7LCZxdW90O1NlY3Rpb24xL01FQVNVUkVNRU5UL0F1dG9SZW1vdmVkQ29sdW1uczEue0NvbHVtbjUsNH0mcXVvdDssJnF1b3Q7U2VjdGlvbjEvTUVBU1VSRU1FTlQvQXV0b1JlbW92ZWRDb2x1bW5zMS57Q29sdW1uNiw1fSZxdW90OywmcXVvdDtTZWN0aW9uMS9NRUFTVVJFTUVOVC9BdXRvUmVtb3ZlZENvbHVtbnMxLntDb2x1bW43LDZ9JnF1b3Q7LCZxdW90O1NlY3Rpb24xL01FQVNVUkVNRU5UL0F1dG9SZW1vdmVkQ29sdW1uczEue0NvbHVtbjgsN30mcXVvdDssJnF1b3Q7U2VjdGlvbjEvTUVBU1VSRU1FTlQvQXV0b1JlbW92ZWRDb2x1bW5zMS57Q29sdW1uOSw4fSZxdW90O10sJnF1b3Q7Q29sdW1uQ291bnQmcXVvdDs6OSwmcXVvdDtLZXlDb2x1bW5OYW1lcyZxdW90OzpbXSwmcXVvdDtDb2x1bW5JZGVudGl0aWVzJnF1b3Q7OlsmcXVvdDtTZWN0aW9uMS9NRUFTVVJFTUVOVC9BdXRvUmVtb3ZlZENvbHVtbnMxLntDb2x1bW4xLDB9JnF1b3Q7LCZxdW90O1NlY3Rpb24xL01FQVNVUkVNRU5UL0F1dG9SZW1vdmVkQ29sdW1uczEue0NvbHVtbjIsMX0mcXVvdDssJnF1b3Q7U2VjdGlvbjEvTUVBU1VSRU1FTlQvQXV0b1JlbW92ZWRDb2x1bW5zMS57Q29sdW1uMywyfSZxdW90OywmcXVvdDtTZWN0aW9uMS9NRUFTVVJFTUVOVC9BdXRvUmVtb3ZlZENvbHVtbnMxLntDb2x1bW40LDN9JnF1b3Q7LCZxdW90O1NlY3Rpb24xL01FQVNVUkVNRU5UL0F1dG9SZW1vdmVkQ29sdW1uczEue0NvbHVtbjUsNH0mcXVvdDssJnF1b3Q7U2VjdGlvbjEvTUVBU1VSRU1FTlQvQXV0b1JlbW92ZWRDb2x1bW5zMS57Q29sdW1uNiw1fSZxdW90OywmcXVvdDtTZWN0aW9uMS9NRUFTVVJFTUVOVC9BdXRvUmVtb3ZlZENvbHVtbnMxLntDb2x1bW43LDZ9JnF1b3Q7LCZxdW90O1NlY3Rpb24xL01FQVNVUkVNRU5UL0F1dG9SZW1vdmVkQ29sdW1uczEue0NvbHVtbjgsN30mcXVvdDssJnF1b3Q7U2VjdGlvbjEvTUVBU1VSRU1FTlQvQXV0b1JlbW92ZWRDb2x1bW5zMS57Q29sdW1uOSw4fSZxdW90O10sJnF1b3Q7UmVsYXRpb25zaGlwSW5mbyZxdW90OzpbXX0iIC8+PC9TdGFibGVFbnRyaWVzPjwvSXRlbT48SXRlbT48SXRlbUxvY2F0aW9uPjxJdGVtVHlwZT5Gb3JtdWxhPC9JdGVtVHlwZT48SXRlbVBhdGg+U2VjdGlvbjEvTUVBU1VSRU1FTlQvUXVlbGxlPC9JdGVtUGF0aD48L0l0ZW1Mb2NhdGlvbj48U3RhYmxlRW50cmllcyAvPjwvSXRlbT48SXRlbT48SXRlbUxvY2F0aW9uPjxJdGVtVHlwZT5Gb3JtdWxhPC9JdGVtVHlwZT48SXRlbVBhdGg+U2VjdGlvbjEvTUVBU1VSRU1FTlQvVHlwJTIwJUMzJUE0bmRlcm48L0l0ZW1QYXRoPjwvSXRlbUxvY2F0aW9uPjxTdGFibGVFbnRyaWVzIC8+PC9JdGVtPjwvSXRlbXM+PC9Mb2NhbFBhY2thZ2VNZXRhZGF0YUZpbGU+FgAAAFBLBQYAAAAAAAAAAAAAAAAAAAAAAAAmAQAAAQAAANCMnd8BFdERjHoAwE/Cl+sBAAAAxNF7zlh6wkSYW4NekYiONgAAAAACAAAAAAAQZgAAAAEAACAAAABlS9fV1mqzsmE0nz5Cy5C0kQ1KptcHqyASPCXRVmAuMQAAAAAOgAAAAAIAACAAAABQX9n6uH63lPcDIyQsBFxN/ODHxPS2s4QWe1hcARNVLlAAAADzWQgYWGo2a+PXATkwOuepRmqutu2UYPldUgKm8XSVza1x5iWDA5w4rZjRsRLNhkEBkSgQnZo+ySvVEzM+UOmEeZN/ogf0tKUgstLZpcVCq0AAAAAE43ohFMGqCqDoPzVy099MSyo+SeDhoyKka3AzYfGyTG5MgVyWXG3lGBnuifzINKvlz9bNIhLdCEvgb1BMtJdB</DataMashup>
</file>

<file path=customXml/itemProps1.xml><?xml version="1.0" encoding="utf-8"?>
<ds:datastoreItem xmlns:ds="http://schemas.openxmlformats.org/officeDocument/2006/customXml" ds:itemID="{1977FE32-17B1-4426-AA9B-00A26F855F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15678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2024-11-28T12:09:44Z</dcterms:created>
  <dc:creator>TU-Pseudonym 17109182697996741012125525211</dc:creator>
  <dc:description/>
  <dc:language>en-GB</dc:language>
  <cp:lastModifiedBy/>
  <dcterms:modified xsi:type="dcterms:W3CDTF">2026-06-16T07:41:31Z</dcterms:modified>
  <cp:revision>196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