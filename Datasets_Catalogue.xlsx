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channels" sheetId="12" state="visible" r:id="rId14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86733D-FC02-4694-B314-1523E3848127}" keepAlive="1" interval="0" name="Abfrage - DIAGNOSIS" description="Verbindung mit der Abfrage 'DIAGNOSIS' in der Arbeitsmappe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DIAGNOSIS;Extended Properties=&quot;&quot;" command="SELECT * FROM [DIAGNOSIS]"/>
  </connection>
  <connection id="2" xr16:uid="{DA19CA09-F3ED-4834-8DF1-9E115524609D}" keepAlive="1" interval="0" name="Abfrage - heartbeat-baseline-dataset-0 5 0" description="Verbindung mit der Abfrage 'heartbeat-baseline-dataset-0 5 0' in der Arbeitsmappe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&quot;heartbeat-baseline-dataset-0 5 0&quot;;Extended Properties=&quot;&quot;" command="SELECT * FROM [heartbeat-baseline-dataset-0 5 0]"/>
  </connection>
  <connection id="3" xr16:uid="{951821C2-F963-4BF8-8AC3-D13E7F369027}" keepAlive="1" interval="0" name="Abfrage - MEASUREMENT" description="Verbindung mit der Abfrage 'MEASUREMENT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EASUREMENT;Extended Properties=&quot;&quot;" command="SELECT * FROM [MEASUREMENT]"/>
  </connection>
  <connection id="4" xr16:uid="{DD823D79-CB88-49CB-832D-C6E64D1D75CF}" keepAlive="1" interval="0" name="Abfrage - mros-visit2-dataset-0 6 0" description="Verbindung mit der Abfrage 'mros-visit2-dataset-0 6 0' in der Arbeitsmappe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mros-visit2-dataset-0 6 0&quot;;Extended Properties=&quot;&quot;" command="SELECT * FROM [mros-visit2-dataset-0 6 0]"/>
  </connection>
</connections>
</file>

<file path=xl/sharedStrings.xml><?xml version="1.0" encoding="utf-8"?>
<sst xmlns="http://schemas.openxmlformats.org/spreadsheetml/2006/main" count="5388" uniqueCount="2452">
  <si>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</si>
  <si>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</si>
  <si>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</si>
  <si>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</si>
  <si>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</si>
  <si>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</si>
  <si>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</si>
  <si>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</si>
  <si>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</si>
  <si>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</si>
  <si>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</si>
  <si>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</si>
  <si>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</si>
  <si>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</si>
  <si>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</si>
  <si>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</si>
  <si>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</si>
  <si>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</si>
  <si>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</si>
  <si>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</si>
  <si>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</si>
  <si>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</si>
  <si>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</si>
  <si>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</si>
  <si>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</si>
  <si>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</si>
  <si>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</si>
  <si>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</si>
  <si>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</si>
  <si>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</si>
  <si>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</si>
  <si>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</si>
  <si>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</si>
  <si>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</si>
  <si>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</si>
  <si>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</si>
  <si>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</si>
  <si>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</si>
  <si>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</si>
  <si>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</si>
  <si>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</si>
  <si>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</si>
  <si>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</si>
  <si>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</si>
  <si>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</si>
  <si>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</si>
  <si>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</si>
  <si>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</si>
  <si>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</si>
  <si>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</si>
  <si>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</si>
  <si>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</si>
  <si>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</si>
  <si>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</si>
  <si>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</si>
  <si>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</si>
  <si>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</si>
  <si>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</si>
  <si>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</si>
  <si>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</si>
  <si>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</si>
  <si>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</si>
  <si>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</si>
  <si>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</si>
  <si>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</si>
  <si>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</si>
  <si>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</si>
  <si>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</si>
  <si>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</si>
  <si>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</si>
  <si>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</si>
  <si>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</si>
  <si>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</si>
  <si>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</si>
  <si>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</si>
  <si>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</si>
  <si>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</si>
  <si>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</si>
  <si>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</si>
  <si>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</si>
  <si>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</si>
  <si>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</si>
  <si>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</si>
  <si>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</si>
  <si>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</si>
  <si>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</si>
  <si>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</si>
  <si>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</si>
  <si>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</si>
  <si>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</si>
  <si>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</si>
  <si>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</si>
  <si>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</si>
  <si>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</si>
  <si>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</si>
  <si>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</si>
  <si>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</si>
  <si>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</si>
  <si>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</si>
  <si>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</si>
  <si>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</si>
  <si>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</si>
  <si>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</si>
  <si>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</si>
  <si>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</si>
  <si>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</si>
  <si>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</si>
  <si>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</si>
  <si>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</si>
  <si>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</si>
  <si>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</si>
  <si>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</si>
  <si>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</si>
  <si>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</si>
  <si>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</si>
  <si>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</si>
  <si>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</si>
  <si>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</si>
  <si>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</si>
  <si>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</si>
  <si>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</si>
  <si>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</si>
  <si>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</si>
  <si>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</si>
  <si>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</si>
  <si>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</si>
  <si>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</si>
  <si>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</si>
  <si>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</si>
  <si>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</si>
  <si>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</si>
  <si>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</si>
  <si>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</si>
  <si>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</si>
  <si>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</si>
  <si>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</si>
  <si>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</si>
  <si>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</si>
  <si>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</si>
  <si>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</si>
  <si>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</si>
  <si>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</si>
  <si>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</si>
  <si>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</si>
  <si>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</si>
  <si>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</si>
  <si>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</si>
  <si>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</si>
  <si>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</si>
  <si>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</si>
  <si>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</si>
  <si>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</si>
  <si>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</si>
  <si>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</si>
  <si>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</si>
  <si>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</si>
  <si>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</si>
  <si>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</si>
  <si>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</si>
  <si>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</si>
  <si>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</si>
  <si>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</si>
  <si>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</si>
  <si>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</si>
  <si>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</si>
  <si>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</si>
  <si>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</si>
  <si>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</si>
  <si>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</si>
  <si>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</si>
  <si>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</si>
  <si>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</si>
  <si>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</si>
  <si>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</si>
  <si>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</si>
  <si>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</si>
  <si>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</si>
  <si>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</si>
  <si>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</si>
  <si>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</si>
  <si>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</si>
  <si>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</si>
  <si>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</si>
  <si>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</si>
  <si>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</si>
  <si>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</si>
  <si>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</si>
  <si>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</si>
  <si>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</si>
  <si>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</si>
  <si>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</si>
  <si>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</si>
  <si>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</si>
  <si>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</si>
  <si>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</si>
  <si>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</si>
  <si>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</si>
  <si>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</si>
  <si>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</si>
  <si>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</si>
  <si>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</si>
  <si>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</si>
  <si>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</si>
  <si>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</si>
  <si>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</si>
  <si>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</si>
  <si>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</si>
  <si>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</si>
  <si>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</si>
  <si>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</si>
  <si>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</si>
  <si>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</si>
  <si>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</si>
  <si>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</si>
  <si>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</si>
  <si>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</si>
  <si>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</si>
  <si>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</si>
  <si>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</si>
  <si>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</si>
  <si>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</si>
  <si>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</si>
  <si>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</si>
  <si>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</si>
  <si>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</si>
  <si>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</si>
  <si>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</si>
  <si>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</si>
  <si>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</si>
  <si>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</si>
  <si>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</si>
  <si>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</si>
  <si>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</si>
  <si>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</si>
  <si>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</si>
  <si>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</si>
  <si>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</si>
  <si>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</si>
  <si>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</si>
  <si>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</si>
  <si>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</si>
  <si>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</si>
  <si>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</si>
  <si>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</si>
  <si>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</si>
  <si>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</si>
  <si>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</si>
  <si>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</si>
  <si>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</si>
  <si>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</si>
  <si>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</si>
  <si>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</si>
  <si>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</si>
  <si>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</si>
  <si>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</si>
  <si>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</si>
  <si>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</si>
  <si>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</si>
  <si>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</si>
  <si>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</si>
  <si>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</si>
  <si>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</si>
  <si>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</si>
  <si>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</si>
  <si>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</si>
  <si>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</si>
  <si>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</si>
  <si>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</si>
  <si>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</si>
  <si>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</si>
  <si>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</si>
  <si>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</si>
  <si>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</si>
  <si>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</si>
  <si>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</si>
  <si>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</si>
  <si>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</si>
  <si>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</si>
  <si>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</si>
  <si>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</si>
  <si>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</si>
  <si>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</si>
  <si>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</si>
  <si>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</si>
  <si>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</si>
  <si>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</si>
  <si>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</si>
  <si>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</si>
  <si>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</si>
  <si>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</si>
  <si>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</si>
  <si>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</si>
  <si>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</si>
  <si>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</si>
  <si>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</si>
  <si>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</si>
  <si>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</si>
  <si>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</si>
  <si>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</si>
  <si>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</si>
  <si>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</si>
  <si>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</si>
  <si>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</si>
  <si>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</si>
  <si>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</si>
  <si>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</si>
  <si>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</si>
  <si>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</si>
  <si>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</si>
  <si>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</si>
  <si>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</si>
  <si>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</si>
  <si>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</si>
  <si>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</si>
  <si>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</si>
  <si>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</si>
  <si>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</si>
  <si>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</si>
  <si>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</si>
  <si>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</si>
  <si>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</si>
  <si>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</si>
  <si>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</si>
  <si>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</si>
  <si>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</si>
  <si>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</si>
  <si>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</si>
  <si>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</si>
  <si>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</si>
  <si>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</si>
  <si>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</si>
  <si>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</si>
  <si>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</si>
  <si>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</si>
  <si>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</si>
  <si>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</si>
  <si>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</si>
  <si>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</si>
  <si>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</si>
  <si>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</si>
  <si>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</si>
  <si>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</si>
  <si>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</si>
  <si>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</si>
  <si>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</si>
  <si>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</si>
  <si>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</si>
  <si>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</si>
  <si>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</si>
  <si>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</si>
  <si>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</si>
  <si>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</si>
  <si>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</si>
  <si>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</si>
  <si>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</si>
  <si>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</si>
  <si>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</si>
  <si>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</si>
  <si>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</si>
  <si>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</si>
  <si>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</si>
  <si>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</si>
  <si>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</si>
  <si>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</si>
  <si>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</si>
  <si>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</si>
  <si>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</si>
  <si>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</si>
  <si>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</si>
  <si>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</si>
  <si>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</si>
  <si>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</si>
  <si>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</si>
  <si>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</si>
  <si>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</si>
  <si>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</si>
  <si>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</si>
  <si>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</si>
  <si>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</si>
  <si>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</si>
  <si>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</si>
  <si>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</si>
  <si>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</si>
  <si>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</si>
  <si>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</si>
  <si>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</si>
  <si>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</si>
  <si>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</si>
  <si>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</si>
  <si>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</si>
  <si>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</si>
  <si>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</si>
  <si>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</si>
  <si>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</si>
  <si>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</si>
  <si>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</si>
  <si>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</si>
  <si>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</si>
  <si>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</si>
  <si>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</si>
  <si>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</si>
  <si>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</si>
  <si>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</si>
  <si>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</si>
  <si>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</si>
  <si>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</si>
  <si>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</si>
  <si>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</si>
  <si>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</si>
  <si>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</si>
  <si>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</si>
  <si>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</si>
  <si>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</si>
  <si>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</si>
  <si>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</si>
  <si>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</si>
  <si>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</si>
  <si>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</si>
  <si>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</si>
  <si>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</si>
  <si>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</si>
  <si>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</si>
  <si>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</si>
  <si>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</si>
  <si>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</si>
  <si>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</si>
  <si>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</si>
  <si>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</si>
  <si>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</si>
  <si>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</si>
  <si>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</si>
  <si>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</si>
  <si>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</si>
  <si>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</si>
  <si>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</si>
  <si>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</si>
  <si>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</si>
  <si>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</si>
  <si>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</si>
  <si>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</si>
  <si>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</si>
  <si>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</si>
  <si>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</si>
  <si>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</si>
  <si>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</si>
  <si>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</si>
  <si>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</si>
  <si>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</si>
  <si>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</si>
  <si>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</si>
  <si>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</si>
  <si>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</si>
  <si>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</si>
  <si>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</si>
  <si>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</si>
  <si>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</si>
  <si>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</si>
  <si>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</si>
  <si>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</si>
  <si>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</si>
  <si>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</si>
  <si>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</si>
  <si>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</si>
  <si>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</si>
  <si>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</si>
  <si>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</si>
  <si>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</si>
  <si>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</si>
  <si>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</si>
  <si>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</si>
  <si>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</si>
  <si>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</si>
  <si>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</si>
  <si>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</si>
  <si>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</si>
  <si>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</si>
  <si>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</si>
  <si>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</si>
  <si>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</si>
  <si>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</si>
  <si>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</si>
  <si>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</si>
  <si>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</si>
  <si>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</si>
  <si>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</si>
  <si>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</si>
  <si>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</si>
  <si>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</si>
  <si>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</si>
  <si>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</si>
  <si>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</si>
  <si>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</si>
  <si>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</si>
  <si>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</si>
  <si>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</si>
  <si>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</si>
  <si>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</si>
  <si>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</si>
  <si>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</si>
  <si>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</si>
  <si>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</si>
  <si>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</si>
  <si>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</si>
  <si>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</si>
  <si>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</si>
  <si>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</si>
  <si>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</si>
  <si>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</si>
  <si>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</si>
  <si>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</si>
  <si>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</si>
  <si>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</si>
  <si>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</si>
  <si>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</si>
  <si>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</si>
  <si>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</si>
  <si>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</si>
  <si>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</si>
  <si>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</si>
  <si>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</si>
  <si>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</si>
  <si>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</si>
  <si>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</si>
  <si>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</si>
  <si>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</si>
  <si>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</si>
  <si>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</si>
  <si>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</si>
  <si>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</si>
  <si>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</si>
  <si>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</si>
  <si>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</si>
  <si>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</si>
  <si>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</si>
  <si>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</si>
  <si>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</si>
  <si>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</si>
  <si>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</si>
  <si>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</si>
  <si>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</si>
  <si>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</si>
  <si>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</si>
  <si>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</si>
  <si>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</si>
  <si>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</si>
  <si>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</si>
  <si>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</si>
  <si>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</si>
  <si>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</si>
  <si>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</si>
  <si>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</si>
  <si>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</si>
  <si>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</si>
  <si>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</si>
  <si>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</si>
  <si>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</si>
  <si>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</si>
  <si>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</si>
  <si>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</si>
  <si>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</si>
  <si>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</si>
  <si>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</si>
  <si>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</si>
  <si>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</si>
  <si>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</si>
  <si>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</si>
  <si>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</si>
  <si>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</si>
  <si>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</si>
  <si>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</si>
  <si>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</si>
  <si>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</si>
  <si>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</si>
  <si>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</si>
  <si>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</si>
  <si>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</si>
  <si>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</si>
  <si>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</si>
  <si>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</si>
  <si>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</si>
  <si>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</si>
  <si>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</si>
  <si>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</si>
  <si>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</si>
  <si>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</si>
  <si>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</si>
  <si>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</si>
  <si>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</si>
  <si>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</si>
  <si>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</si>
  <si>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</si>
  <si>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</si>
  <si>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</si>
  <si>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</si>
  <si>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</si>
  <si>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</si>
  <si>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</si>
  <si>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</si>
  <si>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</si>
  <si>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</si>
  <si>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</si>
  <si>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</si>
  <si>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</si>
  <si>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</si>
  <si>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</si>
  <si>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</si>
  <si>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</si>
  <si>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</si>
  <si>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</si>
  <si>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</si>
  <si>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</si>
  <si>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</si>
  <si>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</si>
  <si>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</si>
  <si>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</si>
  <si>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</si>
  <si>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</si>
  <si>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</si>
  <si>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</si>
  <si>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</si>
  <si>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</si>
  <si>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</si>
  <si>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</si>
  <si>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</si>
  <si>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</si>
  <si>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</si>
  <si>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</si>
  <si>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</si>
  <si>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</si>
  <si>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</si>
  <si>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</si>
  <si>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</si>
  <si>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</si>
  <si>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</si>
  <si>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</si>
  <si>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</si>
  <si>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</si>
  <si>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</si>
  <si>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</si>
  <si>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</si>
  <si>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</si>
  <si>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</si>
  <si>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</si>
  <si>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</si>
  <si>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</si>
  <si>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</si>
  <si>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</si>
  <si>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</si>
  <si>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</si>
  <si>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</si>
  <si>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</si>
  <si>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</si>
  <si>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</si>
  <si>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</si>
  <si>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</si>
  <si>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</si>
  <si>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</si>
  <si>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</si>
  <si>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</si>
  <si>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</si>
  <si>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</si>
  <si>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</si>
  <si>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</si>
  <si>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</si>
  <si>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</si>
  <si>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</si>
  <si>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</si>
  <si>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</si>
  <si>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</si>
  <si>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</si>
  <si>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</si>
  <si>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</si>
  <si>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</si>
  <si>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</si>
  <si>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</si>
  <si>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</si>
  <si>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</si>
  <si>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</si>
  <si>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</si>
  <si>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</si>
  <si>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</si>
  <si>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</si>
  <si>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</si>
  <si>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</si>
  <si>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</si>
  <si>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</si>
  <si>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</si>
  <si>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</si>
  <si>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</si>
  <si>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</si>
  <si>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</si>
  <si>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</si>
  <si>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</si>
  <si>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</si>
  <si>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</si>
  <si>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</si>
  <si>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</si>
  <si>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</si>
  <si>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</si>
  <si>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</si>
  <si>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</si>
  <si>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</si>
  <si>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</si>
  <si>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</si>
  <si>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</si>
  <si>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</si>
  <si>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</si>
  <si>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</si>
  <si>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</si>
  <si>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</si>
  <si>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</si>
  <si>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</si>
  <si>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</si>
  <si>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</si>
  <si>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</si>
  <si>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</si>
  <si>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</si>
  <si>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</si>
  <si>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</si>
  <si>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</si>
  <si>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</si>
  <si>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</si>
  <si>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</si>
  <si>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</si>
  <si>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</si>
  <si>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</si>
  <si>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</si>
  <si>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</si>
  <si>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</si>
  <si>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</si>
  <si>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</si>
  <si>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</si>
  <si>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</si>
  <si>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</si>
  <si>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</si>
  <si>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</si>
  <si>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</si>
  <si>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</si>
  <si>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</si>
  <si>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</si>
  <si>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</si>
  <si>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</si>
  <si>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</si>
  <si>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</si>
  <si>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</si>
  <si>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</si>
  <si>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</si>
  <si>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</si>
  <si>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</si>
  <si>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</si>
  <si>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</si>
  <si>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</si>
  <si>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</si>
  <si>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</si>
  <si>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</si>
  <si>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</si>
  <si>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</si>
  <si>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</si>
  <si>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</si>
  <si>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</si>
  <si>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</si>
  <si>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</si>
  <si>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</si>
  <si>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</si>
  <si>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</si>
  <si>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</si>
  <si>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</si>
  <si>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</si>
  <si>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</si>
  <si>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</si>
  <si>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</si>
  <si>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</si>
  <si>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</si>
  <si>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</si>
  <si>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</si>
  <si>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</si>
  <si>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</si>
  <si>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</si>
  <si>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</si>
  <si>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</si>
  <si>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</si>
  <si>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</si>
  <si>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</si>
  <si>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</si>
  <si>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</si>
  <si>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</si>
  <si>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</si>
  <si>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</si>
  <si>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</si>
  <si>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</si>
  <si>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</si>
  <si>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</si>
  <si>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</si>
  <si>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</si>
  <si>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</si>
  <si>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</si>
  <si>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</si>
  <si>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</si>
  <si>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</si>
  <si>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</si>
  <si>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</si>
  <si>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</si>
  <si>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</si>
  <si>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</si>
  <si>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</si>
  <si>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</si>
  <si>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</si>
  <si>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</si>
  <si>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</si>
  <si>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</si>
  <si>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</si>
  <si>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</si>
  <si>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</si>
  <si>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</si>
  <si>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</si>
  <si>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</si>
  <si>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</si>
  <si>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</si>
  <si>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</si>
  <si>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</si>
  <si>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</si>
  <si>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</si>
  <si>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</si>
  <si>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</si>
  <si>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</si>
  <si>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</si>
  <si>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</si>
  <si>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</si>
  <si>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</si>
  <si>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</si>
  <si>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</si>
  <si>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</si>
  <si>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</si>
  <si>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</si>
  <si>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</si>
  <si>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</si>
  <si>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</si>
  <si>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</si>
  <si>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</si>
  <si>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</si>
  <si>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</si>
  <si>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</si>
  <si>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</si>
  <si>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</si>
  <si>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</si>
  <si>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</si>
  <si>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</si>
  <si>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</si>
  <si>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</si>
  <si>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</si>
  <si>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</si>
  <si>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</si>
  <si>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</si>
  <si>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</si>
  <si>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</si>
  <si>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</si>
  <si>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</si>
  <si>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</si>
  <si>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</si>
  <si>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</si>
  <si>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</si>
  <si>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</si>
  <si>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</si>
  <si>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</si>
  <si>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</si>
  <si>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</si>
  <si>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</si>
  <si>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</si>
  <si>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</si>
  <si>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</si>
  <si>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</si>
  <si>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</si>
  <si>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</si>
  <si>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</si>
  <si>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</si>
  <si>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</si>
  <si>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</si>
  <si>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</si>
  <si>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</si>
  <si>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</si>
  <si>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</si>
  <si>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</si>
  <si>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</si>
  <si>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</si>
  <si>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</si>
  <si>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</si>
  <si>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</si>
  <si>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</si>
  <si>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</si>
  <si>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</si>
  <si>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</si>
  <si>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</si>
  <si>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</si>
  <si>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</si>
  <si>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</si>
  <si>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</si>
  <si>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</si>
  <si>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</si>
  <si>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</si>
  <si>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</si>
  <si>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</si>
  <si>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</si>
  <si>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</si>
  <si>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</si>
  <si>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</si>
  <si>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</si>
  <si>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</si>
  <si>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</si>
  <si>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</si>
  <si>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</si>
  <si>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</si>
  <si>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</si>
  <si>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</si>
  <si>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</si>
  <si>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</si>
  <si>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</si>
  <si>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</si>
  <si>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</si>
  <si>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</si>
  <si>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</si>
  <si>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</si>
  <si>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</si>
  <si>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</si>
  <si>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</si>
  <si>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</si>
  <si>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</si>
  <si>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</si>
  <si>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</si>
  <si>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</si>
  <si>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</si>
  <si>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</si>
  <si>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</si>
  <si>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</si>
  <si>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</si>
  <si>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</si>
  <si>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</si>
  <si>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</si>
  <si>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</si>
  <si>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</si>
  <si>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</si>
  <si>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</si>
  <si>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</si>
  <si>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</si>
  <si>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</si>
  <si>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</si>
  <si>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</si>
  <si>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</si>
  <si>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</si>
  <si>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</si>
  <si>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</si>
  <si>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</si>
  <si>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</si>
  <si>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</si>
  <si>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</si>
  <si>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</si>
  <si>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</si>
  <si>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</si>
  <si>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</si>
  <si>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</si>
  <si>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</si>
  <si>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</si>
  <si>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</si>
  <si>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</si>
  <si>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</si>
  <si>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</si>
  <si>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</si>
  <si>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</si>
  <si>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</si>
  <si>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</si>
  <si>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</si>
  <si>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</si>
  <si>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</si>
  <si>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</si>
  <si>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</si>
  <si>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</si>
  <si>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</si>
  <si>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</si>
  <si>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</si>
  <si>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</si>
  <si>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</si>
  <si>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</si>
  <si>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</si>
  <si>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</si>
  <si>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</si>
  <si>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</si>
  <si>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</si>
  <si>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</si>
  <si>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</si>
  <si>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</si>
  <si>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</si>
  <si>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</si>
  <si>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</si>
  <si>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</si>
  <si>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</si>
  <si>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</si>
  <si>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</si>
  <si>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</si>
  <si>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</si>
  <si>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</si>
  <si>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</si>
  <si>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</si>
  <si>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</si>
  <si>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</si>
  <si>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</si>
  <si>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</si>
  <si>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</si>
  <si>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</si>
  <si>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</si>
  <si>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</si>
  <si>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</si>
  <si>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</si>
  <si>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</si>
  <si>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</si>
  <si>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</si>
  <si>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</si>
  <si>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</si>
  <si>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</si>
  <si>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</si>
  <si>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</si>
  <si>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</si>
  <si>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</si>
  <si>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</si>
  <si>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</si>
  <si>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</si>
  <si>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</si>
  <si>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</si>
  <si>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</si>
  <si>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</si>
  <si>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</si>
  <si>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</si>
  <si>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</si>
  <si>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</si>
  <si>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</si>
  <si>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</si>
  <si>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</si>
  <si>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</si>
  <si>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</si>
  <si>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</si>
  <si>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</si>
  <si>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</si>
  <si>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</si>
  <si>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</si>
  <si>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</si>
  <si>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</si>
  <si>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</si>
  <si>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</si>
  <si>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</si>
  <si>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</si>
  <si>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</si>
  <si>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</si>
  <si>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</si>
  <si>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</si>
  <si>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</si>
  <si>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</si>
  <si>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</si>
  <si>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</si>
  <si>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</si>
  <si>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</si>
  <si>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</si>
  <si>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</si>
  <si>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</si>
  <si>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</si>
  <si>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</si>
  <si>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</si>
  <si>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</si>
  <si>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</si>
  <si>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</si>
  <si>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</si>
  <si>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</si>
  <si>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</si>
  <si>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</si>
  <si>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</si>
  <si>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</si>
  <si>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</si>
  <si>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</si>
  <si>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</si>
  <si>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</si>
  <si>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</si>
  <si>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</si>
  <si>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</si>
  <si>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</si>
  <si>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</si>
  <si>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</si>
  <si>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</si>
  <si>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</si>
  <si>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</si>
  <si>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</si>
  <si>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</si>
  <si>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</si>
  <si>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</si>
  <si>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</si>
  <si>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</si>
  <si>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</si>
  <si>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</si>
  <si>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</si>
  <si>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</si>
  <si>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</si>
  <si>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</si>
  <si>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</si>
  <si>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</si>
  <si>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</si>
  <si>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</si>
  <si>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</si>
  <si>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</si>
  <si>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</si>
  <si>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</si>
  <si>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</si>
  <si>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</si>
  <si>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</si>
  <si>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</si>
  <si>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</si>
  <si>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</si>
  <si>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</si>
  <si>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</si>
  <si>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</si>
  <si>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</si>
  <si>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</si>
  <si>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</si>
  <si>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</si>
  <si>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</si>
  <si>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</si>
  <si>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</si>
  <si>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</si>
  <si>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</si>
  <si>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</si>
  <si>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</si>
  <si>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</si>
  <si>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</si>
  <si>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</si>
  <si>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</si>
  <si>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</si>
  <si>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</si>
  <si>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</si>
  <si>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</si>
  <si>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</si>
  <si>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</si>
  <si>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</si>
  <si>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</si>
  <si>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</si>
  <si>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</si>
  <si>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</si>
  <si>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</si>
  <si>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</si>
  <si>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</si>
  <si>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</si>
  <si>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</si>
  <si>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</si>
  <si>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</si>
  <si>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</si>
  <si>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</si>
  <si>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</si>
  <si>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</si>
  <si>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</si>
  <si>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</si>
  <si>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</si>
  <si>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</si>
  <si>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</si>
  <si>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</si>
  <si>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</si>
  <si>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</si>
  <si>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</si>
  <si>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</si>
  <si>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</si>
  <si>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</si>
  <si>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</si>
  <si>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</si>
  <si>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</si>
  <si>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</si>
  <si>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</si>
  <si>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</si>
  <si>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</si>
  <si>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</si>
  <si>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</si>
  <si>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</si>
  <si>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</si>
  <si>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</si>
  <si>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</si>
  <si>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</si>
  <si>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</si>
  <si>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</si>
  <si>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</si>
  <si>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</si>
  <si>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</si>
  <si>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</si>
  <si>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</si>
  <si>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</si>
  <si>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</si>
  <si>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</si>
  <si>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</si>
  <si>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</si>
  <si>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</si>
  <si>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</si>
  <si>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</si>
  <si>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</si>
  <si>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</si>
  <si>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</si>
  <si>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</si>
  <si>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</si>
  <si>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</si>
  <si>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</si>
  <si>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</si>
  <si>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</si>
  <si>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</si>
  <si>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</si>
  <si>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</si>
  <si>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</si>
  <si>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</si>
  <si>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</si>
  <si>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</si>
  <si>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</si>
  <si>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</si>
  <si>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</si>
  <si>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</si>
  <si>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</si>
  <si>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</si>
  <si>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</si>
  <si>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</si>
  <si>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</si>
  <si>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</si>
  <si>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</si>
  <si>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</si>
  <si>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</si>
  <si>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</si>
  <si>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</si>
  <si>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</si>
  <si>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</si>
  <si>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</si>
  <si>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</si>
  <si>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</si>
  <si>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</si>
  <si>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</si>
  <si>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</si>
  <si>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</si>
  <si>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</si>
  <si>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</si>
  <si>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</si>
  <si>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</si>
  <si>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</si>
  <si>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</si>
  <si>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</si>
  <si>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</si>
  <si>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</si>
  <si>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</si>
  <si>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</si>
  <si>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</si>
  <si>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</si>
  <si>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</si>
  <si>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</si>
  <si>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</si>
  <si>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</si>
  <si>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</si>
  <si>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</si>
  <si>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</si>
  <si>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</si>
  <si>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</si>
  <si>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</si>
  <si>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</si>
  <si>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</si>
  <si>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</si>
  <si>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</si>
  <si>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</si>
  <si>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</si>
  <si>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</si>
  <si>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</si>
  <si>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</si>
  <si>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</si>
  <si>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</si>
  <si>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</si>
  <si>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</si>
  <si>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</si>
  <si>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</si>
  <si>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</si>
  <si>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</si>
  <si>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</si>
  <si>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</si>
  <si>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</si>
  <si>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</si>
  <si>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</si>
  <si>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</si>
  <si>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</si>
  <si>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</si>
  <si>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</si>
  <si>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</si>
  <si>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</si>
  <si>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</si>
  <si>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</si>
  <si>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</si>
  <si>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</si>
  <si>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</si>
  <si>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</si>
  <si>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</si>
  <si>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</si>
  <si>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</si>
  <si>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</si>
  <si>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</si>
  <si>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</si>
  <si>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</si>
  <si>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</si>
  <si>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</si>
  <si>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</si>
  <si>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</si>
  <si>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</si>
  <si>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</si>
  <si>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</si>
  <si>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</si>
  <si>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</si>
  <si>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</si>
  <si>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</si>
  <si>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</si>
  <si>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</si>
  <si>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</si>
  <si>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</si>
  <si>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</si>
  <si>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</si>
  <si>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</si>
  <si>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</si>
  <si>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</si>
  <si>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</si>
  <si>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</si>
  <si>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</si>
  <si>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</si>
  <si>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</si>
  <si>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</si>
  <si>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</si>
  <si>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</si>
  <si>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</si>
  <si>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</si>
  <si>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</si>
  <si>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</si>
  <si>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</si>
  <si>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</si>
  <si>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</si>
  <si>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</si>
  <si>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</si>
  <si>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</si>
  <si>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</si>
  <si>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</si>
  <si>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</si>
  <si>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</si>
  <si>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</si>
  <si>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</si>
  <si>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</si>
  <si>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</si>
  <si>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</si>
  <si>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</si>
  <si>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</si>
  <si>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</si>
  <si>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</si>
  <si>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</si>
  <si>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</si>
  <si>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</si>
  <si>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</si>
  <si>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</si>
  <si>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</si>
  <si>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</si>
  <si>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</si>
  <si>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</si>
  <si>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</si>
  <si>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</si>
  <si>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</si>
  <si>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</si>
  <si>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</si>
  <si>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</si>
  <si>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</si>
  <si>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</si>
  <si>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</si>
  <si>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</si>
  <si>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</si>
  <si>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</si>
  <si>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</si>
  <si>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</si>
  <si>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</si>
  <si>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</si>
  <si>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</si>
  <si>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</si>
  <si>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</si>
  <si>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</si>
  <si>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</si>
  <si>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</si>
  <si>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</si>
  <si>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</si>
  <si>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</si>
  <si>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</si>
  <si>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</si>
  <si>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</si>
  <si>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</si>
  <si>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</si>
  <si>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</si>
  <si>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</si>
  <si>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</si>
  <si>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</si>
  <si>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</si>
  <si>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</si>
  <si>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</si>
  <si>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</si>
  <si>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</si>
  <si>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</si>
  <si>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</si>
  <si>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</si>
  <si>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</si>
  <si>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</si>
  <si>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</si>
  <si>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</si>
  <si>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</si>
  <si>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</si>
  <si>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</si>
  <si>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</si>
  <si>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</si>
  <si>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</si>
  <si>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</si>
  <si>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</si>
  <si>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</si>
  <si>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</si>
  <si>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</si>
  <si>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</si>
  <si>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</si>
  <si>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</si>
  <si>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</si>
  <si>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</si>
  <si>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</si>
  <si>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</si>
  <si>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</si>
  <si>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</si>
  <si>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</si>
  <si>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</si>
  <si>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</si>
  <si>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</si>
  <si>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</si>
  <si>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</si>
  <si>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</si>
  <si>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</si>
  <si>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</si>
  <si>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</si>
  <si>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</si>
  <si>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</si>
  <si>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</si>
  <si>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</si>
  <si>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</si>
  <si>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</si>
  <si>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</si>
  <si>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</si>
  <si>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</si>
  <si>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</si>
  <si>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</si>
  <si>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</si>
  <si>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</si>
  <si>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</si>
  <si>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</si>
  <si>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</si>
  <si>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</si>
  <si>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</si>
  <si>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</si>
  <si>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</si>
  <si>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</si>
  <si>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</si>
  <si>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</si>
  <si>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</si>
  <si>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</si>
  <si>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</si>
  <si>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</si>
  <si>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</si>
  <si>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</si>
  <si>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</si>
  <si>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</si>
  <si>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</si>
  <si>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</si>
  <si>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</si>
  <si>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</si>
  <si>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</si>
  <si>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</si>
  <si>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</si>
  <si>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</si>
  <si>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</si>
  <si>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</si>
  <si>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</si>
  <si>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</si>
  <si>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</si>
  <si>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</si>
  <si>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</si>
  <si>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</si>
  <si>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</si>
  <si>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</si>
  <si>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</si>
  <si>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</si>
  <si>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</si>
  <si>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</si>
  <si>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</si>
  <si>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</si>
  <si>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</si>
  <si>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</si>
  <si>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</si>
  <si>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</si>
  <si>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</si>
  <si>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</si>
  <si>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</si>
  <si>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</si>
  <si>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</si>
  <si>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</si>
  <si>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</si>
  <si>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</si>
  <si>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</si>
  <si>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</si>
  <si>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</si>
  <si>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</si>
  <si>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</si>
  <si>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</si>
  <si>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</si>
  <si>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</si>
  <si>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</si>
  <si>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</si>
  <si>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</si>
  <si>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</si>
  <si>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</si>
  <si>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</si>
  <si>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</si>
  <si>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</si>
  <si>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</si>
  <si>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</si>
  <si>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</si>
  <si>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</si>
  <si>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</si>
  <si>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</si>
  <si>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</si>
  <si>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</si>
  <si>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</si>
  <si>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</si>
  <si>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</si>
  <si>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</si>
  <si>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</si>
  <si>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</si>
  <si>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</si>
  <si>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</si>
  <si>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</si>
  <si>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</si>
  <si>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</si>
  <si>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</si>
  <si>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</si>
  <si>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</si>
  <si>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</si>
  <si>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</si>
  <si>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</si>
  <si>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</si>
  <si>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</si>
  <si>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</si>
  <si>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</si>
  <si>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</si>
  <si>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</si>
  <si>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</si>
  <si>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</si>
  <si>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</si>
  <si>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</si>
  <si>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</si>
  <si>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</si>
  <si>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</si>
  <si>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</si>
  <si>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</si>
  <si>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</si>
  <si>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</si>
  <si>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</si>
  <si>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</si>
  <si>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</si>
  <si>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</si>
  <si>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</si>
  <si>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</si>
  <si>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</si>
  <si>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</si>
  <si>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</si>
  <si>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</si>
  <si>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</si>
  <si>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</si>
  <si>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</si>
  <si>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</si>
  <si>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</si>
  <si>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</si>
  <si>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</si>
  <si>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</si>
  <si>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</si>
  <si>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</si>
  <si>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</si>
  <si>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</si>
  <si>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</si>
  <si>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</si>
  <si>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</si>
  <si>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</si>
  <si>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</si>
  <si>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</si>
  <si>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</si>
  <si>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</si>
  <si>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</si>
  <si>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</si>
  <si>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</si>
  <si>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</si>
  <si>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</si>
  <si>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</si>
  <si>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</si>
  <si>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</si>
  <si>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</si>
  <si>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</si>
  <si>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</si>
  <si>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</si>
  <si>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</si>
  <si>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</si>
  <si>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</si>
  <si>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</si>
  <si>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</si>
  <si>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</si>
  <si>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</si>
  <si>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</si>
  <si>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</si>
  <si>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</si>
  <si>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</si>
  <si>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</si>
  <si>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</si>
  <si>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</si>
  <si>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</si>
  <si>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</si>
  <si>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</si>
  <si>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</si>
  <si>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</si>
  <si>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</si>
  <si>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</si>
  <si>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</si>
  <si>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</si>
  <si>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</si>
  <si>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</si>
  <si>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</si>
  <si>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</si>
  <si>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</si>
  <si>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</si>
  <si>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</si>
  <si>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</si>
  <si>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</si>
  <si>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</si>
  <si>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</si>
  <si>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</si>
  <si>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</si>
  <si>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</si>
  <si>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</si>
  <si>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</si>
  <si>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</si>
  <si>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</si>
  <si>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</si>
  <si>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</si>
  <si>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</si>
  <si>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</si>
  <si>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</si>
  <si>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</si>
  <si>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</si>
  <si>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</si>
  <si>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</si>
  <si>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</si>
  <si>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</si>
  <si>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</si>
  <si>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</si>
  <si>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</si>
  <si>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</si>
  <si>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</si>
  <si>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</si>
  <si>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</si>
  <si>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</si>
  <si>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</si>
  <si>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</si>
  <si>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</si>
  <si>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</si>
  <si>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</si>
  <si>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</si>
  <si>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</si>
  <si>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</si>
  <si>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</si>
  <si>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</si>
  <si>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</si>
  <si>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</si>
  <si>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</si>
  <si>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</si>
  <si>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</si>
  <si>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</si>
  <si>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</si>
  <si>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</si>
  <si>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</si>
  <si>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</si>
  <si>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</si>
  <si>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</si>
  <si>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</si>
  <si>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</si>
  <si>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</si>
  <si>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</si>
  <si>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</si>
  <si>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</si>
  <si>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</si>
  <si>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</si>
  <si>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</si>
  <si>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</si>
  <si>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</si>
  <si>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</si>
  <si>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</si>
  <si>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</si>
  <si>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</si>
  <si>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</si>
  <si>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</si>
  <si>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</si>
  <si>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</si>
  <si>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</si>
  <si>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</si>
  <si>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</si>
  <si>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</si>
  <si>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</si>
  <si>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</si>
  <si>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</si>
  <si>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</si>
  <si>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</si>
  <si>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</si>
  <si>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</si>
  <si>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</si>
  <si>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</si>
  <si>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</si>
  <si>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</si>
  <si>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</si>
  <si>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</si>
  <si>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</si>
  <si>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</si>
  <si>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</si>
  <si>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</si>
  <si>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</si>
  <si>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</si>
  <si>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</si>
  <si>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</si>
  <si>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</si>
  <si>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</si>
  <si>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</si>
  <si>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</si>
  <si>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</si>
  <si>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 comp)</t>
  </si>
  <si>
    <t xml:space="preserve">SF-36 (mental comp)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</si>
  <si>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</si>
  <si>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</si>
  <si>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</si>
  <si>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</si>
  <si>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</si>
  <si>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</si>
  <si>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</si>
  <si>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</si>
  <si>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</si>
  <si>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</si>
  <si>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</si>
  <si>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</si>
  <si>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</si>
  <si>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</si>
  <si>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</si>
  <si>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SOL/N1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</si>
  <si>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</si>
  <si>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</si>
  <si>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</si>
  <si>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</si>
  <si>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</si>
  <si>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</si>
  <si>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</si>
  <si>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</si>
  <si>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</si>
  <si>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</si>
  <si>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 pm 9.9)</t>
  </si>
  <si>
    <t xml:space="preserve">28/21</t>
  </si>
  <si>
    <t xml:space="preserve">38.9 pm 3.0</t>
  </si>
  <si>
    <t xml:space="preserve">49.8 pm 27.6</t>
  </si>
  <si>
    <t xml:space="preserve">10.1 pm 4.5</t>
  </si>
  <si>
    <t xml:space="preserve">484.2 pm 55.6</t>
  </si>
  <si>
    <t xml:space="preserve">373.7 pm 77.5</t>
  </si>
  <si>
    <t xml:space="preserve">77.7 pm 15.0</t>
  </si>
  <si>
    <t xml:space="preserve">21.5 pm 23.6</t>
  </si>
  <si>
    <t xml:space="preserve">83.4 pm 59.8</t>
  </si>
  <si>
    <t xml:space="preserve">19.8 pm 13.2</t>
  </si>
  <si>
    <t xml:space="preserve">50.9 pm 9.5</t>
  </si>
  <si>
    <t xml:space="preserve">11.5 pm 8.7</t>
  </si>
  <si>
    <t xml:space="preserve">17.8 pm 7.2</t>
  </si>
  <si>
    <t xml:space="preserve">severe OSA, no prior CPAP, prior bariatric surgery, drowsy driving, hypoventilation syndrome</t>
  </si>
  <si>
    <t xml:space="preserve">upon request</t>
  </si>
  <si>
    <t xml:space="preserve">bakkerGastricBandingSurgery2018</t>
  </si>
  <si>
    <t xml:space="preserve">nationalsleepresearchresourceApneaBariatricSurgery2018</t>
  </si>
  <si>
    <t xml:space="preserve">32 pm 6</t>
  </si>
  <si>
    <t xml:space="preserve">&lt;30 (exclusion criteria)</t>
  </si>
  <si>
    <t xml:space="preserve">&lt;= 15 (exclusion criteria)</t>
  </si>
  <si>
    <t xml:space="preserve">416.2 pm 48.3</t>
  </si>
  <si>
    <t xml:space="preserve">341.6 pm 59.8</t>
  </si>
  <si>
    <t xml:space="preserve">81.8 pm 9.9</t>
  </si>
  <si>
    <t xml:space="preserve">17.5 pm 18.5</t>
  </si>
  <si>
    <t xml:space="preserve">57.3 pm 35.0</t>
  </si>
  <si>
    <t xml:space="preserve">12.3 pm 3.8</t>
  </si>
  <si>
    <t xml:space="preserve">49.5 pm 6.6</t>
  </si>
  <si>
    <t xml:space="preserve">23.1 pm 5.8</t>
  </si>
  <si>
    <t xml:space="preserve">15.1 pm 4.1</t>
  </si>
  <si>
    <t xml:space="preserve">normal/healthy populaiton </t>
  </si>
  <si>
    <t xml:space="preserve">public</t>
  </si>
  <si>
    <t xml:space="preserve">weiANPHYSleepOpenSleep2024</t>
  </si>
  <si>
    <t xml:space="preserve">anphylabANPHYSleep2024</t>
  </si>
  <si>
    <t xml:space="preserve">APOE</t>
  </si>
  <si>
    <t xml:space="preserve">13-90 (45.7 pm 13.6)</t>
  </si>
  <si>
    <t xml:space="preserve">27.3 pm 7.0</t>
  </si>
  <si>
    <t xml:space="preserve">467.7 pm 53.2</t>
  </si>
  <si>
    <t xml:space="preserve">348.5 pm 70.0</t>
  </si>
  <si>
    <t xml:space="preserve">74.6 pm 12.7</t>
  </si>
  <si>
    <t xml:space="preserve">45.3 pm 33.4</t>
  </si>
  <si>
    <t xml:space="preserve">73.4 pm 53.2</t>
  </si>
  <si>
    <t xml:space="preserve">11.7 pm 9.6</t>
  </si>
  <si>
    <t xml:space="preserve">63.0 pm 12.2</t>
  </si>
  <si>
    <t xml:space="preserve">9.4 pm 9.7</t>
  </si>
  <si>
    <t xml:space="preserve">16.0 pm 7.1</t>
  </si>
  <si>
    <t xml:space="preserve">sleep disordered breathing</t>
  </si>
  <si>
    <t xml:space="preserve">mooreDesignValidationPeriodic2014</t>
  </si>
  <si>
    <t xml:space="preserve">nationalsleepresearchresourceSleepDisorderedBreathing2024</t>
  </si>
  <si>
    <t xml:space="preserve">APPLES</t>
  </si>
  <si>
    <t xml:space="preserve">18-84 (50.1 pm 12.9)</t>
  </si>
  <si>
    <t xml:space="preserve">32.1 pm 7.8</t>
  </si>
  <si>
    <t xml:space="preserve">38.2 pm 26.6</t>
  </si>
  <si>
    <t xml:space="preserve">24.9 pm 19.1</t>
  </si>
  <si>
    <t xml:space="preserve">8.2 pm 17.5</t>
  </si>
  <si>
    <t xml:space="preserve">55.5 pm 11.9</t>
  </si>
  <si>
    <t xml:space="preserve">2.8 pm 1.4</t>
  </si>
  <si>
    <t xml:space="preserve">6.3 pm 5.2</t>
  </si>
  <si>
    <t xml:space="preserve">493.3 pm 58.9</t>
  </si>
  <si>
    <t xml:space="preserve">373.2 pm 74.1</t>
  </si>
  <si>
    <t xml:space="preserve">75.7 pm 13.0</t>
  </si>
  <si>
    <t xml:space="preserve">25.8 pm 27.4</t>
  </si>
  <si>
    <t xml:space="preserve">94.3 pm 56.3</t>
  </si>
  <si>
    <t xml:space="preserve">19.1 pm 14.7</t>
  </si>
  <si>
    <t xml:space="preserve">60.5 pm 13.8</t>
  </si>
  <si>
    <t xml:space="preserve">3.1 pm 5.8</t>
  </si>
  <si>
    <t xml:space="preserve">17.3 pm 7.3</t>
  </si>
  <si>
    <t xml:space="preserve">OSA, AHI &gt;=10, mean AHI 38.2, no prior CPAP, mean BMI 32, 75% caucasian</t>
  </si>
  <si>
    <t xml:space="preserve">quanAssociationObstructiveSleep2011</t>
  </si>
  <si>
    <t xml:space="preserve">nationalsleepresearchresourceApneaPositivePressure2023</t>
  </si>
  <si>
    <t xml:space="preserve">BESTAIR</t>
  </si>
  <si>
    <t xml:space="preserve">AASM (home sleep test, not reliable)</t>
  </si>
  <si>
    <t xml:space="preserve">46-77 (64.3 pm 7.4)</t>
  </si>
  <si>
    <t xml:space="preserve">31.7 pm 5.9</t>
  </si>
  <si>
    <t xml:space="preserve">29.2 pm 16.6</t>
  </si>
  <si>
    <t xml:space="preserve">8.3 pm 4.5</t>
  </si>
  <si>
    <t xml:space="preserve">5.3 pm 4.9</t>
  </si>
  <si>
    <t xml:space="preserve">9.7 pm 4.6</t>
  </si>
  <si>
    <t xml:space="preserve">4.8 pm 0.9</t>
  </si>
  <si>
    <t xml:space="preserve">84.2 pm 12.2</t>
  </si>
  <si>
    <t xml:space="preserve">32.1 pm 33.9</t>
  </si>
  <si>
    <t xml:space="preserve">moderate to severe sleep apnea (AHI&gt;=15), established CVD  or 3 or more CVD risk factors, ESS&lt;=14, no prior CPAP use, </t>
  </si>
  <si>
    <t xml:space="preserve">gleasonChallengesRecruitmentRandomized2014</t>
  </si>
  <si>
    <t xml:space="preserve">nationalsleepresearchresourceBestApneaInterventions2018</t>
  </si>
  <si>
    <t xml:space="preserve">14-82 (49.2 pm 19.7)</t>
  </si>
  <si>
    <t xml:space="preserve">66/42</t>
  </si>
  <si>
    <t xml:space="preserve">550.1 pm 100.1</t>
  </si>
  <si>
    <t xml:space="preserve">401.1 pm 106.9</t>
  </si>
  <si>
    <t xml:space="preserve">74.2 pm 20.4</t>
  </si>
  <si>
    <t xml:space="preserve">79.6 pm 106.6</t>
  </si>
  <si>
    <t xml:space="preserve">52.3 pm 49.8</t>
  </si>
  <si>
    <t xml:space="preserve">5.7 pm 5.7</t>
  </si>
  <si>
    <t xml:space="preserve">44.5 pm 10.2</t>
  </si>
  <si>
    <t xml:space="preserve">28.9 pm 9.6</t>
  </si>
  <si>
    <t xml:space="preserve">20.9 pm 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</si>
  <si>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</si>
  <si>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terzanoAtlasRulesRecording2001</t>
  </si>
  <si>
    <t xml:space="preserve">terzanoCAPSleepDatabase2001</t>
  </si>
  <si>
    <t xml:space="preserve">CCSHS</t>
  </si>
  <si>
    <t xml:space="preserve">2006-2010</t>
  </si>
  <si>
    <t xml:space="preserve">16-19 (17.7 pm 0.4)</t>
  </si>
  <si>
    <t xml:space="preserve">261/256</t>
  </si>
  <si>
    <t xml:space="preserve">25.1 pm 5.9</t>
  </si>
  <si>
    <t xml:space="preserve">1.5 pm 4.8</t>
  </si>
  <si>
    <t xml:space="preserve">8.7 pm 3.7</t>
  </si>
  <si>
    <t xml:space="preserve">0.4 pm 2.6</t>
  </si>
  <si>
    <t xml:space="preserve">7.6 pm 3.8</t>
  </si>
  <si>
    <t xml:space="preserve">538.1 pm 65.5</t>
  </si>
  <si>
    <t xml:space="preserve">452.1 pm 76.0</t>
  </si>
  <si>
    <t xml:space="preserve">83. pm 13.5</t>
  </si>
  <si>
    <t xml:space="preserve">27.9 pm 51.0</t>
  </si>
  <si>
    <t xml:space="preserve">58.1 pm 46.7</t>
  </si>
  <si>
    <t xml:space="preserve">4.0 pm 2.7</t>
  </si>
  <si>
    <t xml:space="preserve">52.2 pm 7.6</t>
  </si>
  <si>
    <t xml:space="preserve">22.7 pm 8.4</t>
  </si>
  <si>
    <t xml:space="preserve">21.1 pm 5.6</t>
  </si>
  <si>
    <t xml:space="preserve">46% preterm, 35.7% black or african american, 16.4% BMI &gt;30</t>
  </si>
  <si>
    <t xml:space="preserve">rosenPrevalenceRiskFactors2003</t>
  </si>
  <si>
    <t xml:space="preserve">nationalsleepresearchresourceClevelandChildrensSleep2015</t>
  </si>
  <si>
    <t xml:space="preserve">CFS</t>
  </si>
  <si>
    <t xml:space="preserve">1990-2006</t>
  </si>
  <si>
    <t xml:space="preserve">7-89 (43.3 pm 19.9)</t>
  </si>
  <si>
    <t xml:space="preserve">32.4 pm 9.5</t>
  </si>
  <si>
    <t xml:space="preserve">12.5 pm 17.0</t>
  </si>
  <si>
    <t xml:space="preserve">15.5 pm 10.0</t>
  </si>
  <si>
    <t xml:space="preserve">8.1 pm 17.9</t>
  </si>
  <si>
    <t xml:space="preserve">8.7 pm 4.9</t>
  </si>
  <si>
    <t xml:space="preserve">17.6 pm 2.6</t>
  </si>
  <si>
    <t xml:space="preserve">521.2 pm 92.7</t>
  </si>
  <si>
    <t xml:space="preserve">362.6 pm 74.0</t>
  </si>
  <si>
    <t xml:space="preserve">70.8 pm 15.2</t>
  </si>
  <si>
    <t xml:space="preserve">79.9 pm 81.2</t>
  </si>
  <si>
    <t xml:space="preserve">78.6 pm 63.1</t>
  </si>
  <si>
    <t xml:space="preserve">5.1 pm 4.8</t>
  </si>
  <si>
    <t xml:space="preserve">56.7 pm 13.6</t>
  </si>
  <si>
    <t xml:space="preserve">19.9 pm 13.4</t>
  </si>
  <si>
    <t xml:space="preserve">18.4 pm 7.7</t>
  </si>
  <si>
    <t xml:space="preserve">diagnosed sleep apnea (RDI&gt;=20), mean BMI 32.4, 46% african american</t>
  </si>
  <si>
    <t xml:space="preserve">redlineFamilialAggregationObstructive1995</t>
  </si>
  <si>
    <t xml:space="preserve">nationalsleepresearchresourceClevelandFamilyStudy2014</t>
  </si>
  <si>
    <t xml:space="preserve">CHAT</t>
  </si>
  <si>
    <t xml:space="preserve">2007-2012</t>
  </si>
  <si>
    <t xml:space="preserve">5-10.5 (7.3 pm 1.4)</t>
  </si>
  <si>
    <t xml:space="preserve">219/234</t>
  </si>
  <si>
    <t xml:space="preserve">19.0 pm 4.9</t>
  </si>
  <si>
    <t xml:space="preserve">7.8 pm 5.9</t>
  </si>
  <si>
    <t xml:space="preserve">8.5 pm 3.1</t>
  </si>
  <si>
    <t xml:space="preserve">2.0 pm 3.8</t>
  </si>
  <si>
    <t xml:space="preserve">531.0 pm 37.0</t>
  </si>
  <si>
    <t xml:space="preserve">456.1 pm 53.3</t>
  </si>
  <si>
    <t xml:space="preserve">86.0 pm 8.6</t>
  </si>
  <si>
    <t xml:space="preserve">27.0 pm 26.3</t>
  </si>
  <si>
    <t xml:space="preserve">47.9 pm 41.8</t>
  </si>
  <si>
    <t xml:space="preserve">8.6 pm 4.1</t>
  </si>
  <si>
    <t xml:space="preserve">41.4 pm 7.7</t>
  </si>
  <si>
    <t xml:space="preserve">31.6 pm 7.4</t>
  </si>
  <si>
    <t xml:space="preserve">18.4 pm 4.3</t>
  </si>
  <si>
    <t xml:space="preserve">mild to moderate OSA</t>
  </si>
  <si>
    <t xml:space="preserve">marcusRandomizedTrialAdenotonsillectomy2013</t>
  </si>
  <si>
    <t xml:space="preserve">nationalsleepresearchresourceChildhoodAdenotonsillectomyTrial2014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</si>
  <si>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</si>
  <si>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</si>
  <si>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</si>
  <si>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</si>
  <si>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 pm 39.6</t>
  </si>
  <si>
    <t xml:space="preserve">21.0 pm 10.4</t>
  </si>
  <si>
    <t xml:space="preserve">7.8 pm 5.0</t>
  </si>
  <si>
    <t xml:space="preserve">435.9 pm 37.2</t>
  </si>
  <si>
    <t xml:space="preserve">304.6 pm 73.1</t>
  </si>
  <si>
    <t xml:space="preserve">69.9 pm 16.0</t>
  </si>
  <si>
    <t xml:space="preserve">22.1 pm 19.4</t>
  </si>
  <si>
    <t xml:space="preserve">108.8 pm 65.8</t>
  </si>
  <si>
    <t xml:space="preserve">15.7 pm 11.8</t>
  </si>
  <si>
    <t xml:space="preserve">51.2 pm 11.6</t>
  </si>
  <si>
    <t xml:space="preserve">19.3 pm 11.7</t>
  </si>
  <si>
    <t xml:space="preserve">13.7 pm 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</si>
  <si>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</si>
  <si>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</si>
  <si>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</si>
  <si>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</si>
  <si>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443.3 pm 103.1</t>
  </si>
  <si>
    <t xml:space="preserve">9.9 pm 9.6</t>
  </si>
  <si>
    <t xml:space="preserve">50.3 pm 10.2</t>
  </si>
  <si>
    <t xml:space="preserve">19.4 pm 11.1</t>
  </si>
  <si>
    <t xml:space="preserve">20.4 pm 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</si>
  <si>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</si>
  <si>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</si>
  <si>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</si>
  <si>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</si>
  <si>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 pm 7.5</t>
  </si>
  <si>
    <t xml:space="preserve">16/9</t>
  </si>
  <si>
    <t xml:space="preserve">23.8 pm 3.4</t>
  </si>
  <si>
    <t xml:space="preserve">487.7 pm 54.7</t>
  </si>
  <si>
    <t xml:space="preserve">432.5 pm 69.4</t>
  </si>
  <si>
    <t xml:space="preserve">88.4 pm 7.5</t>
  </si>
  <si>
    <t xml:space="preserve">17.8 pm 19.0</t>
  </si>
  <si>
    <t xml:space="preserve">37.3 pm 27.6</t>
  </si>
  <si>
    <t xml:space="preserve">7.1 pm 3.6</t>
  </si>
  <si>
    <t xml:space="preserve">54.8 pm 8.7</t>
  </si>
  <si>
    <t xml:space="preserve">16.2 pm 8.3</t>
  </si>
  <si>
    <t xml:space="preserve">21.9 pm 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</si>
  <si>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</si>
  <si>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</si>
  <si>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</si>
  <si>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</si>
  <si>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 pm 16.5</t>
  </si>
  <si>
    <t xml:space="preserve">29.6 pm 6.4</t>
  </si>
  <si>
    <t xml:space="preserve">18.5 pm 16.2</t>
  </si>
  <si>
    <t xml:space="preserve">477.0 pm 54.4</t>
  </si>
  <si>
    <t xml:space="preserve">388.7 pm 81.8</t>
  </si>
  <si>
    <t xml:space="preserve">81.3 pm 13.3</t>
  </si>
  <si>
    <t xml:space="preserve">16.5 pm 16.0</t>
  </si>
  <si>
    <t xml:space="preserve">71.8 pm 55.5</t>
  </si>
  <si>
    <t xml:space="preserve">7.2 pm 5.3</t>
  </si>
  <si>
    <t xml:space="preserve">61.5 pm 11.5</t>
  </si>
  <si>
    <t xml:space="preserve">13.1 pm 8.7</t>
  </si>
  <si>
    <t xml:space="preserve">18.2 pm 8.1</t>
  </si>
  <si>
    <t xml:space="preserve">sleep-disordered breathing</t>
  </si>
  <si>
    <t xml:space="preserve">DREAMT</t>
  </si>
  <si>
    <t xml:space="preserve">56 pm 17</t>
  </si>
  <si>
    <t xml:space="preserve">45/55</t>
  </si>
  <si>
    <t xml:space="preserve">33.7 pm 8.6</t>
  </si>
  <si>
    <t xml:space="preserve">22.1 pm 28.7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</si>
  <si>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</si>
  <si>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</si>
  <si>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</si>
  <si>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</si>
  <si>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</si>
  <si>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</si>
  <si>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 pm 14.7</t>
  </si>
  <si>
    <t xml:space="preserve">19.5 pm 8.9</t>
  </si>
  <si>
    <t xml:space="preserve">411.7 pm 136.1</t>
  </si>
  <si>
    <t xml:space="preserve">341.1 pm 122.3</t>
  </si>
  <si>
    <t xml:space="preserve">82.6 pm 11.8</t>
  </si>
  <si>
    <t xml:space="preserve">11.4 pm 24.5</t>
  </si>
  <si>
    <t xml:space="preserve">59.1 pm 43.9</t>
  </si>
  <si>
    <t xml:space="preserve">9.3 pm 4.8</t>
  </si>
  <si>
    <t xml:space="preserve">48.5 pm 12.6</t>
  </si>
  <si>
    <t xml:space="preserve">18.7 pm 9.8</t>
  </si>
  <si>
    <t xml:space="preserve">23.6 pm 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</si>
  <si>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</si>
  <si>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</si>
  <si>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</si>
  <si>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</si>
  <si>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</si>
  <si>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</si>
  <si>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</si>
  <si>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</si>
  <si>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 pm 55.8</t>
  </si>
  <si>
    <t xml:space="preserve">401.3 pm 72.7</t>
  </si>
  <si>
    <t xml:space="preserve">90.3 pm 12.1</t>
  </si>
  <si>
    <t xml:space="preserve">10.0 pm 9.2</t>
  </si>
  <si>
    <t xml:space="preserve">17.8 pm 24.4</t>
  </si>
  <si>
    <t xml:space="preserve">8.6 pm 3.3</t>
  </si>
  <si>
    <t xml:space="preserve">49.8 pm 7.1</t>
  </si>
  <si>
    <t xml:space="preserve">20.7 pm 7.5</t>
  </si>
  <si>
    <t xml:space="preserve">20.9 pm 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</si>
  <si>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</si>
  <si>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</si>
  <si>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</si>
  <si>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</si>
  <si>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</si>
  <si>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</si>
  <si>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 pm 74.3</t>
  </si>
  <si>
    <t xml:space="preserve">374.4 pm 73.8</t>
  </si>
  <si>
    <t xml:space="preserve">86.9 pm 10.8</t>
  </si>
  <si>
    <t xml:space="preserve">14.6 pm 17.3</t>
  </si>
  <si>
    <t xml:space="preserve">21.2 pm 18.7</t>
  </si>
  <si>
    <t xml:space="preserve">9.3 pm 3.6</t>
  </si>
  <si>
    <t xml:space="preserve">52.0 pm 4.6</t>
  </si>
  <si>
    <t xml:space="preserve">17.2 pm 5.9</t>
  </si>
  <si>
    <t xml:space="preserve">21.6 pm 5.8</t>
  </si>
  <si>
    <t xml:space="preserve">bjarkemikkelsenEarEEGSleepMonitoring2025</t>
  </si>
  <si>
    <t xml:space="preserve">tabarEarEEGSleepMonitoring2024</t>
  </si>
  <si>
    <t xml:space="preserve">FDCSR (concats recordings?)</t>
  </si>
  <si>
    <t xml:space="preserve">470.2 pm 171.7</t>
  </si>
  <si>
    <t xml:space="preserve">309.4 pm 197.2</t>
  </si>
  <si>
    <t xml:space="preserve">66.1 pm 34.8</t>
  </si>
  <si>
    <t xml:space="preserve">63.9 pm 114.9</t>
  </si>
  <si>
    <t xml:space="preserve">92.4 pm 129.5</t>
  </si>
  <si>
    <t xml:space="preserve">19.4 pm 29.9</t>
  </si>
  <si>
    <t xml:space="preserve">44.3 pm 18.2</t>
  </si>
  <si>
    <t xml:space="preserve">15.5 pm 12.3</t>
  </si>
  <si>
    <t xml:space="preserve">20.7 pm 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</si>
  <si>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</si>
  <si>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</si>
  <si>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</si>
  <si>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</si>
  <si>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no sleep scoring</t>
  </si>
  <si>
    <t xml:space="preserve">45-76 (63 pm 7.3)</t>
  </si>
  <si>
    <t xml:space="preserve">34.4 pm 6.4</t>
  </si>
  <si>
    <t xml:space="preserve">25.1 pm 8.4</t>
  </si>
  <si>
    <t xml:space="preserve">8.9 pm 3.6</t>
  </si>
  <si>
    <t xml:space="preserve">5.5 pm 5.0</t>
  </si>
  <si>
    <t xml:space="preserve">43.5 pm 9.6</t>
  </si>
  <si>
    <t xml:space="preserve">50.7 pm 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</si>
  <si>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</si>
  <si>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</si>
  <si>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</si>
  <si>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HMC</t>
  </si>
  <si>
    <t xml:space="preserve">53.9 pm 15.4</t>
  </si>
  <si>
    <t xml:space="preserve">14.6 pm 16.9</t>
  </si>
  <si>
    <t xml:space="preserve">19.9 pm 15.2</t>
  </si>
  <si>
    <t xml:space="preserve">456 pm 96</t>
  </si>
  <si>
    <t xml:space="preserve">378 pm 90</t>
  </si>
  <si>
    <t xml:space="preserve">83.0 pm 14.0</t>
  </si>
  <si>
    <t xml:space="preserve">Clinical / heterogeneous —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</si>
  <si>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</si>
  <si>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</si>
  <si>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</si>
  <si>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46.5 pm 11.9</t>
  </si>
  <si>
    <t xml:space="preserve">255/148</t>
  </si>
  <si>
    <t xml:space="preserve">37.2 pm 8.9</t>
  </si>
  <si>
    <t xml:space="preserve">27.1 pm 27.7</t>
  </si>
  <si>
    <t xml:space="preserve">14.1 pm 3.7</t>
  </si>
  <si>
    <t xml:space="preserve">45.5 pm 9.8</t>
  </si>
  <si>
    <t xml:space="preserve">47.4 pm 11.2</t>
  </si>
  <si>
    <t xml:space="preserve">16.2 pm 3.0</t>
  </si>
  <si>
    <t xml:space="preserve">4.0 pm 1.0</t>
  </si>
  <si>
    <t xml:space="preserve">335.3 pm 126.2</t>
  </si>
  <si>
    <t xml:space="preserve">24.1 pm 16.5</t>
  </si>
  <si>
    <t xml:space="preserve">7.4 pm 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</si>
  <si>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</si>
  <si>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</si>
  <si>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</si>
  <si>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100+8+10</t>
  </si>
  <si>
    <t xml:space="preserve">100+16+10</t>
  </si>
  <si>
    <t xml:space="preserve">20-85 (49.6 pm 16.4), subgroups: 20-85 (mean 51) + 26-79 (mean 46.9) + 30-58 (mean 40)</t>
  </si>
  <si>
    <t xml:space="preserve">55/45+6/2+9/1</t>
  </si>
  <si>
    <t xml:space="preserve">29.5 pm 5.5 + 29.4 pm 5.7 + 27.1 pm 1.8 (data not available for all channels)</t>
  </si>
  <si>
    <t xml:space="preserve">14.6 pm 14.5</t>
  </si>
  <si>
    <t xml:space="preserve">16.9 pm 9.1</t>
  </si>
  <si>
    <t xml:space="preserve">6.2 pm 20.8</t>
  </si>
  <si>
    <t xml:space="preserve">344</t>
  </si>
  <si>
    <t xml:space="preserve">15.1 + 18.0 + 16.7</t>
  </si>
  <si>
    <t xml:space="preserve">42.9 + 41.0 + 38.5</t>
  </si>
  <si>
    <t xml:space="preserve">24.5 + 22.7 + 28.3</t>
  </si>
  <si>
    <t xml:space="preserve">17.6 + 18.3 + 16.5</t>
  </si>
  <si>
    <t xml:space="preserve">clinical patients: subgroup 1: adults w/ evidence of sleep disorder (mostly apnea), subgroup 2: patients with detected apnea, subgroup 3: healthy</t>
  </si>
  <si>
    <t xml:space="preserve">khalighiISRUCSleepComprehensivePublic2016</t>
  </si>
  <si>
    <t xml:space="preserve">isrucWebsite</t>
  </si>
  <si>
    <t xml:space="preserve">MESA</t>
  </si>
  <si>
    <t xml:space="preserve">54-90 (69.6 pm 9.2)</t>
  </si>
  <si>
    <t xml:space="preserve">28.7 pm 5.6</t>
  </si>
  <si>
    <t xml:space="preserve">24.1 pm 19.6</t>
  </si>
  <si>
    <t xml:space="preserve">22.3 pm 12.2</t>
  </si>
  <si>
    <t xml:space="preserve">8.8 pm 19.7</t>
  </si>
  <si>
    <t xml:space="preserve">6.0 pm 4.1</t>
  </si>
  <si>
    <t xml:space="preserve">17.3 pm 3.8 (Modified Horne-Ostberg)</t>
  </si>
  <si>
    <t xml:space="preserve">7.4 pm 4.5</t>
  </si>
  <si>
    <t xml:space="preserve">477.1 pm 82.5</t>
  </si>
  <si>
    <t xml:space="preserve">359.8 pm 82.6</t>
  </si>
  <si>
    <t xml:space="preserve">75.7 pm 13.5</t>
  </si>
  <si>
    <t xml:space="preserve">45.5 pm 41.4</t>
  </si>
  <si>
    <t xml:space="preserve">94.5 pm 65.3</t>
  </si>
  <si>
    <t xml:space="preserve">14.4 pm 9.2</t>
  </si>
  <si>
    <t xml:space="preserve">57.6 pm 10.3</t>
  </si>
  <si>
    <t xml:space="preserve">10.0 pm 9.0</t>
  </si>
  <si>
    <t xml:space="preserve">18.0 pm 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</si>
  <si>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</si>
  <si>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</si>
  <si>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</si>
  <si>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</si>
  <si>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</si>
  <si>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</si>
  <si>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</si>
  <si>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 pm 24.8</t>
  </si>
  <si>
    <t xml:space="preserve">329.3 pm 58.0</t>
  </si>
  <si>
    <t xml:space="preserve">216.9 pm 67.7</t>
  </si>
  <si>
    <t xml:space="preserve">65.2 pm 14.1</t>
  </si>
  <si>
    <t xml:space="preserve">11.4 pm 14.9</t>
  </si>
  <si>
    <t xml:space="preserve">99.1 pm 39.2</t>
  </si>
  <si>
    <t xml:space="preserve">29.1 pm 24.0</t>
  </si>
  <si>
    <t xml:space="preserve">52.3 pm 25.5</t>
  </si>
  <si>
    <t xml:space="preserve">10.8 pm 10.0</t>
  </si>
  <si>
    <t xml:space="preserve">7.8 pm 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</si>
  <si>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</si>
  <si>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</si>
  <si>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</si>
  <si>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MNC</t>
  </si>
  <si>
    <t xml:space="preserve">(929/1438 recordings have scoring)</t>
  </si>
  <si>
    <t xml:space="preserve">https://doi.org/10.1038/s41467-018-07229-3</t>
  </si>
  <si>
    <t xml:space="preserve">MNC CNC</t>
  </si>
  <si>
    <t xml:space="preserve">28.5 pm 16.9</t>
  </si>
  <si>
    <t xml:space="preserve">http://dx.doi.org/10.5665/sleep.2080</t>
  </si>
  <si>
    <t xml:space="preserve">MNC DHC</t>
  </si>
  <si>
    <t xml:space="preserve">24.8 pm 4.9</t>
  </si>
  <si>
    <t xml:space="preserve">MNC FHC</t>
  </si>
  <si>
    <t xml:space="preserve">24.4 pm 8.1</t>
  </si>
  <si>
    <t xml:space="preserve">59% male</t>
  </si>
  <si>
    <t xml:space="preserve">MNC IS-RC</t>
  </si>
  <si>
    <t xml:space="preserve">32.9 pm 9.2</t>
  </si>
  <si>
    <t xml:space="preserve">0% male</t>
  </si>
  <si>
    <t xml:space="preserve">MNC KHC</t>
  </si>
  <si>
    <t xml:space="preserve">24.1 pm 4.3</t>
  </si>
  <si>
    <t xml:space="preserve">58.6% male</t>
  </si>
  <si>
    <t xml:space="preserve">MNC SSC</t>
  </si>
  <si>
    <t xml:space="preserve">23.9 pm 6.5</t>
  </si>
  <si>
    <t xml:space="preserve">MrOS</t>
  </si>
  <si>
    <t xml:space="preserve">67-90 (76.4 pm 5.5)</t>
  </si>
  <si>
    <t xml:space="preserve">27.2 pm 3.9</t>
  </si>
  <si>
    <t xml:space="preserve">21.1 pm 16.4</t>
  </si>
  <si>
    <t xml:space="preserve">23.3 pm 12.2</t>
  </si>
  <si>
    <t xml:space="preserve">4.0 pm 5.8</t>
  </si>
  <si>
    <t xml:space="preserve">6.2 pm 3.7</t>
  </si>
  <si>
    <t xml:space="preserve">18.7 pm 1.7</t>
  </si>
  <si>
    <t xml:space="preserve">4.9 pm 4.3</t>
  </si>
  <si>
    <t xml:space="preserve">5.6 pm 3.2</t>
  </si>
  <si>
    <t xml:space="preserve">355.5 pm 69.4</t>
  </si>
  <si>
    <t xml:space="preserve">76.0 pm 12.0</t>
  </si>
  <si>
    <t xml:space="preserve">115.5 pm 66.7</t>
  </si>
  <si>
    <t xml:space="preserve">7 pm 4</t>
  </si>
  <si>
    <t xml:space="preserve">63 pm 10</t>
  </si>
  <si>
    <t xml:space="preserve">11 pm 9</t>
  </si>
  <si>
    <t xml:space="preserve">19 pm 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</si>
  <si>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</si>
  <si>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</si>
  <si>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</si>
  <si>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</si>
  <si>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 pm 5.9)</t>
  </si>
  <si>
    <t xml:space="preserve">39.2 pm 6.2</t>
  </si>
  <si>
    <t xml:space="preserve">5.9 pm 10.6</t>
  </si>
  <si>
    <t xml:space="preserve">476.1 pm 40.4</t>
  </si>
  <si>
    <t xml:space="preserve">343.6 pm 74.7</t>
  </si>
  <si>
    <t xml:space="preserve">72.1 pm 15.5</t>
  </si>
  <si>
    <t xml:space="preserve">46.0 pm 48.1</t>
  </si>
  <si>
    <t xml:space="preserve">86.5 pm 56.6</t>
  </si>
  <si>
    <t xml:space="preserve">6.9 pm 4.6</t>
  </si>
  <si>
    <t xml:space="preserve">61.3 pm 11.2</t>
  </si>
  <si>
    <t xml:space="preserve">16.9 pm 9.5</t>
  </si>
  <si>
    <t xml:space="preserve">15.0 pm 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</si>
  <si>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</si>
  <si>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</si>
  <si>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</si>
  <si>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</si>
  <si>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</si>
  <si>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</si>
  <si>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</si>
  <si>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 pm 5.9)</t>
  </si>
  <si>
    <t xml:space="preserve">2068/1604</t>
  </si>
  <si>
    <t xml:space="preserve">22.7 pm 9.9</t>
  </si>
  <si>
    <t xml:space="preserve">tbe</t>
  </si>
  <si>
    <t xml:space="preserve">450 pm 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</si>
  <si>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</si>
  <si>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</si>
  <si>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</si>
  <si>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</si>
  <si>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 pm 14.4</t>
  </si>
  <si>
    <t xml:space="preserve">33 pm 7.6</t>
  </si>
  <si>
    <t xml:space="preserve">19 pm 14.4</t>
  </si>
  <si>
    <t xml:space="preserve">todo (+1: Designates arousal regions, 0: Designates non-arousal regions, -1 ignore)</t>
  </si>
  <si>
    <t xml:space="preserve">8.6 pm 5.3</t>
  </si>
  <si>
    <t xml:space="preserve">462.2 pm 39.6</t>
  </si>
  <si>
    <t xml:space="preserve">364. 0 pm 69.0</t>
  </si>
  <si>
    <t xml:space="preserve">78.7 pm 13.3</t>
  </si>
  <si>
    <t xml:space="preserve">21.7 pm 23.4</t>
  </si>
  <si>
    <t xml:space="preserve">65.3 pm 50.5</t>
  </si>
  <si>
    <t xml:space="preserve">19.8 pm 14.3</t>
  </si>
  <si>
    <t xml:space="preserve">51.0 pm 13.1</t>
  </si>
  <si>
    <t xml:space="preserve">13.9 pm 9.9</t>
  </si>
  <si>
    <t xml:space="preserve">15.3 pm 8.7</t>
  </si>
  <si>
    <t xml:space="preserve">ghassemiYouSnoozeYou2018</t>
  </si>
  <si>
    <t xml:space="preserve">ghassemiYouSnoozeYou</t>
  </si>
  <si>
    <t xml:space="preserve">5793 + 2651</t>
  </si>
  <si>
    <t xml:space="preserve">39-90 (63.1 pm 11.2)</t>
  </si>
  <si>
    <t xml:space="preserve">2765/3039 + 1861/2219 (visit 2: 231 sex not reported)</t>
  </si>
  <si>
    <t xml:space="preserve">28.2 pm 5.1</t>
  </si>
  <si>
    <t xml:space="preserve">15.4 pm 15.8</t>
  </si>
  <si>
    <t xml:space="preserve">19.0 pm 10.6</t>
  </si>
  <si>
    <t xml:space="preserve">7.6 pm 4.3</t>
  </si>
  <si>
    <t xml:space="preserve">47.9 pm 10.3</t>
  </si>
  <si>
    <t xml:space="preserve">53.8 pm 8.1</t>
  </si>
  <si>
    <t xml:space="preserve">11.5 pm 0.8</t>
  </si>
  <si>
    <t xml:space="preserve">6.0 pm 0.8</t>
  </si>
  <si>
    <t xml:space="preserve">451.6 pm 66.9</t>
  </si>
  <si>
    <t xml:space="preserve">365.7 pm 67.0</t>
  </si>
  <si>
    <t xml:space="preserve">81.3 pm 11.2</t>
  </si>
  <si>
    <t xml:space="preserve">16.7 pm 24.2 (may be poor defined)</t>
  </si>
  <si>
    <t xml:space="preserve">69.2 pm 49.7</t>
  </si>
  <si>
    <t xml:space="preserve">5.6 pm 3.9</t>
  </si>
  <si>
    <t xml:space="preserve">57.0 pm 11.5</t>
  </si>
  <si>
    <t xml:space="preserve">17.3 pm 11.6</t>
  </si>
  <si>
    <t xml:space="preserve">20.2 pm 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</si>
  <si>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</si>
  <si>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</si>
  <si>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</si>
  <si>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22-67 (44.2 pm 15.4)</t>
  </si>
  <si>
    <t xml:space="preserve">27.1 pm 5.9</t>
  </si>
  <si>
    <t xml:space="preserve">2.4 pm 1.4</t>
  </si>
  <si>
    <t xml:space="preserve">19.7 pm 22.7</t>
  </si>
  <si>
    <t xml:space="preserve">77.3 pm 12.5</t>
  </si>
  <si>
    <t xml:space="preserve">18.2 pm 6.1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</si>
  <si>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</si>
  <si>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</si>
  <si>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</si>
  <si>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</t>
  </si>
  <si>
    <t xml:space="preserve">1987-1991, 1994</t>
  </si>
  <si>
    <t xml:space="preserve">25-101 (59 pm 22)</t>
  </si>
  <si>
    <t xml:space="preserve">59/63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</si>
  <si>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</si>
  <si>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</si>
  <si>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</si>
  <si>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</si>
  <si>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ST</t>
  </si>
  <si>
    <t xml:space="preserve">SOF</t>
  </si>
  <si>
    <t xml:space="preserve">65-89 (82.8 pm 3.4)</t>
  </si>
  <si>
    <t xml:space="preserve">27.7 pm 4.6</t>
  </si>
  <si>
    <t xml:space="preserve">16.3 pm 13.9</t>
  </si>
  <si>
    <t xml:space="preserve">20.7 pm 12.0</t>
  </si>
  <si>
    <t xml:space="preserve">28.5 pm 31.9</t>
  </si>
  <si>
    <t xml:space="preserve">469.3 pm 80.3</t>
  </si>
  <si>
    <t xml:space="preserve">347.4 pm 77.0</t>
  </si>
  <si>
    <t xml:space="preserve">74.3 pm 13.2</t>
  </si>
  <si>
    <t xml:space="preserve">102.9 pm 72.3</t>
  </si>
  <si>
    <t xml:space="preserve">5.3 pm 3.8</t>
  </si>
  <si>
    <t xml:space="preserve">56.0 pm 13.1</t>
  </si>
  <si>
    <t xml:space="preserve">20.6 pm 12.6</t>
  </si>
  <si>
    <t xml:space="preserve">18.2 pm 7.4</t>
  </si>
  <si>
    <t xml:space="preserve">https://doi.org/10.1111/j.1532-5415.2007.01506.x</t>
  </si>
  <si>
    <t xml:space="preserve">2018-2019</t>
  </si>
  <si>
    <t xml:space="preserve">13-84 (45.9 pm 15.2)</t>
  </si>
  <si>
    <t xml:space="preserve">824/944 (gender info not available for all)</t>
  </si>
  <si>
    <t xml:space="preserve">31.3 pm 8.9</t>
  </si>
  <si>
    <t xml:space="preserve">8.6 pm 5.4</t>
  </si>
  <si>
    <t xml:space="preserve">7.1 pm 5.8</t>
  </si>
  <si>
    <t xml:space="preserve">34.4 pm 15.9</t>
  </si>
  <si>
    <t xml:space="preserve">14.5 pm 4.0 (Horne-Ostberg)</t>
  </si>
  <si>
    <t xml:space="preserve">5.2 pm 5.4</t>
  </si>
  <si>
    <t xml:space="preserve">14.5 pm 7.9</t>
  </si>
  <si>
    <t xml:space="preserve">13.4 pm 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</si>
  <si>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</si>
  <si>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</si>
  <si>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</si>
  <si>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 pm 9.6)</t>
  </si>
  <si>
    <t xml:space="preserve">31.6 pm 4.0</t>
  </si>
  <si>
    <t xml:space="preserve">24.2 pm 20.3</t>
  </si>
  <si>
    <t xml:space="preserve">11.2 pm 6.2</t>
  </si>
  <si>
    <t xml:space="preserve">408.9 pm 31.4</t>
  </si>
  <si>
    <t xml:space="preserve">321.3 pm 56.5</t>
  </si>
  <si>
    <t xml:space="preserve">78.3 pm 10.9</t>
  </si>
  <si>
    <t xml:space="preserve">27.2 pm 22.3</t>
  </si>
  <si>
    <t xml:space="preserve">60.1 pm 37.4</t>
  </si>
  <si>
    <t xml:space="preserve">22.0 pm 14.5</t>
  </si>
  <si>
    <t xml:space="preserve">43.4 pm 13.1</t>
  </si>
  <si>
    <t xml:space="preserve">16.6 pm 8.4</t>
  </si>
  <si>
    <t xml:space="preserve">18.1 pm 8.2</t>
  </si>
  <si>
    <t xml:space="preserve">suspected sleep-disordered breathing</t>
  </si>
  <si>
    <t xml:space="preserve">mcnicholasStVincentsUniversity2004</t>
  </si>
  <si>
    <t xml:space="preserve">UCSD</t>
  </si>
  <si>
    <t xml:space="preserve">AASM? Ich vermute R&amp;K</t>
  </si>
  <si>
    <t xml:space="preserve">mailed survey</t>
  </si>
  <si>
    <t xml:space="preserve">29-72 (48.3 pm 8.6)</t>
  </si>
  <si>
    <t xml:space="preserve">1730/1457</t>
  </si>
  <si>
    <t xml:space="preserve">visit 1</t>
  </si>
  <si>
    <t xml:space="preserve">2000-2002</t>
  </si>
  <si>
    <t xml:space="preserve">37-82 (56.4 pm 8.1)</t>
  </si>
  <si>
    <t xml:space="preserve">31.7 pm 7.1</t>
  </si>
  <si>
    <t xml:space="preserve">19.6 pm 18.9</t>
  </si>
  <si>
    <t xml:space="preserve">8.9 pm 4.3</t>
  </si>
  <si>
    <r>
      <rPr>
        <sz val="11"/>
        <color theme="1"/>
        <rFont val="Aptos Narrow"/>
        <family val="2"/>
        <charset val="1"/>
      </rPr>
      <t xml:space="preserve">61.6 pm 9.8</t>
    </r>
    <r>
      <rPr>
        <sz val="11"/>
        <color theme="1"/>
        <rFont val="Aptos Narrow"/>
        <family val="2"/>
      </rPr>
      <t xml:space="preserve"> (Modified Horne-Ostberg)</t>
    </r>
  </si>
  <si>
    <t xml:space="preserve">40.3 pm 8.4</t>
  </si>
  <si>
    <t xml:space="preserve">370.4 pm 59.2</t>
  </si>
  <si>
    <t xml:space="preserve">80.3 pm 10.2</t>
  </si>
  <si>
    <t xml:space="preserve">14.2 pm 15.7</t>
  </si>
  <si>
    <t xml:space="preserve">70.5 pm 41.5</t>
  </si>
  <si>
    <t xml:space="preserve">10.0 pm 6.3</t>
  </si>
  <si>
    <t xml:space="preserve">68.9 pm 8.5</t>
  </si>
  <si>
    <t xml:space="preserve">4.6 pm 6.1</t>
  </si>
  <si>
    <t xml:space="preserve">16.5 pm 6.0</t>
  </si>
  <si>
    <t xml:space="preserve">visit 2</t>
  </si>
  <si>
    <t xml:space="preserve">2001-2015</t>
  </si>
  <si>
    <t xml:space="preserve">40-81 (60.1 pm 7.5)</t>
  </si>
  <si>
    <t xml:space="preserve">406/352</t>
  </si>
  <si>
    <t xml:space="preserve">31.8 pm 7.3</t>
  </si>
  <si>
    <t xml:space="preserve">20.9 pm 18.6</t>
  </si>
  <si>
    <r>
      <rPr>
        <sz val="11"/>
        <color theme="1"/>
        <rFont val="Aptos Narrow"/>
        <family val="2"/>
        <charset val="1"/>
      </rPr>
      <t xml:space="preserve">62.4 pm 9.5</t>
    </r>
    <r>
      <rPr>
        <sz val="11"/>
        <color theme="1"/>
        <rFont val="Aptos Narrow"/>
        <family val="2"/>
      </rPr>
      <t xml:space="preserve"> (Modified Horne-Ostberg)</t>
    </r>
  </si>
  <si>
    <t xml:space="preserve">39.4 pm 8.1</t>
  </si>
  <si>
    <t xml:space="preserve">360.5 pm 58.7</t>
  </si>
  <si>
    <t xml:space="preserve">80.2 pm 10.7</t>
  </si>
  <si>
    <t xml:space="preserve">12.2 pm 15.0</t>
  </si>
  <si>
    <t xml:space="preserve">70.7 pm 42.6</t>
  </si>
  <si>
    <t xml:space="preserve">10.3 pm 5.8</t>
  </si>
  <si>
    <t xml:space="preserve">63.1 pm 9.3</t>
  </si>
  <si>
    <t xml:space="preserve">10.3 pm 8.4</t>
  </si>
  <si>
    <t xml:space="preserve">16.3 pm 6.2</t>
  </si>
  <si>
    <t xml:space="preserve">visit 3</t>
  </si>
  <si>
    <t xml:space="preserve">2004-2015</t>
  </si>
  <si>
    <t xml:space="preserve">44-81 (64.3 pm 7.1)</t>
  </si>
  <si>
    <t xml:space="preserve">304/262</t>
  </si>
  <si>
    <t xml:space="preserve">31.7 pm 7.4</t>
  </si>
  <si>
    <t xml:space="preserve">19.8 pm 18.4</t>
  </si>
  <si>
    <t xml:space="preserve">8.1 pm 4.0</t>
  </si>
  <si>
    <r>
      <rPr>
        <sz val="11"/>
        <color theme="1"/>
        <rFont val="Aptos Narrow"/>
        <family val="2"/>
        <charset val="1"/>
      </rPr>
      <t xml:space="preserve">63.0 pm 9.6</t>
    </r>
    <r>
      <rPr>
        <sz val="11"/>
        <color theme="1"/>
        <rFont val="Aptos Narrow"/>
        <family val="2"/>
      </rPr>
      <t xml:space="preserve"> (Modified Horne-Ostberg)</t>
    </r>
  </si>
  <si>
    <t xml:space="preserve">39.1 pm 7.8</t>
  </si>
  <si>
    <t xml:space="preserve">366.7 pm 57.4</t>
  </si>
  <si>
    <t xml:space="preserve">79.2 pm 10.4</t>
  </si>
  <si>
    <t xml:space="preserve">15.4 pm 17.3</t>
  </si>
  <si>
    <t xml:space="preserve">79.9 pm 44.5</t>
  </si>
  <si>
    <t xml:space="preserve">11.5 pm 6.5</t>
  </si>
  <si>
    <t xml:space="preserve">64.0 pm 8.8</t>
  </si>
  <si>
    <t xml:space="preserve">9.2 pm 8.1</t>
  </si>
  <si>
    <t xml:space="preserve">15.3 pm 6.1</t>
  </si>
  <si>
    <t xml:space="preserve">visit 4</t>
  </si>
  <si>
    <t xml:space="preserve">2011-2015</t>
  </si>
  <si>
    <t xml:space="preserve">49-85 (68.4 pm 7.1)</t>
  </si>
  <si>
    <t xml:space="preserve">67/54</t>
  </si>
  <si>
    <t xml:space="preserve">30.6 pm 6.6</t>
  </si>
  <si>
    <t xml:space="preserve">19.6 pm 17.2</t>
  </si>
  <si>
    <t xml:space="preserve">7.1 pm 37</t>
  </si>
  <si>
    <r>
      <rPr>
        <sz val="11"/>
        <color theme="1"/>
        <rFont val="Aptos Narrow"/>
        <family val="2"/>
        <charset val="1"/>
      </rPr>
      <t xml:space="preserve">63.9 pm 8.4</t>
    </r>
    <r>
      <rPr>
        <sz val="11"/>
        <color theme="1"/>
        <rFont val="Aptos Narrow"/>
        <family val="2"/>
      </rPr>
      <t xml:space="preserve"> (Modified Horne-Ostberg)</t>
    </r>
  </si>
  <si>
    <t xml:space="preserve">39.6 pm 8.1</t>
  </si>
  <si>
    <t xml:space="preserve">382.9 pm 63.2</t>
  </si>
  <si>
    <t xml:space="preserve">79.8 pm 10.4</t>
  </si>
  <si>
    <t xml:space="preserve">17.5 pm 19.8</t>
  </si>
  <si>
    <t xml:space="preserve">79.2 pm 44.9</t>
  </si>
  <si>
    <t xml:space="preserve">11.9 pm 7.4</t>
  </si>
  <si>
    <t xml:space="preserve">63.8 pm 8.8</t>
  </si>
  <si>
    <t xml:space="preserve">9.3 pm 9.0</t>
  </si>
  <si>
    <t xml:space="preserve">15.0 pm 5.8</t>
  </si>
  <si>
    <t xml:space="preserve">visit 5</t>
  </si>
  <si>
    <t xml:space="preserve">75-76 (75.5 pm 0.7)</t>
  </si>
  <si>
    <t xml:space="preserve">0/2</t>
  </si>
  <si>
    <t xml:space="preserve">31.3 pm 5.7</t>
  </si>
  <si>
    <t xml:space="preserve">15.5 pm 3.2</t>
  </si>
  <si>
    <t xml:space="preserve">8.5 pm 4.9</t>
  </si>
  <si>
    <r>
      <rPr>
        <sz val="11"/>
        <color theme="1"/>
        <rFont val="Aptos Narrow"/>
        <family val="2"/>
        <charset val="1"/>
      </rPr>
      <t xml:space="preserve">65.0 pm 8.5</t>
    </r>
    <r>
      <rPr>
        <sz val="11"/>
        <color theme="1"/>
        <rFont val="Aptos Narrow"/>
        <family val="2"/>
      </rPr>
      <t xml:space="preserve"> (Modified Horne-Ostberg)</t>
    </r>
  </si>
  <si>
    <t xml:space="preserve">38.1 pm 11.5</t>
  </si>
  <si>
    <t xml:space="preserve">422.3 pm 8.8</t>
  </si>
  <si>
    <t xml:space="preserve">79.3 pm 8.9</t>
  </si>
  <si>
    <t xml:space="preserve">15.3 pm 2.5</t>
  </si>
  <si>
    <t xml:space="preserve">98.9 pm 65.0</t>
  </si>
  <si>
    <t xml:space="preserve">6.1 pm 2.8</t>
  </si>
  <si>
    <t xml:space="preserve">67.6 pm 1.9</t>
  </si>
  <si>
    <t xml:space="preserve">10.6 pm 14.7</t>
  </si>
  <si>
    <t xml:space="preserve">15.8 pm 9.9</t>
  </si>
  <si>
    <t xml:space="preserve">If a dataset has multiple visits or intervention, listed parameters are wrt to the baseline</t>
  </si>
  <si>
    <t xml:space="preserve">Sleep parameters are listed as defined in mendoncaReviewApproachesSleep2019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</si>
  <si>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</si>
  <si>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</si>
  <si>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</si>
  <si>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</si>
  <si>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</si>
  <si>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</si>
  <si>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</si>
  <si>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</si>
  <si>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</si>
  <si>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</si>
  <si>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</si>
  <si>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</si>
  <si>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</si>
  <si>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</si>
  <si>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</si>
  <si>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</si>
  <si>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</si>
  <si>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</si>
  <si>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</si>
  <si>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</si>
  <si>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</si>
  <si>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</si>
  <si>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</si>
  <si>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</si>
  <si>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</si>
  <si>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</si>
  <si>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</si>
  <si>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</si>
  <si>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</si>
  <si>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</si>
  <si>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</si>
  <si>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</si>
  <si>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</si>
  <si>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</si>
  <si>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(2)</t>
  </si>
  <si>
    <t xml:space="preserve">12</t>
  </si>
  <si>
    <t xml:space="preserve">8</t>
  </si>
  <si>
    <t xml:space="preserve">20</t>
  </si>
  <si>
    <t xml:space="preserve">12 (18)</t>
  </si>
  <si>
    <t xml:space="preserve">1 (2)</t>
  </si>
  <si>
    <t xml:space="preserve">5  (11)</t>
  </si>
  <si>
    <t xml:space="preserve">FDCSR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</si>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</sst>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C0C0C0"/>
      </patternFill>
    </fill>
    <fill>
      <patternFill patternType="solid">
        <fgColor theme="9" tint="0.7999"/>
        <bgColor rgb="FFCAEEFB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CCFF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7CE"/>
      <rgbColor rgb="FF3366FF"/>
      <rgbColor rgb="FF33CCCC"/>
      <rgbColor rgb="FF8ED973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connections" Target="connections.xml"/><Relationship Id="rId17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0" width="38.37"/>
    <col collapsed="false" customWidth="true" hidden="false" outlineLevel="0" max="2" min="2" style="0" width="37.09"/>
    <col collapsed="false" customWidth="true" hidden="false" outlineLevel="0" max="3" min="3" style="1" width="14.45"/>
    <col collapsed="false" customWidth="true" hidden="false" outlineLevel="0" max="4" min="4" style="0" width="19.09"/>
    <col collapsed="false" customWidth="true" hidden="false" outlineLevel="0" max="5" min="5" style="0" width="13.09"/>
    <col collapsed="false" customWidth="true" hidden="false" outlineLevel="0" max="6" min="6" style="0" width="17.09"/>
    <col collapsed="false" customWidth="true" hidden="false" outlineLevel="0" max="7" min="7" style="0" width="12.54"/>
    <col collapsed="false" customWidth="true" hidden="false" outlineLevel="0" max="8" min="8" style="0" width="10.45"/>
    <col collapsed="false" customWidth="true" hidden="false" outlineLevel="0" max="9" min="9" style="0" width="12.54"/>
    <col collapsed="false" customWidth="true" hidden="false" outlineLevel="0" max="10" min="10" style="0" width="10.45"/>
    <col collapsed="false" customWidth="true" hidden="false" outlineLevel="0" max="11" min="11" style="0" width="15"/>
    <col collapsed="false" customWidth="true" hidden="false" outlineLevel="0" max="12" min="12" style="0" width="18.45"/>
    <col collapsed="false" customWidth="true" hidden="false" outlineLevel="0" max="13" min="13" style="0" width="14.82"/>
    <col collapsed="false" customWidth="true" hidden="false" outlineLevel="0" max="14" min="14" style="0" width="14.37"/>
    <col collapsed="false" customWidth="true" hidden="false" outlineLevel="0" max="15" min="15" style="0" width="14"/>
    <col collapsed="false" customWidth="true" hidden="false" outlineLevel="0" max="16" min="16" style="0" width="9.36"/>
    <col collapsed="false" customWidth="true" hidden="false" outlineLevel="0" max="18" min="17" style="0" width="9.45"/>
    <col collapsed="false" customWidth="true" hidden="false" outlineLevel="0" max="19" min="19" style="0" width="11.64"/>
    <col collapsed="false" customWidth="true" hidden="false" outlineLevel="0" max="21" min="20" style="0" width="9.45"/>
    <col collapsed="false" customWidth="true" hidden="false" outlineLevel="0" max="22" min="22" style="0" width="8"/>
    <col collapsed="false" customWidth="true" hidden="false" outlineLevel="0" max="23" min="23" style="0" width="8.45"/>
    <col collapsed="false" customWidth="true" hidden="false" outlineLevel="0" max="24" min="24" style="0" width="8.63"/>
    <col collapsed="false" customWidth="true" hidden="false" outlineLevel="0" max="25" min="25" style="0" width="12"/>
    <col collapsed="false" customWidth="true" hidden="false" outlineLevel="0" max="26" min="26" style="0" width="7.45"/>
    <col collapsed="false" customWidth="true" hidden="false" outlineLevel="0" max="27" min="27" style="0" width="10.82"/>
    <col collapsed="false" customWidth="true" hidden="false" outlineLevel="0" max="28" min="28" style="0" width="8"/>
    <col collapsed="false" customWidth="true" hidden="false" outlineLevel="0" max="29" min="29" style="0" width="7.91"/>
    <col collapsed="false" customWidth="true" hidden="false" outlineLevel="0" max="30" min="30" style="0" width="8.82"/>
    <col collapsed="false" customWidth="true" hidden="false" outlineLevel="0" max="31" min="31" style="0" width="12"/>
    <col collapsed="false" customWidth="true" hidden="false" outlineLevel="0" max="32" min="32" style="0" width="9.09"/>
    <col collapsed="false" customWidth="true" hidden="false" outlineLevel="0" max="33" min="33" style="0" width="12"/>
    <col collapsed="false" customWidth="true" hidden="false" outlineLevel="0" max="34" min="34" style="0" width="13.63"/>
    <col collapsed="false" customWidth="true" hidden="false" outlineLevel="0" max="35" min="35" style="0" width="14.37"/>
    <col collapsed="false" customWidth="true" hidden="false" outlineLevel="0" max="36" min="36" style="0" width="4.63"/>
    <col collapsed="false" customWidth="true" hidden="false" outlineLevel="0" max="37" min="37" style="0" width="9.82"/>
    <col collapsed="false" customWidth="true" hidden="false" outlineLevel="0" max="38" min="38" style="0" width="12.82"/>
    <col collapsed="false" customWidth="true" hidden="false" outlineLevel="0" max="40" min="39" style="0" width="6.09"/>
    <col collapsed="false" customWidth="true" hidden="false" outlineLevel="0" max="43" min="41" style="0" width="5.36"/>
    <col collapsed="false" customWidth="true" hidden="false" outlineLevel="0" max="44" min="44" style="0" width="4.36"/>
    <col collapsed="false" customWidth="true" hidden="false" outlineLevel="0" max="45" min="45" style="0" width="8.82"/>
    <col collapsed="false" customWidth="true" hidden="false" outlineLevel="0" max="47" min="46" style="0" width="6.45"/>
    <col collapsed="false" customWidth="true" hidden="false" outlineLevel="0" max="48" min="48" style="0" width="8.36"/>
    <col collapsed="false" customWidth="true" hidden="false" outlineLevel="0" max="49" min="49" style="0" width="6.09"/>
    <col collapsed="false" customWidth="true" hidden="false" outlineLevel="0" max="50" min="50" style="0" width="8"/>
    <col collapsed="false" customWidth="true" hidden="false" outlineLevel="0" max="51" min="51" style="0" width="7.82"/>
    <col collapsed="false" customWidth="true" hidden="false" outlineLevel="0" max="52" min="52" style="0" width="4.36"/>
    <col collapsed="false" customWidth="true" hidden="false" outlineLevel="0" max="55" min="53" style="0" width="4.63"/>
    <col collapsed="false" customWidth="true" hidden="false" outlineLevel="0" max="56" min="56" style="0" width="5.63"/>
    <col collapsed="false" customWidth="true" hidden="false" outlineLevel="0" max="57" min="57" style="0" width="8.36"/>
    <col collapsed="false" customWidth="true" hidden="false" outlineLevel="0" max="58" min="58" style="0" width="6.45"/>
  </cols>
  <sheetData>
    <row r="1" customFormat="false" ht="14.25" hidden="false" customHeight="false" outlineLevel="0" collapsed="false">
      <c r="A1" s="2"/>
      <c r="B1" s="3"/>
    </row>
    <row r="2" customFormat="false" ht="14.25" hidden="false" customHeight="false" outlineLevel="0" collapsed="false">
      <c r="A2" s="4"/>
      <c r="B2" s="5"/>
      <c r="C2" s="6"/>
      <c r="D2" s="7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customFormat="false" ht="14.25" hidden="false" customHeight="false" outlineLevel="0" collapsed="false">
      <c r="A3" s="9" t="s">
        <v>0</v>
      </c>
      <c r="B3" s="10" t="s">
        <v>1</v>
      </c>
      <c r="C3" s="11" t="s">
        <v>2</v>
      </c>
    </row>
    <row r="4" customFormat="false" ht="14.25" hidden="false" customHeight="false" outlineLevel="0" collapsed="false">
      <c r="A4" s="9"/>
      <c r="B4" s="10" t="s">
        <v>3</v>
      </c>
      <c r="C4" s="12" t="s">
        <v>4</v>
      </c>
    </row>
    <row r="5" customFormat="false" ht="16.4" hidden="false" customHeight="false" outlineLevel="0" collapsed="false">
      <c r="A5" s="9"/>
      <c r="B5" s="10" t="s">
        <v>5</v>
      </c>
      <c r="C5" s="13" t="s">
        <v>6</v>
      </c>
    </row>
    <row r="6" customFormat="false" ht="14.25" hidden="false" customHeight="false" outlineLevel="0" collapsed="false">
      <c r="A6" s="9" t="s">
        <v>7</v>
      </c>
      <c r="B6" s="10" t="s">
        <v>8</v>
      </c>
      <c r="C6" s="1" t="s">
        <v>9</v>
      </c>
      <c r="D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</row>
    <row r="7" customFormat="false" ht="14.25" hidden="false" customHeight="false" outlineLevel="0" collapsed="false">
      <c r="A7" s="9"/>
      <c r="B7" s="10" t="s">
        <v>10</v>
      </c>
      <c r="C7" s="1" t="s">
        <v>11</v>
      </c>
      <c r="D7" s="0" t="s">
        <v>12</v>
      </c>
    </row>
    <row r="8" customFormat="false" ht="14.25" hidden="false" customHeight="false" outlineLevel="0" collapsed="false">
      <c r="A8" s="9" t="s">
        <v>13</v>
      </c>
      <c r="B8" s="10" t="s">
        <v>14</v>
      </c>
      <c r="C8" s="1" t="n">
        <v>49</v>
      </c>
    </row>
    <row r="9" customFormat="false" ht="14.25" hidden="false" customHeight="false" outlineLevel="0" collapsed="false">
      <c r="A9" s="9"/>
      <c r="B9" s="10" t="s">
        <v>15</v>
      </c>
      <c r="C9" s="1" t="s">
        <v>16</v>
      </c>
    </row>
    <row r="10" customFormat="false" ht="14.25" hidden="false" customHeight="false" outlineLevel="0" collapsed="false">
      <c r="A10" s="9"/>
      <c r="B10" s="10" t="s">
        <v>17</v>
      </c>
      <c r="C10" s="1" t="s">
        <v>18</v>
      </c>
    </row>
    <row r="11" customFormat="false" ht="14.25" hidden="false" customHeight="false" outlineLevel="0" collapsed="false">
      <c r="A11" s="9"/>
      <c r="B11" s="10" t="s">
        <v>19</v>
      </c>
      <c r="C11" s="1" t="s">
        <v>20</v>
      </c>
      <c r="D11" s="0" t="s">
        <v>21</v>
      </c>
    </row>
    <row r="12" customFormat="false" ht="14.25" hidden="false" customHeight="false" outlineLevel="0" collapsed="false">
      <c r="A12" s="9" t="s">
        <v>22</v>
      </c>
      <c r="B12" s="10" t="s">
        <v>23</v>
      </c>
      <c r="C12" s="1" t="s">
        <v>24</v>
      </c>
    </row>
    <row r="13" customFormat="false" ht="14.25" hidden="false" customHeight="false" outlineLevel="0" collapsed="false">
      <c r="A13" s="9"/>
      <c r="B13" s="10" t="s">
        <v>25</v>
      </c>
      <c r="C13" s="1" t="s">
        <v>26</v>
      </c>
    </row>
    <row r="14" customFormat="false" ht="14.25" hidden="false" customHeight="false" outlineLevel="0" collapsed="false">
      <c r="A14" s="9"/>
      <c r="B14" s="10" t="s">
        <v>27</v>
      </c>
      <c r="C14" s="1" t="s">
        <v>28</v>
      </c>
      <c r="D14" s="0" t="s">
        <v>29</v>
      </c>
      <c r="E14" s="0" t="s">
        <v>30</v>
      </c>
      <c r="F14" s="0" t="s">
        <v>31</v>
      </c>
      <c r="G14" s="0" t="s">
        <v>32</v>
      </c>
      <c r="H14" s="0" t="s">
        <v>33</v>
      </c>
      <c r="I14" s="0" t="s">
        <v>34</v>
      </c>
      <c r="J14" s="0" t="s">
        <v>35</v>
      </c>
      <c r="K14" s="0" t="s">
        <v>36</v>
      </c>
      <c r="L14" s="1" t="s">
        <v>37</v>
      </c>
      <c r="M14" s="0" t="s">
        <v>38</v>
      </c>
      <c r="N14" s="0" t="s">
        <v>39</v>
      </c>
      <c r="O14" s="0" t="s">
        <v>40</v>
      </c>
      <c r="P14" s="0" t="s">
        <v>41</v>
      </c>
      <c r="Q14" s="0" t="s">
        <v>42</v>
      </c>
      <c r="R14" s="0" t="s">
        <v>43</v>
      </c>
      <c r="S14" s="0" t="s">
        <v>44</v>
      </c>
      <c r="T14" s="0" t="s">
        <v>45</v>
      </c>
      <c r="U14" s="0" t="s">
        <v>46</v>
      </c>
      <c r="V14" s="0" t="s">
        <v>47</v>
      </c>
      <c r="W14" s="0" t="s">
        <v>48</v>
      </c>
      <c r="X14" s="0" t="s">
        <v>49</v>
      </c>
      <c r="Y14" s="0" t="s">
        <v>50</v>
      </c>
      <c r="Z14" s="0" t="s">
        <v>51</v>
      </c>
      <c r="AA14" s="0" t="s">
        <v>52</v>
      </c>
      <c r="AB14" s="0" t="s">
        <v>53</v>
      </c>
      <c r="AC14" s="0" t="s">
        <v>54</v>
      </c>
      <c r="AD14" s="0" t="s">
        <v>55</v>
      </c>
      <c r="AE14" s="0" t="s">
        <v>56</v>
      </c>
      <c r="AF14" s="0" t="s">
        <v>57</v>
      </c>
      <c r="AG14" s="0" t="s">
        <v>58</v>
      </c>
      <c r="AH14" s="0" t="s">
        <v>59</v>
      </c>
      <c r="AI14" s="0" t="s">
        <v>60</v>
      </c>
      <c r="AJ14" s="0" t="s">
        <v>61</v>
      </c>
      <c r="AK14" s="0" t="s">
        <v>62</v>
      </c>
      <c r="AL14" s="0" t="s">
        <v>63</v>
      </c>
    </row>
    <row r="15" customFormat="false" ht="14.25" hidden="false" customHeight="false" outlineLevel="0" collapsed="false">
      <c r="A15" s="9"/>
      <c r="B15" s="10" t="s">
        <v>64</v>
      </c>
      <c r="C15" s="1" t="n">
        <v>32</v>
      </c>
      <c r="D15" s="0" t="n">
        <v>32</v>
      </c>
      <c r="E15" s="0" t="n">
        <v>32</v>
      </c>
      <c r="F15" s="0" t="n">
        <v>16</v>
      </c>
      <c r="G15" s="15" t="n">
        <v>64512</v>
      </c>
      <c r="H15" s="0" t="n">
        <v>256</v>
      </c>
      <c r="I15" s="0" t="n">
        <v>256</v>
      </c>
      <c r="J15" s="0" t="n">
        <v>256</v>
      </c>
      <c r="K15" s="0" t="n">
        <v>256</v>
      </c>
      <c r="L15" s="1" t="n">
        <v>256</v>
      </c>
      <c r="M15" s="0" t="n">
        <v>256</v>
      </c>
      <c r="N15" s="0" t="n">
        <v>256</v>
      </c>
      <c r="O15" s="0" t="n">
        <v>256</v>
      </c>
      <c r="P15" s="0" t="n">
        <v>256</v>
      </c>
      <c r="Q15" s="0" t="n">
        <v>256</v>
      </c>
      <c r="R15" s="0" t="n">
        <v>256</v>
      </c>
      <c r="S15" s="0" t="n">
        <v>256</v>
      </c>
      <c r="T15" s="0" t="n">
        <v>256</v>
      </c>
      <c r="U15" s="0" t="n">
        <v>256</v>
      </c>
      <c r="V15" s="0" t="n">
        <v>256</v>
      </c>
      <c r="W15" s="0" t="n">
        <v>256</v>
      </c>
      <c r="X15" s="0" t="n">
        <v>256</v>
      </c>
      <c r="Y15" s="0" t="n">
        <v>256</v>
      </c>
      <c r="Z15" s="0" t="n">
        <v>256</v>
      </c>
      <c r="AA15" s="0" t="n">
        <v>64</v>
      </c>
      <c r="AB15" s="0" t="n">
        <v>64</v>
      </c>
      <c r="AC15" s="0" t="n">
        <v>32</v>
      </c>
      <c r="AD15" s="0" t="n">
        <v>16</v>
      </c>
      <c r="AE15" s="0" t="n">
        <v>256</v>
      </c>
      <c r="AF15" s="0" t="n">
        <v>16</v>
      </c>
      <c r="AG15" s="0" t="n">
        <v>16</v>
      </c>
      <c r="AH15" s="0" t="n">
        <v>512</v>
      </c>
      <c r="AI15" s="0" t="n">
        <v>256</v>
      </c>
      <c r="AJ15" s="0" t="n">
        <v>16</v>
      </c>
      <c r="AK15" s="0" t="n">
        <v>32</v>
      </c>
      <c r="AL15" s="0" t="n">
        <v>32</v>
      </c>
    </row>
    <row r="16" customFormat="false" ht="14.25" hidden="false" customHeight="false" outlineLevel="0" collapsed="false">
      <c r="A16" s="9" t="s">
        <v>65</v>
      </c>
      <c r="B16" s="10" t="s">
        <v>66</v>
      </c>
      <c r="C16" s="1" t="s">
        <v>67</v>
      </c>
    </row>
    <row r="17" customFormat="false" ht="14.25" hidden="false" customHeight="false" outlineLevel="0" collapsed="false">
      <c r="A17" s="9"/>
      <c r="B17" s="10" t="s">
        <v>68</v>
      </c>
      <c r="C17" s="1" t="s">
        <v>69</v>
      </c>
      <c r="D17" s="0" t="s">
        <v>70</v>
      </c>
    </row>
    <row r="18" customFormat="false" ht="14.25" hidden="false" customHeight="false" outlineLevel="0" collapsed="false">
      <c r="A18" s="9" t="s">
        <v>71</v>
      </c>
      <c r="B18" s="3"/>
      <c r="C18" s="1" t="s">
        <v>72</v>
      </c>
      <c r="D18" s="0" t="s">
        <v>73</v>
      </c>
    </row>
    <row r="19" customFormat="false" ht="14.25" hidden="false" customHeight="false" outlineLevel="0" collapsed="false">
      <c r="A19" s="9" t="s">
        <v>74</v>
      </c>
      <c r="B19" s="10" t="s">
        <v>75</v>
      </c>
    </row>
    <row r="20" customFormat="false" ht="14.25" hidden="false" customHeight="false" outlineLevel="0" collapsed="false">
      <c r="A20" s="9"/>
      <c r="B20" s="10" t="s">
        <v>76</v>
      </c>
    </row>
    <row r="21" customFormat="false" ht="16.4" hidden="false" customHeight="false" outlineLevel="0" collapsed="false">
      <c r="A21" s="9"/>
      <c r="B21" s="10" t="s">
        <v>77</v>
      </c>
      <c r="C21" s="13" t="s">
        <v>78</v>
      </c>
    </row>
    <row r="22" customFormat="false" ht="16.4" hidden="false" customHeight="false" outlineLevel="0" collapsed="false">
      <c r="A22" s="16" t="s">
        <v>79</v>
      </c>
      <c r="B22" s="3"/>
      <c r="C22" s="13" t="s">
        <v>80</v>
      </c>
      <c r="D22" s="14"/>
    </row>
    <row r="23" customFormat="false" ht="14.25" hidden="false" customHeight="false" outlineLevel="0" collapsed="false">
      <c r="A23" s="2"/>
      <c r="B23" s="3"/>
      <c r="D23" s="14"/>
    </row>
    <row r="24" customFormat="false" ht="14.25" hidden="false" customHeight="false" outlineLevel="0" collapsed="false">
      <c r="A24" s="4"/>
      <c r="B24" s="5"/>
      <c r="C24" s="17"/>
      <c r="D24" s="18"/>
    </row>
    <row r="25" customFormat="false" ht="14.25" hidden="false" customHeight="false" outlineLevel="0" collapsed="false">
      <c r="A25" s="9" t="s">
        <v>0</v>
      </c>
      <c r="B25" s="10" t="s">
        <v>1</v>
      </c>
      <c r="C25" s="19" t="s">
        <v>81</v>
      </c>
      <c r="D25" s="14"/>
    </row>
    <row r="26" customFormat="false" ht="14.25" hidden="false" customHeight="false" outlineLevel="0" collapsed="false">
      <c r="A26" s="9"/>
      <c r="B26" s="10" t="s">
        <v>3</v>
      </c>
      <c r="C26" s="1" t="n">
        <v>2024</v>
      </c>
      <c r="D26" s="14"/>
    </row>
    <row r="27" customFormat="false" ht="16.4" hidden="false" customHeight="false" outlineLevel="0" collapsed="false">
      <c r="A27" s="9"/>
      <c r="B27" s="10" t="s">
        <v>5</v>
      </c>
      <c r="C27" s="20" t="s">
        <v>82</v>
      </c>
      <c r="D27" s="14"/>
    </row>
    <row r="28" customFormat="false" ht="14.25" hidden="false" customHeight="false" outlineLevel="0" collapsed="false">
      <c r="A28" s="9" t="s">
        <v>7</v>
      </c>
      <c r="B28" s="10" t="s">
        <v>8</v>
      </c>
      <c r="C28" s="1" t="s">
        <v>83</v>
      </c>
      <c r="D28" s="14"/>
    </row>
    <row r="29" customFormat="false" ht="14.25" hidden="false" customHeight="false" outlineLevel="0" collapsed="false">
      <c r="A29" s="9"/>
      <c r="B29" s="10" t="s">
        <v>10</v>
      </c>
      <c r="C29" s="1" t="s">
        <v>84</v>
      </c>
    </row>
    <row r="30" customFormat="false" ht="14.25" hidden="false" customHeight="false" outlineLevel="0" collapsed="false">
      <c r="A30" s="9" t="s">
        <v>13</v>
      </c>
      <c r="B30" s="10" t="s">
        <v>14</v>
      </c>
      <c r="C30" s="1" t="n">
        <v>29</v>
      </c>
    </row>
    <row r="31" customFormat="false" ht="14.25" hidden="false" customHeight="false" outlineLevel="0" collapsed="false">
      <c r="A31" s="9"/>
      <c r="B31" s="10" t="s">
        <v>15</v>
      </c>
      <c r="C31" s="1" t="s">
        <v>85</v>
      </c>
    </row>
    <row r="32" customFormat="false" ht="14.25" hidden="false" customHeight="false" outlineLevel="0" collapsed="false">
      <c r="A32" s="9"/>
      <c r="B32" s="10" t="s">
        <v>17</v>
      </c>
      <c r="C32" s="1" t="s">
        <v>86</v>
      </c>
    </row>
    <row r="33" customFormat="false" ht="14.25" hidden="false" customHeight="false" outlineLevel="0" collapsed="false">
      <c r="A33" s="9"/>
      <c r="B33" s="10" t="s">
        <v>19</v>
      </c>
      <c r="C33" s="1" t="s">
        <v>87</v>
      </c>
    </row>
    <row r="34" customFormat="false" ht="14.25" hidden="false" customHeight="false" outlineLevel="0" collapsed="false">
      <c r="A34" s="9" t="s">
        <v>22</v>
      </c>
      <c r="B34" s="10" t="s">
        <v>23</v>
      </c>
      <c r="C34" s="1" t="n">
        <v>29</v>
      </c>
    </row>
    <row r="35" customFormat="false" ht="14.25" hidden="false" customHeight="false" outlineLevel="0" collapsed="false">
      <c r="A35" s="9"/>
      <c r="B35" s="10" t="s">
        <v>25</v>
      </c>
      <c r="C35" s="1" t="n">
        <v>1</v>
      </c>
    </row>
    <row r="36" customFormat="false" ht="14.25" hidden="false" customHeight="false" outlineLevel="0" collapsed="false">
      <c r="A36" s="9"/>
      <c r="B36" s="10" t="s">
        <v>27</v>
      </c>
      <c r="C36" s="1" t="s">
        <v>88</v>
      </c>
    </row>
    <row r="37" customFormat="false" ht="14.25" hidden="false" customHeight="false" outlineLevel="0" collapsed="false">
      <c r="A37" s="9"/>
      <c r="B37" s="10" t="s">
        <v>64</v>
      </c>
      <c r="C37" s="1" t="s">
        <v>88</v>
      </c>
    </row>
    <row r="38" customFormat="false" ht="14.25" hidden="false" customHeight="false" outlineLevel="0" collapsed="false">
      <c r="A38" s="9" t="s">
        <v>65</v>
      </c>
      <c r="B38" s="10" t="s">
        <v>66</v>
      </c>
      <c r="C38" s="1" t="s">
        <v>67</v>
      </c>
    </row>
    <row r="39" customFormat="false" ht="14.25" hidden="false" customHeight="false" outlineLevel="0" collapsed="false">
      <c r="A39" s="9"/>
      <c r="B39" s="10" t="s">
        <v>68</v>
      </c>
      <c r="C39" s="1" t="s">
        <v>84</v>
      </c>
    </row>
    <row r="40" customFormat="false" ht="14.25" hidden="false" customHeight="false" outlineLevel="0" collapsed="false">
      <c r="A40" s="9" t="s">
        <v>71</v>
      </c>
      <c r="B40" s="3"/>
      <c r="C40" s="1" t="s">
        <v>72</v>
      </c>
      <c r="D40" s="0" t="s">
        <v>89</v>
      </c>
    </row>
    <row r="41" customFormat="false" ht="14.25" hidden="false" customHeight="false" outlineLevel="0" collapsed="false">
      <c r="A41" s="9" t="s">
        <v>74</v>
      </c>
      <c r="B41" s="10" t="s">
        <v>75</v>
      </c>
    </row>
    <row r="42" customFormat="false" ht="14.25" hidden="false" customHeight="false" outlineLevel="0" collapsed="false">
      <c r="A42" s="9"/>
      <c r="B42" s="10" t="s">
        <v>76</v>
      </c>
      <c r="D42" s="14"/>
    </row>
    <row r="43" customFormat="false" ht="16.4" hidden="false" customHeight="false" outlineLevel="0" collapsed="false">
      <c r="A43" s="9"/>
      <c r="B43" s="10" t="s">
        <v>77</v>
      </c>
      <c r="C43" s="20" t="s">
        <v>90</v>
      </c>
      <c r="D43" s="20" t="s">
        <v>82</v>
      </c>
    </row>
    <row r="44" customFormat="false" ht="14.25" hidden="false" customHeight="false" outlineLevel="0" collapsed="false">
      <c r="A44" s="16" t="s">
        <v>79</v>
      </c>
      <c r="B44" s="3"/>
      <c r="D44" s="14"/>
    </row>
    <row r="45" customFormat="false" ht="14.25" hidden="false" customHeight="false" outlineLevel="0" collapsed="false">
      <c r="A45" s="2"/>
      <c r="B45" s="3"/>
      <c r="D45" s="14"/>
    </row>
    <row r="46" customFormat="false" ht="14.25" hidden="false" customHeight="false" outlineLevel="0" collapsed="false">
      <c r="A46" s="21"/>
      <c r="B46" s="22"/>
      <c r="C46" s="17"/>
      <c r="D46" s="18"/>
    </row>
    <row r="47" customFormat="false" ht="14.25" hidden="false" customHeight="false" outlineLevel="0" collapsed="false">
      <c r="A47" s="9" t="s">
        <v>0</v>
      </c>
      <c r="B47" s="10" t="s">
        <v>1</v>
      </c>
      <c r="C47" s="1" t="s">
        <v>91</v>
      </c>
    </row>
    <row r="48" customFormat="false" ht="14.25" hidden="false" customHeight="false" outlineLevel="0" collapsed="false">
      <c r="A48" s="9"/>
      <c r="B48" s="10" t="s">
        <v>3</v>
      </c>
      <c r="C48" s="1" t="s">
        <v>92</v>
      </c>
    </row>
    <row r="49" customFormat="false" ht="16.4" hidden="false" customHeight="false" outlineLevel="0" collapsed="false">
      <c r="A49" s="9"/>
      <c r="B49" s="10" t="s">
        <v>5</v>
      </c>
      <c r="C49" s="13" t="s">
        <v>93</v>
      </c>
    </row>
    <row r="50" customFormat="false" ht="14.25" hidden="false" customHeight="false" outlineLevel="0" collapsed="false">
      <c r="A50" s="9" t="s">
        <v>7</v>
      </c>
      <c r="B50" s="10" t="s">
        <v>8</v>
      </c>
      <c r="C50" s="1" t="s">
        <v>94</v>
      </c>
    </row>
    <row r="51" customFormat="false" ht="14.25" hidden="false" customHeight="false" outlineLevel="0" collapsed="false">
      <c r="A51" s="9"/>
      <c r="B51" s="10" t="s">
        <v>10</v>
      </c>
      <c r="C51" s="1" t="s">
        <v>84</v>
      </c>
    </row>
    <row r="52" customFormat="false" ht="14.25" hidden="false" customHeight="false" outlineLevel="0" collapsed="false">
      <c r="A52" s="9" t="s">
        <v>13</v>
      </c>
      <c r="B52" s="10" t="s">
        <v>14</v>
      </c>
      <c r="C52" s="1" t="n">
        <v>971</v>
      </c>
    </row>
    <row r="53" customFormat="false" ht="14.25" hidden="false" customHeight="false" outlineLevel="0" collapsed="false">
      <c r="A53" s="9"/>
      <c r="B53" s="10" t="s">
        <v>15</v>
      </c>
      <c r="C53" s="1" t="s">
        <v>95</v>
      </c>
      <c r="D53" s="0" t="s">
        <v>96</v>
      </c>
    </row>
    <row r="54" customFormat="false" ht="14.25" hidden="false" customHeight="false" outlineLevel="0" collapsed="false">
      <c r="A54" s="9"/>
      <c r="B54" s="10" t="s">
        <v>17</v>
      </c>
      <c r="C54" s="1" t="s">
        <v>97</v>
      </c>
    </row>
    <row r="55" customFormat="false" ht="14.25" hidden="false" customHeight="false" outlineLevel="0" collapsed="false">
      <c r="A55" s="9"/>
      <c r="B55" s="10" t="s">
        <v>19</v>
      </c>
      <c r="C55" s="1" t="s">
        <v>84</v>
      </c>
    </row>
    <row r="56" customFormat="false" ht="14.25" hidden="false" customHeight="false" outlineLevel="0" collapsed="false">
      <c r="A56" s="9" t="s">
        <v>22</v>
      </c>
      <c r="B56" s="10" t="s">
        <v>23</v>
      </c>
      <c r="C56" s="1" t="s">
        <v>84</v>
      </c>
    </row>
    <row r="57" customFormat="false" ht="14.25" hidden="false" customHeight="false" outlineLevel="0" collapsed="false">
      <c r="A57" s="9"/>
      <c r="B57" s="10" t="s">
        <v>25</v>
      </c>
      <c r="C57" s="1" t="s">
        <v>84</v>
      </c>
    </row>
    <row r="58" customFormat="false" ht="14.25" hidden="false" customHeight="false" outlineLevel="0" collapsed="false">
      <c r="A58" s="9"/>
      <c r="B58" s="10" t="s">
        <v>27</v>
      </c>
      <c r="C58" s="1" t="s">
        <v>84</v>
      </c>
    </row>
    <row r="59" customFormat="false" ht="14.25" hidden="false" customHeight="false" outlineLevel="0" collapsed="false">
      <c r="A59" s="9"/>
      <c r="B59" s="10" t="s">
        <v>64</v>
      </c>
      <c r="C59" s="1" t="s">
        <v>84</v>
      </c>
    </row>
    <row r="60" customFormat="false" ht="14.25" hidden="false" customHeight="false" outlineLevel="0" collapsed="false">
      <c r="A60" s="9" t="s">
        <v>65</v>
      </c>
      <c r="B60" s="10" t="s">
        <v>66</v>
      </c>
      <c r="C60" s="1" t="s">
        <v>84</v>
      </c>
    </row>
    <row r="61" customFormat="false" ht="14.25" hidden="false" customHeight="false" outlineLevel="0" collapsed="false">
      <c r="A61" s="9"/>
      <c r="B61" s="10" t="s">
        <v>68</v>
      </c>
      <c r="C61" s="1" t="s">
        <v>98</v>
      </c>
      <c r="D61" s="14" t="s">
        <v>99</v>
      </c>
      <c r="E61" s="0" t="s">
        <v>100</v>
      </c>
      <c r="F61" s="14" t="s">
        <v>101</v>
      </c>
      <c r="G61" s="14" t="s">
        <v>102</v>
      </c>
    </row>
    <row r="62" customFormat="false" ht="14.25" hidden="false" customHeight="false" outlineLevel="0" collapsed="false">
      <c r="A62" s="9" t="s">
        <v>71</v>
      </c>
      <c r="B62" s="3"/>
      <c r="C62" s="1" t="s">
        <v>103</v>
      </c>
    </row>
    <row r="63" customFormat="false" ht="14.25" hidden="false" customHeight="false" outlineLevel="0" collapsed="false">
      <c r="A63" s="9" t="s">
        <v>74</v>
      </c>
      <c r="B63" s="10" t="s">
        <v>75</v>
      </c>
    </row>
    <row r="64" customFormat="false" ht="14.25" hidden="false" customHeight="false" outlineLevel="0" collapsed="false">
      <c r="A64" s="9"/>
      <c r="B64" s="10" t="s">
        <v>76</v>
      </c>
    </row>
    <row r="65" customFormat="false" ht="16.4" hidden="false" customHeight="false" outlineLevel="0" collapsed="false">
      <c r="A65" s="9"/>
      <c r="B65" s="10" t="s">
        <v>77</v>
      </c>
      <c r="C65" s="13" t="s">
        <v>104</v>
      </c>
    </row>
    <row r="66" customFormat="false" ht="14.25" hidden="false" customHeight="false" outlineLevel="0" collapsed="false">
      <c r="A66" s="16" t="s">
        <v>79</v>
      </c>
      <c r="B66" s="3"/>
    </row>
    <row r="67" customFormat="false" ht="14.25" hidden="false" customHeight="false" outlineLevel="0" collapsed="false">
      <c r="A67" s="2"/>
      <c r="B67" s="3"/>
    </row>
    <row r="68" customFormat="false" ht="14.25" hidden="false" customHeight="false" outlineLevel="0" collapsed="false">
      <c r="A68" s="21"/>
      <c r="B68" s="22"/>
      <c r="C68" s="17"/>
      <c r="D68" s="23"/>
    </row>
    <row r="69" customFormat="false" ht="14.25" hidden="false" customHeight="false" outlineLevel="0" collapsed="false">
      <c r="A69" s="9" t="s">
        <v>0</v>
      </c>
      <c r="B69" s="10" t="s">
        <v>1</v>
      </c>
      <c r="C69" s="19" t="s">
        <v>105</v>
      </c>
    </row>
    <row r="70" customFormat="false" ht="14.25" hidden="false" customHeight="false" outlineLevel="0" collapsed="false">
      <c r="A70" s="9"/>
      <c r="B70" s="10" t="s">
        <v>3</v>
      </c>
      <c r="C70" s="1" t="s">
        <v>106</v>
      </c>
    </row>
    <row r="71" customFormat="false" ht="16.4" hidden="false" customHeight="false" outlineLevel="0" collapsed="false">
      <c r="A71" s="9"/>
      <c r="B71" s="10" t="s">
        <v>5</v>
      </c>
      <c r="C71" s="13" t="s">
        <v>107</v>
      </c>
      <c r="D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</row>
    <row r="72" customFormat="false" ht="14.25" hidden="false" customHeight="false" outlineLevel="0" collapsed="false">
      <c r="A72" s="9" t="s">
        <v>7</v>
      </c>
      <c r="B72" s="10" t="s">
        <v>8</v>
      </c>
      <c r="C72" s="1" t="s">
        <v>108</v>
      </c>
      <c r="D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</row>
    <row r="73" customFormat="false" ht="14.25" hidden="false" customHeight="false" outlineLevel="0" collapsed="false">
      <c r="A73" s="9"/>
      <c r="B73" s="10" t="s">
        <v>10</v>
      </c>
      <c r="C73" s="1" t="s">
        <v>84</v>
      </c>
    </row>
    <row r="74" customFormat="false" ht="14.25" hidden="false" customHeight="false" outlineLevel="0" collapsed="false">
      <c r="A74" s="9" t="s">
        <v>13</v>
      </c>
      <c r="B74" s="10" t="s">
        <v>14</v>
      </c>
      <c r="C74" s="1" t="n">
        <v>712</v>
      </c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</row>
    <row r="75" customFormat="false" ht="14.25" hidden="false" customHeight="false" outlineLevel="0" collapsed="false">
      <c r="A75" s="9"/>
      <c r="B75" s="10" t="s">
        <v>15</v>
      </c>
      <c r="C75" s="1" t="s">
        <v>109</v>
      </c>
      <c r="D75" s="0" t="s">
        <v>110</v>
      </c>
    </row>
    <row r="76" customFormat="false" ht="14.25" hidden="false" customHeight="false" outlineLevel="0" collapsed="false">
      <c r="A76" s="9"/>
      <c r="B76" s="10" t="s">
        <v>17</v>
      </c>
      <c r="C76" s="1" t="s">
        <v>111</v>
      </c>
      <c r="F76" s="25"/>
    </row>
    <row r="77" customFormat="false" ht="14.25" hidden="false" customHeight="false" outlineLevel="0" collapsed="false">
      <c r="A77" s="9"/>
      <c r="B77" s="10" t="s">
        <v>19</v>
      </c>
      <c r="C77" s="1" t="s">
        <v>112</v>
      </c>
    </row>
    <row r="78" customFormat="false" ht="14.25" hidden="false" customHeight="false" outlineLevel="0" collapsed="false">
      <c r="A78" s="9" t="s">
        <v>22</v>
      </c>
      <c r="B78" s="10" t="s">
        <v>23</v>
      </c>
      <c r="C78" s="1" t="n">
        <v>712</v>
      </c>
    </row>
    <row r="79" customFormat="false" ht="14.25" hidden="false" customHeight="false" outlineLevel="0" collapsed="false">
      <c r="A79" s="9"/>
      <c r="B79" s="10" t="s">
        <v>25</v>
      </c>
      <c r="C79" s="1" t="n">
        <v>1</v>
      </c>
    </row>
    <row r="80" customFormat="false" ht="14.25" hidden="false" customHeight="false" outlineLevel="0" collapsed="false">
      <c r="A80" s="9"/>
      <c r="B80" s="10" t="s">
        <v>27</v>
      </c>
      <c r="C80" s="1" t="s">
        <v>113</v>
      </c>
    </row>
    <row r="81" customFormat="false" ht="14.25" hidden="false" customHeight="false" outlineLevel="0" collapsed="false">
      <c r="A81" s="9"/>
      <c r="B81" s="10" t="s">
        <v>64</v>
      </c>
      <c r="C81" s="1" t="s">
        <v>113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</row>
    <row r="82" customFormat="false" ht="14.25" hidden="false" customHeight="false" outlineLevel="0" collapsed="false">
      <c r="A82" s="9" t="s">
        <v>65</v>
      </c>
      <c r="B82" s="10" t="s">
        <v>66</v>
      </c>
      <c r="C82" s="1" t="s">
        <v>114</v>
      </c>
    </row>
    <row r="83" customFormat="false" ht="14.25" hidden="false" customHeight="false" outlineLevel="0" collapsed="false">
      <c r="A83" s="9"/>
      <c r="B83" s="10" t="s">
        <v>68</v>
      </c>
      <c r="C83" s="1" t="s">
        <v>115</v>
      </c>
    </row>
    <row r="84" customFormat="false" ht="14.25" hidden="false" customHeight="false" outlineLevel="0" collapsed="false">
      <c r="A84" s="9" t="s">
        <v>71</v>
      </c>
      <c r="B84" s="3"/>
      <c r="C84" s="1" t="s">
        <v>72</v>
      </c>
      <c r="D84" s="0" t="s">
        <v>116</v>
      </c>
    </row>
    <row r="85" customFormat="false" ht="14.25" hidden="false" customHeight="false" outlineLevel="0" collapsed="false">
      <c r="A85" s="9" t="s">
        <v>74</v>
      </c>
      <c r="B85" s="10" t="s">
        <v>75</v>
      </c>
    </row>
    <row r="86" customFormat="false" ht="14.25" hidden="false" customHeight="false" outlineLevel="0" collapsed="false">
      <c r="A86" s="9"/>
      <c r="B86" s="10" t="s">
        <v>76</v>
      </c>
    </row>
    <row r="87" customFormat="false" ht="16.4" hidden="false" customHeight="false" outlineLevel="0" collapsed="false">
      <c r="A87" s="9"/>
      <c r="B87" s="10" t="s">
        <v>77</v>
      </c>
      <c r="C87" s="13" t="s">
        <v>117</v>
      </c>
    </row>
    <row r="88" customFormat="false" ht="16.4" hidden="false" customHeight="false" outlineLevel="0" collapsed="false">
      <c r="A88" s="16" t="s">
        <v>79</v>
      </c>
      <c r="B88" s="3"/>
      <c r="C88" s="13" t="s">
        <v>118</v>
      </c>
    </row>
    <row r="89" customFormat="false" ht="16.4" hidden="false" customHeight="false" outlineLevel="0" collapsed="false">
      <c r="A89" s="2"/>
      <c r="B89" s="3"/>
      <c r="C89" s="13" t="s">
        <v>119</v>
      </c>
    </row>
    <row r="90" customFormat="false" ht="14.25" hidden="false" customHeight="false" outlineLevel="0" collapsed="false">
      <c r="A90" s="21"/>
      <c r="B90" s="22"/>
      <c r="C90" s="17"/>
      <c r="D90" s="23"/>
    </row>
    <row r="91" customFormat="false" ht="14.25" hidden="false" customHeight="false" outlineLevel="0" collapsed="false">
      <c r="A91" s="9" t="s">
        <v>0</v>
      </c>
      <c r="B91" s="10" t="s">
        <v>1</v>
      </c>
      <c r="C91" s="19" t="s">
        <v>120</v>
      </c>
    </row>
    <row r="92" customFormat="false" ht="14.25" hidden="false" customHeight="false" outlineLevel="0" collapsed="false">
      <c r="A92" s="9"/>
      <c r="B92" s="10" t="s">
        <v>3</v>
      </c>
      <c r="C92" s="1" t="s">
        <v>121</v>
      </c>
    </row>
    <row r="93" customFormat="false" ht="16.4" hidden="false" customHeight="false" outlineLevel="0" collapsed="false">
      <c r="A93" s="9"/>
      <c r="B93" s="10" t="s">
        <v>5</v>
      </c>
      <c r="C93" s="13" t="s">
        <v>122</v>
      </c>
    </row>
    <row r="94" customFormat="false" ht="14.25" hidden="false" customHeight="false" outlineLevel="0" collapsed="false">
      <c r="A94" s="9" t="s">
        <v>7</v>
      </c>
      <c r="B94" s="10" t="s">
        <v>8</v>
      </c>
      <c r="C94" s="1" t="s">
        <v>123</v>
      </c>
    </row>
    <row r="95" customFormat="false" ht="14.25" hidden="false" customHeight="false" outlineLevel="0" collapsed="false">
      <c r="A95" s="9"/>
      <c r="B95" s="10" t="s">
        <v>10</v>
      </c>
      <c r="C95" s="1" t="s">
        <v>124</v>
      </c>
    </row>
    <row r="96" customFormat="false" ht="14.25" hidden="false" customHeight="false" outlineLevel="0" collapsed="false">
      <c r="A96" s="9" t="s">
        <v>13</v>
      </c>
      <c r="B96" s="10" t="s">
        <v>14</v>
      </c>
      <c r="C96" s="1" t="s">
        <v>125</v>
      </c>
      <c r="D96" s="0" t="s">
        <v>126</v>
      </c>
    </row>
    <row r="97" customFormat="false" ht="14.25" hidden="false" customHeight="false" outlineLevel="0" collapsed="false">
      <c r="A97" s="9"/>
      <c r="B97" s="10" t="s">
        <v>15</v>
      </c>
      <c r="C97" s="1" t="s">
        <v>127</v>
      </c>
      <c r="D97" s="0" t="s">
        <v>128</v>
      </c>
    </row>
    <row r="98" customFormat="false" ht="14.25" hidden="false" customHeight="false" outlineLevel="0" collapsed="false">
      <c r="A98" s="9"/>
      <c r="B98" s="10" t="s">
        <v>17</v>
      </c>
      <c r="C98" s="1" t="s">
        <v>129</v>
      </c>
      <c r="Y98" s="26"/>
    </row>
    <row r="99" customFormat="false" ht="14.25" hidden="false" customHeight="false" outlineLevel="0" collapsed="false">
      <c r="A99" s="9"/>
      <c r="B99" s="10" t="s">
        <v>19</v>
      </c>
      <c r="C99" s="1" t="s">
        <v>130</v>
      </c>
      <c r="Y99" s="26"/>
    </row>
    <row r="100" customFormat="false" ht="14.25" hidden="false" customHeight="false" outlineLevel="0" collapsed="false">
      <c r="A100" s="9" t="s">
        <v>22</v>
      </c>
      <c r="B100" s="10" t="s">
        <v>23</v>
      </c>
      <c r="C100" s="1" t="n">
        <v>1104</v>
      </c>
      <c r="Y100" s="26"/>
    </row>
    <row r="101" customFormat="false" ht="14.25" hidden="false" customHeight="false" outlineLevel="0" collapsed="false">
      <c r="A101" s="9"/>
      <c r="B101" s="10" t="s">
        <v>25</v>
      </c>
      <c r="C101" s="1" t="n">
        <v>1</v>
      </c>
      <c r="Y101" s="26"/>
    </row>
    <row r="102" customFormat="false" ht="14.25" hidden="false" customHeight="false" outlineLevel="0" collapsed="false">
      <c r="A102" s="9"/>
      <c r="B102" s="10" t="s">
        <v>27</v>
      </c>
      <c r="C102" s="1" t="s">
        <v>131</v>
      </c>
      <c r="D102" s="1" t="s">
        <v>132</v>
      </c>
      <c r="E102" s="1" t="s">
        <v>133</v>
      </c>
      <c r="F102" s="1" t="s">
        <v>134</v>
      </c>
      <c r="G102" s="1" t="s">
        <v>135</v>
      </c>
      <c r="H102" s="1" t="s">
        <v>136</v>
      </c>
      <c r="I102" s="1" t="s">
        <v>137</v>
      </c>
      <c r="J102" s="1" t="s">
        <v>138</v>
      </c>
      <c r="K102" s="1" t="s">
        <v>139</v>
      </c>
      <c r="L102" s="1" t="s">
        <v>140</v>
      </c>
      <c r="M102" s="1" t="s">
        <v>141</v>
      </c>
      <c r="N102" s="1" t="s">
        <v>142</v>
      </c>
      <c r="O102" s="1" t="s">
        <v>143</v>
      </c>
      <c r="P102" s="1" t="s">
        <v>61</v>
      </c>
      <c r="Q102" s="1" t="s">
        <v>144</v>
      </c>
      <c r="R102" s="1" t="s">
        <v>145</v>
      </c>
      <c r="Y102" s="26"/>
    </row>
    <row r="103" customFormat="false" ht="14.25" hidden="false" customHeight="false" outlineLevel="0" collapsed="false">
      <c r="A103" s="9"/>
      <c r="B103" s="10" t="s">
        <v>64</v>
      </c>
      <c r="C103" s="1" t="s">
        <v>146</v>
      </c>
      <c r="D103" s="1" t="s">
        <v>147</v>
      </c>
      <c r="E103" s="1" t="s">
        <v>147</v>
      </c>
      <c r="F103" s="1" t="n">
        <v>100</v>
      </c>
      <c r="G103" s="1" t="s">
        <v>147</v>
      </c>
      <c r="H103" s="1" t="n">
        <v>100</v>
      </c>
      <c r="I103" s="1" t="s">
        <v>148</v>
      </c>
      <c r="J103" s="1" t="s">
        <v>146</v>
      </c>
      <c r="K103" s="1" t="s">
        <v>147</v>
      </c>
      <c r="L103" s="1" t="s">
        <v>147</v>
      </c>
      <c r="M103" s="1" t="n">
        <v>1</v>
      </c>
      <c r="N103" s="1" t="n">
        <v>100</v>
      </c>
      <c r="O103" s="1" t="s">
        <v>149</v>
      </c>
      <c r="P103" s="1" t="s">
        <v>150</v>
      </c>
      <c r="Q103" s="1" t="s">
        <v>146</v>
      </c>
      <c r="R103" s="1" t="s">
        <v>146</v>
      </c>
      <c r="Y103" s="26"/>
    </row>
    <row r="104" customFormat="false" ht="14.25" hidden="false" customHeight="false" outlineLevel="0" collapsed="false">
      <c r="A104" s="9" t="s">
        <v>65</v>
      </c>
      <c r="B104" s="10" t="s">
        <v>66</v>
      </c>
      <c r="C104" s="1" t="s">
        <v>114</v>
      </c>
      <c r="Y104" s="26"/>
    </row>
    <row r="105" customFormat="false" ht="14.25" hidden="false" customHeight="false" outlineLevel="0" collapsed="false">
      <c r="A105" s="9"/>
      <c r="B105" s="10" t="s">
        <v>68</v>
      </c>
      <c r="C105" s="1" t="s">
        <v>151</v>
      </c>
      <c r="D105" s="0" t="s">
        <v>152</v>
      </c>
      <c r="F105" s="0" t="s">
        <v>153</v>
      </c>
      <c r="L105" s="27" t="s">
        <v>154</v>
      </c>
      <c r="Y105" s="26"/>
    </row>
    <row r="106" customFormat="false" ht="14.25" hidden="false" customHeight="false" outlineLevel="0" collapsed="false">
      <c r="A106" s="9" t="s">
        <v>71</v>
      </c>
      <c r="B106" s="3"/>
      <c r="C106" s="1" t="s">
        <v>72</v>
      </c>
      <c r="D106" s="0" t="s">
        <v>155</v>
      </c>
      <c r="L106" s="27" t="s">
        <v>154</v>
      </c>
      <c r="Y106" s="26"/>
    </row>
    <row r="107" customFormat="false" ht="14.25" hidden="false" customHeight="false" outlineLevel="0" collapsed="false">
      <c r="A107" s="9" t="s">
        <v>74</v>
      </c>
      <c r="B107" s="10" t="s">
        <v>75</v>
      </c>
      <c r="L107" s="27" t="s">
        <v>154</v>
      </c>
      <c r="Y107" s="26"/>
    </row>
    <row r="108" customFormat="false" ht="14.25" hidden="false" customHeight="false" outlineLevel="0" collapsed="false">
      <c r="A108" s="9"/>
      <c r="B108" s="10" t="s">
        <v>76</v>
      </c>
      <c r="L108" s="27" t="s">
        <v>154</v>
      </c>
      <c r="Y108" s="26"/>
    </row>
    <row r="109" customFormat="false" ht="16.4" hidden="false" customHeight="false" outlineLevel="0" collapsed="false">
      <c r="A109" s="9"/>
      <c r="B109" s="10" t="s">
        <v>77</v>
      </c>
      <c r="C109" s="13" t="s">
        <v>156</v>
      </c>
      <c r="L109" s="27" t="s">
        <v>154</v>
      </c>
      <c r="Y109" s="26"/>
    </row>
    <row r="110" customFormat="false" ht="16.4" hidden="false" customHeight="false" outlineLevel="0" collapsed="false">
      <c r="A110" s="16" t="s">
        <v>79</v>
      </c>
      <c r="B110" s="3"/>
      <c r="C110" s="13" t="s">
        <v>157</v>
      </c>
      <c r="L110" s="27" t="s">
        <v>154</v>
      </c>
      <c r="Y110" s="26"/>
    </row>
    <row r="111" customFormat="false" ht="14.25" hidden="false" customHeight="false" outlineLevel="0" collapsed="false">
      <c r="A111" s="2"/>
      <c r="B111" s="3"/>
      <c r="L111" s="27" t="s">
        <v>154</v>
      </c>
      <c r="Y111" s="26"/>
    </row>
    <row r="112" customFormat="false" ht="14.25" hidden="false" customHeight="false" outlineLevel="0" collapsed="false">
      <c r="A112" s="21"/>
      <c r="B112" s="22"/>
      <c r="C112" s="17"/>
      <c r="D112" s="23"/>
      <c r="L112" s="27" t="s">
        <v>154</v>
      </c>
      <c r="Y112" s="26"/>
    </row>
    <row r="113" customFormat="false" ht="14.25" hidden="false" customHeight="false" outlineLevel="0" collapsed="false">
      <c r="A113" s="9" t="s">
        <v>0</v>
      </c>
      <c r="B113" s="10" t="s">
        <v>1</v>
      </c>
      <c r="C113" s="19" t="s">
        <v>158</v>
      </c>
      <c r="Y113" s="26"/>
      <c r="AF113" s="0" t="s">
        <v>159</v>
      </c>
    </row>
    <row r="114" customFormat="false" ht="14.25" hidden="false" customHeight="false" outlineLevel="0" collapsed="false">
      <c r="A114" s="9"/>
      <c r="B114" s="10" t="s">
        <v>3</v>
      </c>
      <c r="C114" s="1" t="s">
        <v>4</v>
      </c>
    </row>
    <row r="115" customFormat="false" ht="14.25" hidden="false" customHeight="false" outlineLevel="0" collapsed="false">
      <c r="A115" s="9"/>
      <c r="B115" s="10" t="s">
        <v>5</v>
      </c>
      <c r="C115" s="1" t="s">
        <v>160</v>
      </c>
    </row>
    <row r="116" customFormat="false" ht="14.25" hidden="false" customHeight="false" outlineLevel="0" collapsed="false">
      <c r="A116" s="9" t="s">
        <v>7</v>
      </c>
      <c r="B116" s="10" t="s">
        <v>8</v>
      </c>
      <c r="C116" s="1" t="s">
        <v>161</v>
      </c>
    </row>
    <row r="117" customFormat="false" ht="14.25" hidden="false" customHeight="false" outlineLevel="0" collapsed="false">
      <c r="A117" s="9"/>
      <c r="B117" s="10" t="s">
        <v>10</v>
      </c>
      <c r="C117" s="28" t="s">
        <v>162</v>
      </c>
      <c r="D117" s="28" t="s">
        <v>163</v>
      </c>
      <c r="E117" s="8" t="s">
        <v>164</v>
      </c>
      <c r="F117" s="28" t="s">
        <v>165</v>
      </c>
    </row>
    <row r="118" customFormat="false" ht="14.25" hidden="false" customHeight="false" outlineLevel="0" collapsed="false">
      <c r="A118" s="9" t="s">
        <v>13</v>
      </c>
      <c r="B118" s="10" t="s">
        <v>14</v>
      </c>
      <c r="C118" s="1" t="n">
        <v>169</v>
      </c>
    </row>
    <row r="119" customFormat="false" ht="14.25" hidden="false" customHeight="false" outlineLevel="0" collapsed="false">
      <c r="A119" s="9"/>
      <c r="B119" s="10" t="s">
        <v>15</v>
      </c>
      <c r="C119" s="1" t="s">
        <v>166</v>
      </c>
      <c r="D119" s="0" t="s">
        <v>167</v>
      </c>
    </row>
    <row r="120" customFormat="false" ht="14.25" hidden="false" customHeight="false" outlineLevel="0" collapsed="false">
      <c r="A120" s="9"/>
      <c r="B120" s="10" t="s">
        <v>17</v>
      </c>
      <c r="C120" s="1" t="s">
        <v>168</v>
      </c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</row>
    <row r="121" customFormat="false" ht="14.25" hidden="false" customHeight="false" outlineLevel="0" collapsed="false">
      <c r="A121" s="9"/>
      <c r="B121" s="10" t="s">
        <v>19</v>
      </c>
      <c r="C121" s="1" t="s">
        <v>169</v>
      </c>
    </row>
    <row r="122" customFormat="false" ht="14.25" hidden="false" customHeight="false" outlineLevel="0" collapsed="false">
      <c r="A122" s="9" t="s">
        <v>22</v>
      </c>
      <c r="B122" s="10" t="s">
        <v>23</v>
      </c>
      <c r="C122" s="1" t="s">
        <v>170</v>
      </c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</row>
    <row r="123" customFormat="false" ht="14.25" hidden="false" customHeight="false" outlineLevel="0" collapsed="false">
      <c r="A123" s="9"/>
      <c r="B123" s="10" t="s">
        <v>25</v>
      </c>
      <c r="C123" s="1" t="s">
        <v>171</v>
      </c>
      <c r="D123" s="30"/>
    </row>
    <row r="124" customFormat="false" ht="13.5" hidden="false" customHeight="true" outlineLevel="0" collapsed="false">
      <c r="A124" s="9"/>
      <c r="B124" s="10" t="s">
        <v>27</v>
      </c>
      <c r="C124" s="1" t="s">
        <v>172</v>
      </c>
    </row>
    <row r="125" customFormat="false" ht="14.25" hidden="false" customHeight="false" outlineLevel="0" collapsed="false">
      <c r="A125" s="9"/>
      <c r="B125" s="10" t="s">
        <v>64</v>
      </c>
      <c r="C125" s="1" t="s">
        <v>172</v>
      </c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</row>
    <row r="126" customFormat="false" ht="14.25" hidden="false" customHeight="false" outlineLevel="0" collapsed="false">
      <c r="A126" s="9" t="s">
        <v>65</v>
      </c>
      <c r="B126" s="10" t="s">
        <v>66</v>
      </c>
      <c r="C126" s="1" t="s">
        <v>67</v>
      </c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</row>
    <row r="127" customFormat="false" ht="14.25" hidden="false" customHeight="false" outlineLevel="0" collapsed="false">
      <c r="A127" s="9"/>
      <c r="B127" s="10" t="s">
        <v>68</v>
      </c>
      <c r="C127" s="1" t="s">
        <v>173</v>
      </c>
    </row>
    <row r="128" customFormat="false" ht="14.25" hidden="false" customHeight="false" outlineLevel="0" collapsed="false">
      <c r="A128" s="9" t="s">
        <v>71</v>
      </c>
      <c r="B128" s="3"/>
      <c r="C128" s="1" t="s">
        <v>72</v>
      </c>
      <c r="D128" s="0" t="s">
        <v>73</v>
      </c>
    </row>
    <row r="129" customFormat="false" ht="14.25" hidden="false" customHeight="false" outlineLevel="0" collapsed="false">
      <c r="A129" s="9" t="s">
        <v>74</v>
      </c>
      <c r="B129" s="10" t="s">
        <v>75</v>
      </c>
    </row>
    <row r="130" customFormat="false" ht="14.25" hidden="false" customHeight="false" outlineLevel="0" collapsed="false">
      <c r="A130" s="9"/>
      <c r="B130" s="10" t="s">
        <v>76</v>
      </c>
    </row>
    <row r="131" customFormat="false" ht="16.4" hidden="false" customHeight="false" outlineLevel="0" collapsed="false">
      <c r="A131" s="9"/>
      <c r="B131" s="10" t="s">
        <v>77</v>
      </c>
      <c r="C131" s="13" t="s">
        <v>174</v>
      </c>
    </row>
    <row r="132" customFormat="false" ht="16.4" hidden="false" customHeight="false" outlineLevel="0" collapsed="false">
      <c r="A132" s="16" t="s">
        <v>79</v>
      </c>
      <c r="B132" s="3"/>
      <c r="C132" s="13" t="s">
        <v>175</v>
      </c>
    </row>
    <row r="133" customFormat="false" ht="16.4" hidden="false" customHeight="false" outlineLevel="0" collapsed="false">
      <c r="A133" s="2"/>
      <c r="B133" s="3"/>
      <c r="C133" s="13" t="s">
        <v>176</v>
      </c>
    </row>
    <row r="134" customFormat="false" ht="14.25" hidden="false" customHeight="false" outlineLevel="0" collapsed="false">
      <c r="A134" s="21"/>
      <c r="B134" s="22"/>
      <c r="C134" s="32"/>
      <c r="D134" s="23"/>
    </row>
    <row r="135" customFormat="false" ht="14.25" hidden="false" customHeight="false" outlineLevel="0" collapsed="false">
      <c r="A135" s="9" t="s">
        <v>0</v>
      </c>
      <c r="B135" s="10" t="s">
        <v>1</v>
      </c>
      <c r="C135" s="33" t="s">
        <v>177</v>
      </c>
    </row>
    <row r="136" customFormat="false" ht="14.25" hidden="false" customHeight="false" outlineLevel="0" collapsed="false">
      <c r="A136" s="9"/>
      <c r="B136" s="10" t="s">
        <v>3</v>
      </c>
      <c r="C136" s="34" t="n">
        <v>2012</v>
      </c>
    </row>
    <row r="137" customFormat="false" ht="16.4" hidden="false" customHeight="false" outlineLevel="0" collapsed="false">
      <c r="A137" s="9"/>
      <c r="B137" s="10" t="s">
        <v>5</v>
      </c>
      <c r="C137" s="13" t="s">
        <v>178</v>
      </c>
    </row>
    <row r="138" customFormat="false" ht="14.25" hidden="false" customHeight="false" outlineLevel="0" collapsed="false">
      <c r="A138" s="9" t="s">
        <v>7</v>
      </c>
      <c r="B138" s="10" t="s">
        <v>8</v>
      </c>
      <c r="C138" s="34" t="s">
        <v>179</v>
      </c>
    </row>
    <row r="139" customFormat="false" ht="14.25" hidden="false" customHeight="false" outlineLevel="0" collapsed="false">
      <c r="A139" s="9"/>
      <c r="B139" s="10" t="s">
        <v>10</v>
      </c>
      <c r="C139" s="34" t="s">
        <v>84</v>
      </c>
    </row>
    <row r="140" customFormat="false" ht="14.25" hidden="false" customHeight="false" outlineLevel="0" collapsed="false">
      <c r="A140" s="9" t="s">
        <v>13</v>
      </c>
      <c r="B140" s="10" t="s">
        <v>14</v>
      </c>
      <c r="C140" s="34" t="n">
        <v>108</v>
      </c>
    </row>
    <row r="141" customFormat="false" ht="14.25" hidden="false" customHeight="false" outlineLevel="0" collapsed="false">
      <c r="A141" s="9"/>
      <c r="B141" s="10" t="s">
        <v>15</v>
      </c>
      <c r="C141" s="34" t="s">
        <v>180</v>
      </c>
    </row>
    <row r="142" customFormat="false" ht="14.25" hidden="false" customHeight="false" outlineLevel="0" collapsed="false">
      <c r="A142" s="9"/>
      <c r="B142" s="10" t="s">
        <v>17</v>
      </c>
      <c r="C142" s="34" t="s">
        <v>181</v>
      </c>
    </row>
    <row r="143" customFormat="false" ht="14.25" hidden="false" customHeight="false" outlineLevel="0" collapsed="false">
      <c r="A143" s="9"/>
      <c r="B143" s="10" t="s">
        <v>19</v>
      </c>
      <c r="C143" s="8" t="s">
        <v>182</v>
      </c>
      <c r="D143" s="8" t="s">
        <v>183</v>
      </c>
      <c r="E143" s="8" t="s">
        <v>184</v>
      </c>
      <c r="F143" s="8" t="s">
        <v>185</v>
      </c>
      <c r="G143" s="8" t="s">
        <v>186</v>
      </c>
      <c r="H143" s="8" t="s">
        <v>187</v>
      </c>
      <c r="I143" s="8" t="s">
        <v>188</v>
      </c>
      <c r="J143" s="8" t="s">
        <v>189</v>
      </c>
      <c r="K143" s="35"/>
    </row>
    <row r="144" customFormat="false" ht="14.25" hidden="false" customHeight="false" outlineLevel="0" collapsed="false">
      <c r="A144" s="9"/>
      <c r="B144" s="10" t="s">
        <v>190</v>
      </c>
      <c r="C144" s="8" t="s">
        <v>191</v>
      </c>
      <c r="D144" s="8" t="s">
        <v>192</v>
      </c>
      <c r="E144" s="8" t="s">
        <v>193</v>
      </c>
      <c r="F144" s="8" t="s">
        <v>194</v>
      </c>
      <c r="G144" s="8" t="s">
        <v>195</v>
      </c>
      <c r="H144" s="8" t="s">
        <v>196</v>
      </c>
      <c r="I144" s="8" t="s">
        <v>197</v>
      </c>
      <c r="J144" s="8" t="s">
        <v>198</v>
      </c>
    </row>
    <row r="145" customFormat="false" ht="14.25" hidden="false" customHeight="false" outlineLevel="0" collapsed="false">
      <c r="A145" s="9" t="s">
        <v>22</v>
      </c>
      <c r="B145" s="10" t="s">
        <v>23</v>
      </c>
      <c r="C145" s="34" t="n">
        <v>108</v>
      </c>
    </row>
    <row r="146" customFormat="false" ht="14.25" hidden="false" customHeight="false" outlineLevel="0" collapsed="false">
      <c r="A146" s="9"/>
      <c r="B146" s="10" t="s">
        <v>25</v>
      </c>
      <c r="C146" s="34" t="n">
        <v>1</v>
      </c>
      <c r="D146" s="13"/>
      <c r="E146" s="13"/>
      <c r="F146" s="35"/>
      <c r="G146" s="31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</row>
    <row r="147" customFormat="false" ht="14.25" hidden="false" customHeight="false" outlineLevel="0" collapsed="false">
      <c r="A147" s="9"/>
      <c r="B147" s="10" t="s">
        <v>27</v>
      </c>
      <c r="C147" s="34" t="s">
        <v>199</v>
      </c>
    </row>
    <row r="148" customFormat="false" ht="14.25" hidden="false" customHeight="false" outlineLevel="0" collapsed="false">
      <c r="A148" s="9"/>
      <c r="B148" s="10" t="s">
        <v>64</v>
      </c>
      <c r="C148" s="34" t="s">
        <v>199</v>
      </c>
      <c r="F148" s="35"/>
      <c r="G148" s="31"/>
    </row>
    <row r="149" customFormat="false" ht="14.25" hidden="false" customHeight="false" outlineLevel="0" collapsed="false">
      <c r="A149" s="9" t="s">
        <v>65</v>
      </c>
      <c r="B149" s="10" t="s">
        <v>66</v>
      </c>
      <c r="C149" s="34" t="s">
        <v>114</v>
      </c>
      <c r="F149" s="35"/>
      <c r="G149" s="31"/>
    </row>
    <row r="150" customFormat="false" ht="14.25" hidden="false" customHeight="false" outlineLevel="0" collapsed="false">
      <c r="A150" s="9"/>
      <c r="B150" s="10" t="s">
        <v>68</v>
      </c>
      <c r="C150" s="34" t="s">
        <v>200</v>
      </c>
      <c r="F150" s="35"/>
      <c r="G150" s="31"/>
    </row>
    <row r="151" customFormat="false" ht="14.25" hidden="false" customHeight="false" outlineLevel="0" collapsed="false">
      <c r="A151" s="9" t="s">
        <v>71</v>
      </c>
      <c r="B151" s="3"/>
      <c r="C151" s="34" t="s">
        <v>72</v>
      </c>
      <c r="D151" s="0" t="s">
        <v>89</v>
      </c>
      <c r="F151" s="35"/>
      <c r="G151" s="31"/>
    </row>
    <row r="152" customFormat="false" ht="14.25" hidden="false" customHeight="false" outlineLevel="0" collapsed="false">
      <c r="A152" s="9" t="s">
        <v>74</v>
      </c>
      <c r="B152" s="10" t="s">
        <v>75</v>
      </c>
      <c r="C152" s="34"/>
      <c r="F152" s="35"/>
      <c r="G152" s="31"/>
    </row>
    <row r="153" customFormat="false" ht="14.25" hidden="false" customHeight="false" outlineLevel="0" collapsed="false">
      <c r="A153" s="9"/>
      <c r="B153" s="10" t="s">
        <v>76</v>
      </c>
      <c r="C153" s="34"/>
    </row>
    <row r="154" customFormat="false" ht="16.4" hidden="false" customHeight="false" outlineLevel="0" collapsed="false">
      <c r="A154" s="9"/>
      <c r="B154" s="10" t="s">
        <v>77</v>
      </c>
      <c r="C154" s="20" t="s">
        <v>201</v>
      </c>
    </row>
    <row r="155" customFormat="false" ht="14.25" hidden="false" customHeight="false" outlineLevel="0" collapsed="false">
      <c r="A155" s="16" t="s">
        <v>79</v>
      </c>
      <c r="B155" s="3"/>
      <c r="C155" s="13"/>
    </row>
    <row r="156" customFormat="false" ht="14.25" hidden="false" customHeight="false" outlineLevel="0" collapsed="false">
      <c r="A156" s="2"/>
      <c r="B156" s="3"/>
      <c r="C156" s="13"/>
    </row>
    <row r="157" customFormat="false" ht="14.25" hidden="false" customHeight="false" outlineLevel="0" collapsed="false">
      <c r="A157" s="4"/>
      <c r="B157" s="5"/>
      <c r="C157" s="17"/>
      <c r="D157" s="23"/>
    </row>
    <row r="158" customFormat="false" ht="14.25" hidden="false" customHeight="false" outlineLevel="0" collapsed="false">
      <c r="A158" s="9" t="s">
        <v>0</v>
      </c>
      <c r="B158" s="10" t="s">
        <v>1</v>
      </c>
      <c r="C158" s="19" t="s">
        <v>202</v>
      </c>
    </row>
    <row r="159" customFormat="false" ht="14.25" hidden="false" customHeight="false" outlineLevel="0" collapsed="false">
      <c r="A159" s="9"/>
      <c r="B159" s="10" t="s">
        <v>3</v>
      </c>
      <c r="C159" s="1" t="s">
        <v>203</v>
      </c>
    </row>
    <row r="160" customFormat="false" ht="14.25" hidden="false" customHeight="false" outlineLevel="0" collapsed="false">
      <c r="A160" s="9"/>
      <c r="B160" s="10" t="s">
        <v>5</v>
      </c>
      <c r="C160" s="1" t="s">
        <v>204</v>
      </c>
    </row>
    <row r="161" customFormat="false" ht="14.25" hidden="false" customHeight="false" outlineLevel="0" collapsed="false">
      <c r="A161" s="9" t="s">
        <v>7</v>
      </c>
      <c r="B161" s="10" t="s">
        <v>8</v>
      </c>
      <c r="C161" s="1" t="s">
        <v>205</v>
      </c>
    </row>
    <row r="162" customFormat="false" ht="14.25" hidden="false" customHeight="false" outlineLevel="0" collapsed="false">
      <c r="A162" s="9"/>
      <c r="B162" s="10" t="s">
        <v>10</v>
      </c>
      <c r="C162" s="1" t="s">
        <v>84</v>
      </c>
    </row>
    <row r="163" customFormat="false" ht="14.25" hidden="false" customHeight="false" outlineLevel="0" collapsed="false">
      <c r="A163" s="9" t="s">
        <v>13</v>
      </c>
      <c r="B163" s="10" t="s">
        <v>14</v>
      </c>
      <c r="C163" s="1" t="n">
        <v>2284</v>
      </c>
    </row>
    <row r="164" customFormat="false" ht="14.25" hidden="false" customHeight="false" outlineLevel="0" collapsed="false">
      <c r="A164" s="9"/>
      <c r="B164" s="10" t="s">
        <v>15</v>
      </c>
      <c r="C164" s="36" t="s">
        <v>206</v>
      </c>
    </row>
    <row r="165" customFormat="false" ht="14.25" hidden="false" customHeight="false" outlineLevel="0" collapsed="false">
      <c r="A165" s="9"/>
      <c r="B165" s="10" t="s">
        <v>17</v>
      </c>
      <c r="C165" s="1" t="s">
        <v>207</v>
      </c>
    </row>
    <row r="166" customFormat="false" ht="14.25" hidden="false" customHeight="false" outlineLevel="0" collapsed="false">
      <c r="A166" s="9"/>
      <c r="B166" s="10" t="s">
        <v>19</v>
      </c>
      <c r="C166" s="1" t="s">
        <v>84</v>
      </c>
    </row>
    <row r="167" customFormat="false" ht="14.25" hidden="false" customHeight="false" outlineLevel="0" collapsed="false">
      <c r="A167" s="9" t="s">
        <v>22</v>
      </c>
      <c r="B167" s="10" t="s">
        <v>23</v>
      </c>
      <c r="C167" s="1" t="s">
        <v>208</v>
      </c>
    </row>
    <row r="168" customFormat="false" ht="14.25" hidden="false" customHeight="false" outlineLevel="0" collapsed="false">
      <c r="A168" s="9"/>
      <c r="B168" s="10" t="s">
        <v>25</v>
      </c>
      <c r="C168" s="1" t="n">
        <v>1</v>
      </c>
    </row>
    <row r="169" customFormat="false" ht="14.25" hidden="false" customHeight="false" outlineLevel="0" collapsed="false">
      <c r="A169" s="9"/>
      <c r="B169" s="10" t="s">
        <v>27</v>
      </c>
      <c r="C169" s="1" t="s">
        <v>209</v>
      </c>
      <c r="D169" s="0" t="s">
        <v>210</v>
      </c>
      <c r="E169" s="0" t="s">
        <v>211</v>
      </c>
      <c r="F169" s="0" t="s">
        <v>212</v>
      </c>
      <c r="G169" s="0" t="s">
        <v>213</v>
      </c>
      <c r="H169" s="0" t="s">
        <v>214</v>
      </c>
      <c r="I169" s="0" t="s">
        <v>215</v>
      </c>
      <c r="J169" s="0" t="s">
        <v>216</v>
      </c>
      <c r="K169" s="0" t="s">
        <v>217</v>
      </c>
      <c r="L169" s="0" t="s">
        <v>218</v>
      </c>
      <c r="M169" s="37" t="s">
        <v>219</v>
      </c>
      <c r="N169" s="0" t="s">
        <v>52</v>
      </c>
      <c r="O169" s="0" t="s">
        <v>137</v>
      </c>
      <c r="P169" s="0" t="s">
        <v>220</v>
      </c>
      <c r="Q169" s="0" t="s">
        <v>221</v>
      </c>
      <c r="R169" s="0" t="s">
        <v>222</v>
      </c>
      <c r="S169" s="0" t="s">
        <v>223</v>
      </c>
      <c r="T169" s="0" t="s">
        <v>224</v>
      </c>
      <c r="U169" s="0" t="s">
        <v>225</v>
      </c>
      <c r="V169" s="0" t="s">
        <v>226</v>
      </c>
      <c r="W169" s="0" t="s">
        <v>227</v>
      </c>
      <c r="X169" s="0" t="s">
        <v>228</v>
      </c>
      <c r="Y169" s="0" t="s">
        <v>229</v>
      </c>
      <c r="Z169" s="0" t="s">
        <v>142</v>
      </c>
      <c r="AA169" s="0" t="s">
        <v>230</v>
      </c>
      <c r="AB169" s="0" t="s">
        <v>231</v>
      </c>
      <c r="AC169" s="0" t="s">
        <v>61</v>
      </c>
      <c r="AD169" s="0" t="s">
        <v>232</v>
      </c>
      <c r="AE169" s="0" t="s">
        <v>233</v>
      </c>
    </row>
    <row r="170" customFormat="false" ht="14.25" hidden="false" customHeight="false" outlineLevel="0" collapsed="false">
      <c r="A170" s="9"/>
      <c r="B170" s="10" t="s">
        <v>64</v>
      </c>
      <c r="C170" s="15" t="s">
        <v>234</v>
      </c>
      <c r="D170" s="15" t="s">
        <v>235</v>
      </c>
      <c r="E170" s="15" t="s">
        <v>236</v>
      </c>
      <c r="F170" s="15" t="s">
        <v>236</v>
      </c>
      <c r="G170" s="15" t="s">
        <v>237</v>
      </c>
      <c r="H170" s="15" t="s">
        <v>237</v>
      </c>
      <c r="I170" s="15" t="n">
        <v>256</v>
      </c>
      <c r="J170" s="15" t="n">
        <v>256</v>
      </c>
      <c r="K170" s="15" t="n">
        <v>256</v>
      </c>
      <c r="L170" s="15" t="n">
        <v>512</v>
      </c>
      <c r="M170" s="1" t="s">
        <v>238</v>
      </c>
      <c r="N170" s="15" t="n">
        <v>512</v>
      </c>
      <c r="O170" s="15" t="s">
        <v>236</v>
      </c>
      <c r="P170" s="15" t="s">
        <v>236</v>
      </c>
      <c r="Q170" s="15" t="s">
        <v>236</v>
      </c>
      <c r="R170" s="15" t="n">
        <v>1</v>
      </c>
      <c r="S170" s="0" t="s">
        <v>239</v>
      </c>
      <c r="T170" s="15" t="n">
        <v>1</v>
      </c>
      <c r="U170" s="0" t="n">
        <v>32</v>
      </c>
      <c r="V170" s="15" t="n">
        <v>128</v>
      </c>
      <c r="W170" s="0" t="s">
        <v>240</v>
      </c>
      <c r="X170" s="15" t="n">
        <v>1</v>
      </c>
      <c r="Y170" s="0" t="s">
        <v>238</v>
      </c>
      <c r="Z170" s="15" t="s">
        <v>236</v>
      </c>
      <c r="AA170" s="15" t="n">
        <v>1</v>
      </c>
      <c r="AB170" s="15" t="s">
        <v>241</v>
      </c>
      <c r="AC170" s="15" t="n">
        <v>1</v>
      </c>
      <c r="AD170" s="15" t="n">
        <v>32</v>
      </c>
      <c r="AE170" s="15" t="s">
        <v>234</v>
      </c>
    </row>
    <row r="171" customFormat="false" ht="14.25" hidden="false" customHeight="false" outlineLevel="0" collapsed="false">
      <c r="A171" s="9" t="s">
        <v>65</v>
      </c>
      <c r="B171" s="10" t="s">
        <v>66</v>
      </c>
      <c r="C171" s="1" t="s">
        <v>114</v>
      </c>
    </row>
    <row r="172" customFormat="false" ht="14.25" hidden="false" customHeight="false" outlineLevel="0" collapsed="false">
      <c r="A172" s="9"/>
      <c r="B172" s="10" t="s">
        <v>68</v>
      </c>
      <c r="C172" s="1" t="s">
        <v>242</v>
      </c>
      <c r="D172" s="0" t="s">
        <v>243</v>
      </c>
      <c r="E172" s="0" t="s">
        <v>152</v>
      </c>
    </row>
    <row r="173" customFormat="false" ht="14.25" hidden="false" customHeight="false" outlineLevel="0" collapsed="false">
      <c r="A173" s="9" t="s">
        <v>71</v>
      </c>
      <c r="B173" s="3"/>
      <c r="C173" s="1" t="s">
        <v>72</v>
      </c>
      <c r="D173" s="0" t="s">
        <v>73</v>
      </c>
    </row>
    <row r="174" customFormat="false" ht="14.25" hidden="false" customHeight="false" outlineLevel="0" collapsed="false">
      <c r="A174" s="9" t="s">
        <v>74</v>
      </c>
      <c r="B174" s="10" t="s">
        <v>75</v>
      </c>
    </row>
    <row r="175" customFormat="false" ht="14.25" hidden="false" customHeight="false" outlineLevel="0" collapsed="false">
      <c r="A175" s="9"/>
      <c r="B175" s="10" t="s">
        <v>76</v>
      </c>
    </row>
    <row r="176" customFormat="false" ht="16.4" hidden="false" customHeight="false" outlineLevel="0" collapsed="false">
      <c r="A176" s="9"/>
      <c r="B176" s="10" t="s">
        <v>77</v>
      </c>
      <c r="C176" s="20" t="s">
        <v>244</v>
      </c>
    </row>
    <row r="177" customFormat="false" ht="16.4" hidden="false" customHeight="false" outlineLevel="0" collapsed="false">
      <c r="A177" s="16" t="s">
        <v>79</v>
      </c>
      <c r="B177" s="3"/>
      <c r="C177" s="13" t="s">
        <v>245</v>
      </c>
    </row>
    <row r="178" customFormat="false" ht="14.25" hidden="false" customHeight="false" outlineLevel="0" collapsed="false">
      <c r="A178" s="2"/>
      <c r="B178" s="3"/>
    </row>
    <row r="179" customFormat="false" ht="14.25" hidden="false" customHeight="false" outlineLevel="0" collapsed="false">
      <c r="A179" s="2"/>
      <c r="B179" s="3"/>
      <c r="C179" s="17"/>
      <c r="D179" s="23"/>
    </row>
    <row r="180" customFormat="false" ht="14.25" hidden="false" customHeight="false" outlineLevel="0" collapsed="false">
      <c r="A180" s="38" t="s">
        <v>0</v>
      </c>
      <c r="B180" s="39" t="s">
        <v>1</v>
      </c>
      <c r="C180" s="19" t="s">
        <v>246</v>
      </c>
    </row>
    <row r="181" customFormat="false" ht="14.25" hidden="false" customHeight="false" outlineLevel="0" collapsed="false">
      <c r="A181" s="38"/>
      <c r="B181" s="10" t="s">
        <v>3</v>
      </c>
      <c r="C181" s="1" t="s">
        <v>247</v>
      </c>
    </row>
    <row r="182" customFormat="false" ht="16.4" hidden="false" customHeight="false" outlineLevel="0" collapsed="false">
      <c r="A182" s="38"/>
      <c r="B182" s="10" t="s">
        <v>5</v>
      </c>
      <c r="C182" s="13" t="s">
        <v>248</v>
      </c>
    </row>
    <row r="183" customFormat="false" ht="14.25" hidden="false" customHeight="false" outlineLevel="0" collapsed="false">
      <c r="A183" s="40" t="s">
        <v>7</v>
      </c>
      <c r="B183" s="10" t="s">
        <v>8</v>
      </c>
      <c r="C183" s="1" t="s">
        <v>249</v>
      </c>
    </row>
    <row r="184" customFormat="false" ht="14.25" hidden="false" customHeight="false" outlineLevel="0" collapsed="false">
      <c r="A184" s="40"/>
      <c r="B184" s="10" t="s">
        <v>10</v>
      </c>
      <c r="C184" s="1" t="s">
        <v>250</v>
      </c>
    </row>
    <row r="185" customFormat="false" ht="14.25" hidden="false" customHeight="false" outlineLevel="0" collapsed="false">
      <c r="A185" s="40" t="s">
        <v>13</v>
      </c>
      <c r="B185" s="10" t="s">
        <v>14</v>
      </c>
      <c r="C185" s="1" t="n">
        <v>113</v>
      </c>
    </row>
    <row r="186" customFormat="false" ht="14.25" hidden="false" customHeight="false" outlineLevel="0" collapsed="false">
      <c r="A186" s="40"/>
      <c r="B186" s="10" t="s">
        <v>15</v>
      </c>
      <c r="C186" s="1" t="s">
        <v>251</v>
      </c>
    </row>
    <row r="187" customFormat="false" ht="14.25" hidden="false" customHeight="false" outlineLevel="0" collapsed="false">
      <c r="A187" s="40"/>
      <c r="B187" s="10" t="s">
        <v>17</v>
      </c>
      <c r="C187" s="1" t="s">
        <v>84</v>
      </c>
    </row>
    <row r="188" customFormat="false" ht="14.25" hidden="false" customHeight="false" outlineLevel="0" collapsed="false">
      <c r="A188" s="40"/>
      <c r="B188" s="10" t="s">
        <v>19</v>
      </c>
      <c r="C188" s="1" t="s">
        <v>84</v>
      </c>
    </row>
    <row r="189" customFormat="false" ht="14.25" hidden="false" customHeight="false" outlineLevel="0" collapsed="false">
      <c r="A189" s="40" t="s">
        <v>22</v>
      </c>
      <c r="B189" s="10" t="s">
        <v>23</v>
      </c>
      <c r="C189" s="1" t="n">
        <v>113</v>
      </c>
    </row>
    <row r="190" customFormat="false" ht="14.25" hidden="false" customHeight="false" outlineLevel="0" collapsed="false">
      <c r="A190" s="40"/>
      <c r="B190" s="10" t="s">
        <v>25</v>
      </c>
      <c r="C190" s="1" t="n">
        <v>1</v>
      </c>
    </row>
    <row r="191" customFormat="false" ht="14.25" hidden="false" customHeight="false" outlineLevel="0" collapsed="false">
      <c r="A191" s="40"/>
      <c r="B191" s="10" t="s">
        <v>27</v>
      </c>
      <c r="C191" s="1" t="s">
        <v>252</v>
      </c>
      <c r="D191" s="0" t="s">
        <v>253</v>
      </c>
      <c r="E191" s="0" t="s">
        <v>254</v>
      </c>
      <c r="F191" s="0" t="s">
        <v>255</v>
      </c>
      <c r="G191" s="0" t="s">
        <v>256</v>
      </c>
      <c r="H191" s="0" t="s">
        <v>257</v>
      </c>
      <c r="I191" s="0" t="s">
        <v>258</v>
      </c>
      <c r="J191" s="0" t="s">
        <v>259</v>
      </c>
      <c r="K191" s="0" t="s">
        <v>260</v>
      </c>
      <c r="L191" s="0" t="s">
        <v>261</v>
      </c>
      <c r="M191" s="0" t="s">
        <v>262</v>
      </c>
      <c r="N191" s="0" t="s">
        <v>263</v>
      </c>
      <c r="O191" s="0" t="s">
        <v>264</v>
      </c>
      <c r="P191" s="0" t="s">
        <v>265</v>
      </c>
      <c r="Q191" s="0" t="s">
        <v>266</v>
      </c>
      <c r="R191" s="0" t="s">
        <v>267</v>
      </c>
      <c r="S191" s="0" t="s">
        <v>268</v>
      </c>
      <c r="T191" s="0" t="s">
        <v>269</v>
      </c>
      <c r="U191" s="0" t="s">
        <v>270</v>
      </c>
      <c r="V191" s="0" t="s">
        <v>271</v>
      </c>
      <c r="W191" s="0" t="s">
        <v>272</v>
      </c>
      <c r="X191" s="0" t="s">
        <v>273</v>
      </c>
      <c r="Y191" s="0" t="s">
        <v>274</v>
      </c>
      <c r="Z191" s="0" t="s">
        <v>275</v>
      </c>
      <c r="AA191" s="0" t="s">
        <v>276</v>
      </c>
      <c r="AB191" s="0" t="s">
        <v>135</v>
      </c>
      <c r="AC191" s="0" t="s">
        <v>277</v>
      </c>
      <c r="AD191" s="0" t="s">
        <v>278</v>
      </c>
      <c r="AE191" s="0" t="s">
        <v>279</v>
      </c>
      <c r="AF191" s="0" t="s">
        <v>280</v>
      </c>
      <c r="AG191" s="0" t="s">
        <v>281</v>
      </c>
      <c r="AH191" s="0" t="s">
        <v>282</v>
      </c>
      <c r="AI191" s="41" t="s">
        <v>283</v>
      </c>
      <c r="AJ191" s="0" t="s">
        <v>284</v>
      </c>
      <c r="AK191" s="0" t="s">
        <v>285</v>
      </c>
      <c r="AL191" s="0" t="s">
        <v>286</v>
      </c>
      <c r="AM191" s="0" t="s">
        <v>287</v>
      </c>
    </row>
    <row r="192" customFormat="false" ht="14.25" hidden="false" customHeight="false" outlineLevel="0" collapsed="false">
      <c r="A192" s="40"/>
      <c r="B192" s="10" t="s">
        <v>64</v>
      </c>
      <c r="C192" s="1" t="n">
        <v>256</v>
      </c>
      <c r="D192" s="1" t="n">
        <v>256</v>
      </c>
      <c r="E192" s="1" t="n">
        <v>256</v>
      </c>
      <c r="F192" s="1" t="n">
        <v>256</v>
      </c>
      <c r="G192" s="1" t="n">
        <v>256</v>
      </c>
      <c r="H192" s="1" t="n">
        <v>256</v>
      </c>
      <c r="I192" s="1" t="n">
        <v>256</v>
      </c>
      <c r="J192" s="1" t="n">
        <v>256</v>
      </c>
      <c r="K192" s="1" t="n">
        <v>256</v>
      </c>
      <c r="L192" s="1" t="n">
        <v>256</v>
      </c>
      <c r="M192" s="1" t="n">
        <v>256</v>
      </c>
      <c r="N192" s="1" t="n">
        <v>256</v>
      </c>
      <c r="O192" s="1" t="n">
        <v>256</v>
      </c>
      <c r="P192" s="1" t="n">
        <v>256</v>
      </c>
      <c r="Q192" s="1" t="n">
        <v>256</v>
      </c>
      <c r="R192" s="1" t="n">
        <v>256</v>
      </c>
      <c r="S192" s="1" t="n">
        <v>256</v>
      </c>
      <c r="T192" s="1" t="n">
        <v>256</v>
      </c>
      <c r="U192" s="1" t="n">
        <v>256</v>
      </c>
      <c r="V192" s="1" t="n">
        <v>256</v>
      </c>
      <c r="W192" s="1" t="n">
        <v>256</v>
      </c>
      <c r="X192" s="1" t="n">
        <v>256</v>
      </c>
      <c r="Y192" s="1" t="n">
        <v>256</v>
      </c>
      <c r="Z192" s="1" t="n">
        <v>256</v>
      </c>
      <c r="AA192" s="1" t="n">
        <v>256</v>
      </c>
      <c r="AB192" s="1" t="n">
        <v>256</v>
      </c>
      <c r="AC192" s="1" t="n">
        <v>256</v>
      </c>
      <c r="AD192" s="1" t="n">
        <v>256</v>
      </c>
      <c r="AE192" s="1" t="n">
        <v>256</v>
      </c>
      <c r="AF192" s="1" t="n">
        <v>256</v>
      </c>
      <c r="AG192" s="1" t="n">
        <v>256</v>
      </c>
      <c r="AH192" s="1" t="n">
        <v>256</v>
      </c>
      <c r="AI192" s="1" t="n">
        <v>256</v>
      </c>
      <c r="AJ192" s="1" t="n">
        <v>256</v>
      </c>
      <c r="AK192" s="1" t="n">
        <v>256</v>
      </c>
      <c r="AL192" s="1" t="n">
        <v>256</v>
      </c>
      <c r="AM192" s="1" t="n">
        <v>256</v>
      </c>
    </row>
    <row r="193" customFormat="false" ht="14.25" hidden="false" customHeight="false" outlineLevel="0" collapsed="false">
      <c r="A193" s="40" t="s">
        <v>65</v>
      </c>
      <c r="B193" s="10" t="s">
        <v>66</v>
      </c>
      <c r="C193" s="1" t="s">
        <v>67</v>
      </c>
    </row>
    <row r="194" customFormat="false" ht="14.25" hidden="false" customHeight="false" outlineLevel="0" collapsed="false">
      <c r="A194" s="40"/>
      <c r="B194" s="10" t="s">
        <v>68</v>
      </c>
      <c r="C194" s="1" t="s">
        <v>288</v>
      </c>
    </row>
    <row r="195" customFormat="false" ht="14.25" hidden="false" customHeight="false" outlineLevel="0" collapsed="false">
      <c r="A195" s="40" t="s">
        <v>71</v>
      </c>
      <c r="B195" s="3"/>
      <c r="C195" s="1" t="s">
        <v>289</v>
      </c>
      <c r="D195" s="0" t="s">
        <v>89</v>
      </c>
    </row>
    <row r="196" customFormat="false" ht="14.25" hidden="false" customHeight="false" outlineLevel="0" collapsed="false">
      <c r="A196" s="40" t="s">
        <v>74</v>
      </c>
      <c r="B196" s="10" t="s">
        <v>75</v>
      </c>
    </row>
    <row r="197" customFormat="false" ht="14.25" hidden="false" customHeight="false" outlineLevel="0" collapsed="false">
      <c r="A197" s="40"/>
      <c r="B197" s="10" t="s">
        <v>76</v>
      </c>
    </row>
    <row r="198" customFormat="false" ht="16.4" hidden="false" customHeight="false" outlineLevel="0" collapsed="false">
      <c r="A198" s="40"/>
      <c r="B198" s="10" t="s">
        <v>77</v>
      </c>
      <c r="C198" s="20" t="s">
        <v>290</v>
      </c>
    </row>
    <row r="199" customFormat="false" ht="14.25" hidden="false" customHeight="false" outlineLevel="0" collapsed="false">
      <c r="A199" s="42" t="s">
        <v>79</v>
      </c>
      <c r="B199" s="3"/>
    </row>
    <row r="200" customFormat="false" ht="14.25" hidden="false" customHeight="false" outlineLevel="0" collapsed="false">
      <c r="A200" s="43"/>
      <c r="B200" s="3"/>
    </row>
    <row r="201" customFormat="false" ht="14.25" hidden="false" customHeight="false" outlineLevel="0" collapsed="false">
      <c r="A201" s="44"/>
      <c r="B201" s="22"/>
      <c r="C201" s="17"/>
      <c r="D201" s="23"/>
    </row>
    <row r="202" customFormat="false" ht="14.25" hidden="false" customHeight="false" outlineLevel="0" collapsed="false">
      <c r="A202" s="45" t="s">
        <v>0</v>
      </c>
      <c r="B202" s="10" t="s">
        <v>1</v>
      </c>
      <c r="C202" s="19" t="s">
        <v>291</v>
      </c>
    </row>
    <row r="203" customFormat="false" ht="14.25" hidden="false" customHeight="false" outlineLevel="0" collapsed="false">
      <c r="A203" s="45"/>
      <c r="B203" s="10" t="s">
        <v>3</v>
      </c>
      <c r="C203" s="1" t="s">
        <v>292</v>
      </c>
    </row>
    <row r="204" customFormat="false" ht="16.4" hidden="false" customHeight="false" outlineLevel="0" collapsed="false">
      <c r="A204" s="45"/>
      <c r="B204" s="10" t="s">
        <v>5</v>
      </c>
      <c r="C204" s="13" t="s">
        <v>293</v>
      </c>
    </row>
    <row r="205" customFormat="false" ht="14.25" hidden="false" customHeight="false" outlineLevel="0" collapsed="false">
      <c r="A205" s="9" t="s">
        <v>7</v>
      </c>
      <c r="B205" s="10" t="s">
        <v>8</v>
      </c>
      <c r="C205" s="1" t="s">
        <v>294</v>
      </c>
    </row>
    <row r="206" customFormat="false" ht="14.25" hidden="false" customHeight="false" outlineLevel="0" collapsed="false">
      <c r="A206" s="9"/>
      <c r="B206" s="10" t="s">
        <v>10</v>
      </c>
      <c r="C206" s="1" t="s">
        <v>84</v>
      </c>
    </row>
    <row r="207" customFormat="false" ht="14.25" hidden="false" customHeight="false" outlineLevel="0" collapsed="false">
      <c r="A207" s="9" t="s">
        <v>13</v>
      </c>
      <c r="B207" s="10" t="s">
        <v>14</v>
      </c>
      <c r="C207" s="1" t="n">
        <v>255</v>
      </c>
    </row>
    <row r="208" customFormat="false" ht="14.25" hidden="false" customHeight="false" outlineLevel="0" collapsed="false">
      <c r="A208" s="9"/>
      <c r="B208" s="10" t="s">
        <v>15</v>
      </c>
      <c r="C208" s="1" t="s">
        <v>84</v>
      </c>
    </row>
    <row r="209" customFormat="false" ht="14.25" hidden="false" customHeight="false" outlineLevel="0" collapsed="false">
      <c r="A209" s="9"/>
      <c r="B209" s="10" t="s">
        <v>17</v>
      </c>
      <c r="C209" s="1" t="s">
        <v>84</v>
      </c>
    </row>
    <row r="210" customFormat="false" ht="14.25" hidden="false" customHeight="false" outlineLevel="0" collapsed="false">
      <c r="A210" s="9"/>
      <c r="B210" s="10" t="s">
        <v>19</v>
      </c>
      <c r="C210" s="1" t="s">
        <v>295</v>
      </c>
    </row>
    <row r="211" customFormat="false" ht="14.25" hidden="false" customHeight="false" outlineLevel="0" collapsed="false">
      <c r="A211" s="9" t="s">
        <v>22</v>
      </c>
      <c r="B211" s="10" t="s">
        <v>23</v>
      </c>
      <c r="C211" s="1" t="n">
        <v>255</v>
      </c>
    </row>
    <row r="212" customFormat="false" ht="14.25" hidden="false" customHeight="false" outlineLevel="0" collapsed="false">
      <c r="A212" s="9"/>
      <c r="B212" s="10" t="s">
        <v>25</v>
      </c>
      <c r="C212" s="1" t="n">
        <v>1</v>
      </c>
    </row>
    <row r="213" customFormat="false" ht="14.25" hidden="false" customHeight="false" outlineLevel="0" collapsed="false">
      <c r="A213" s="9"/>
      <c r="B213" s="10" t="s">
        <v>27</v>
      </c>
      <c r="C213" s="1" t="s">
        <v>296</v>
      </c>
      <c r="D213" s="0" t="s">
        <v>297</v>
      </c>
      <c r="E213" s="0" t="s">
        <v>298</v>
      </c>
      <c r="F213" s="0" t="s">
        <v>299</v>
      </c>
      <c r="G213" s="0" t="s">
        <v>300</v>
      </c>
      <c r="H213" s="0" t="s">
        <v>301</v>
      </c>
      <c r="I213" s="0" t="s">
        <v>302</v>
      </c>
      <c r="J213" s="0" t="s">
        <v>303</v>
      </c>
      <c r="K213" s="0" t="s">
        <v>304</v>
      </c>
      <c r="L213" s="0" t="s">
        <v>305</v>
      </c>
      <c r="M213" s="0" t="s">
        <v>306</v>
      </c>
      <c r="N213" s="0" t="s">
        <v>307</v>
      </c>
      <c r="O213" s="0" t="s">
        <v>308</v>
      </c>
      <c r="P213" s="0" t="s">
        <v>309</v>
      </c>
      <c r="Q213" s="0" t="s">
        <v>310</v>
      </c>
      <c r="R213" s="0" t="s">
        <v>311</v>
      </c>
      <c r="S213" s="8" t="s">
        <v>312</v>
      </c>
    </row>
    <row r="214" customFormat="false" ht="14.25" hidden="false" customHeight="false" outlineLevel="0" collapsed="false">
      <c r="A214" s="9"/>
      <c r="B214" s="10" t="s">
        <v>64</v>
      </c>
      <c r="C214" s="1" t="n">
        <v>256</v>
      </c>
      <c r="D214" s="1" t="n">
        <v>256</v>
      </c>
      <c r="E214" s="1" t="n">
        <v>256</v>
      </c>
      <c r="F214" s="1" t="n">
        <v>256</v>
      </c>
      <c r="G214" s="1" t="n">
        <v>256</v>
      </c>
      <c r="H214" s="1" t="n">
        <v>256</v>
      </c>
      <c r="I214" s="1" t="n">
        <v>256</v>
      </c>
      <c r="J214" s="1" t="n">
        <v>256</v>
      </c>
      <c r="K214" s="1" t="n">
        <v>256</v>
      </c>
      <c r="L214" s="1" t="n">
        <v>256</v>
      </c>
      <c r="M214" s="1" t="n">
        <v>256</v>
      </c>
      <c r="N214" s="1" t="n">
        <v>256</v>
      </c>
      <c r="O214" s="1" t="n">
        <v>256</v>
      </c>
      <c r="P214" s="1" t="n">
        <v>256</v>
      </c>
      <c r="Q214" s="1" t="n">
        <v>256</v>
      </c>
      <c r="R214" s="1" t="n">
        <v>256</v>
      </c>
      <c r="S214" s="1" t="n">
        <v>256</v>
      </c>
    </row>
    <row r="215" customFormat="false" ht="14.25" hidden="false" customHeight="false" outlineLevel="0" collapsed="false">
      <c r="A215" s="9" t="s">
        <v>65</v>
      </c>
      <c r="B215" s="10" t="s">
        <v>66</v>
      </c>
      <c r="C215" s="1" t="s">
        <v>67</v>
      </c>
    </row>
    <row r="216" customFormat="false" ht="14.25" hidden="false" customHeight="false" outlineLevel="0" collapsed="false">
      <c r="A216" s="9"/>
      <c r="B216" s="10" t="s">
        <v>68</v>
      </c>
      <c r="C216" s="1" t="s">
        <v>84</v>
      </c>
    </row>
    <row r="217" customFormat="false" ht="14.25" hidden="false" customHeight="false" outlineLevel="0" collapsed="false">
      <c r="A217" s="9" t="s">
        <v>71</v>
      </c>
      <c r="B217" s="3"/>
      <c r="C217" s="1" t="s">
        <v>313</v>
      </c>
      <c r="D217" s="0" t="s">
        <v>314</v>
      </c>
    </row>
    <row r="218" customFormat="false" ht="14.25" hidden="false" customHeight="false" outlineLevel="0" collapsed="false">
      <c r="A218" s="9" t="s">
        <v>74</v>
      </c>
      <c r="B218" s="10" t="s">
        <v>75</v>
      </c>
    </row>
    <row r="219" customFormat="false" ht="14.25" hidden="false" customHeight="false" outlineLevel="0" collapsed="false">
      <c r="A219" s="9"/>
      <c r="B219" s="10" t="s">
        <v>76</v>
      </c>
    </row>
    <row r="220" customFormat="false" ht="16.4" hidden="false" customHeight="false" outlineLevel="0" collapsed="false">
      <c r="A220" s="9"/>
      <c r="B220" s="10" t="s">
        <v>77</v>
      </c>
      <c r="C220" s="20" t="s">
        <v>315</v>
      </c>
    </row>
    <row r="221" customFormat="false" ht="14.25" hidden="false" customHeight="false" outlineLevel="0" collapsed="false">
      <c r="A221" s="16" t="s">
        <v>79</v>
      </c>
      <c r="B221" s="3"/>
    </row>
    <row r="222" customFormat="false" ht="14.25" hidden="false" customHeight="false" outlineLevel="0" collapsed="false">
      <c r="A222" s="2"/>
      <c r="B222" s="3" t="s">
        <v>316</v>
      </c>
      <c r="C222" s="24" t="s">
        <v>317</v>
      </c>
    </row>
    <row r="223" customFormat="false" ht="14.25" hidden="false" customHeight="false" outlineLevel="0" collapsed="false">
      <c r="A223" s="21"/>
      <c r="B223" s="22"/>
      <c r="C223" s="17"/>
      <c r="D223" s="23"/>
    </row>
    <row r="224" customFormat="false" ht="14.25" hidden="false" customHeight="false" outlineLevel="0" collapsed="false">
      <c r="A224" s="9" t="s">
        <v>0</v>
      </c>
      <c r="B224" s="10" t="s">
        <v>1</v>
      </c>
      <c r="C224" s="19" t="s">
        <v>318</v>
      </c>
    </row>
    <row r="225" customFormat="false" ht="14.25" hidden="false" customHeight="false" outlineLevel="0" collapsed="false">
      <c r="A225" s="9"/>
      <c r="B225" s="10" t="s">
        <v>3</v>
      </c>
      <c r="C225" s="1" t="n">
        <v>2020</v>
      </c>
    </row>
    <row r="226" customFormat="false" ht="16.4" hidden="false" customHeight="false" outlineLevel="0" collapsed="false">
      <c r="A226" s="9"/>
      <c r="B226" s="10" t="s">
        <v>5</v>
      </c>
      <c r="C226" s="13" t="s">
        <v>319</v>
      </c>
    </row>
    <row r="227" customFormat="false" ht="14.25" hidden="false" customHeight="false" outlineLevel="0" collapsed="false">
      <c r="A227" s="9" t="s">
        <v>7</v>
      </c>
      <c r="B227" s="10" t="s">
        <v>8</v>
      </c>
      <c r="C227" s="1" t="s">
        <v>320</v>
      </c>
    </row>
    <row r="228" customFormat="false" ht="14.25" hidden="false" customHeight="false" outlineLevel="0" collapsed="false">
      <c r="A228" s="9"/>
      <c r="B228" s="10" t="s">
        <v>10</v>
      </c>
      <c r="C228" s="1" t="s">
        <v>84</v>
      </c>
    </row>
    <row r="229" customFormat="false" ht="14.25" hidden="false" customHeight="false" outlineLevel="0" collapsed="false">
      <c r="A229" s="9" t="s">
        <v>13</v>
      </c>
      <c r="B229" s="10" t="s">
        <v>14</v>
      </c>
      <c r="C229" s="1" t="n">
        <v>25</v>
      </c>
    </row>
    <row r="230" customFormat="false" ht="14.25" hidden="false" customHeight="false" outlineLevel="0" collapsed="false">
      <c r="A230" s="9"/>
      <c r="B230" s="10" t="s">
        <v>15</v>
      </c>
      <c r="C230" s="1" t="s">
        <v>321</v>
      </c>
      <c r="D230" s="0" t="s">
        <v>322</v>
      </c>
    </row>
    <row r="231" customFormat="false" ht="14.25" hidden="false" customHeight="false" outlineLevel="0" collapsed="false">
      <c r="A231" s="9"/>
      <c r="B231" s="10" t="s">
        <v>17</v>
      </c>
      <c r="C231" s="46" t="n">
        <v>45462</v>
      </c>
    </row>
    <row r="232" customFormat="false" ht="14.25" hidden="false" customHeight="false" outlineLevel="0" collapsed="false">
      <c r="A232" s="9"/>
      <c r="B232" s="10" t="s">
        <v>19</v>
      </c>
      <c r="C232" s="1" t="s">
        <v>87</v>
      </c>
    </row>
    <row r="233" customFormat="false" ht="14.25" hidden="false" customHeight="false" outlineLevel="0" collapsed="false">
      <c r="A233" s="9" t="s">
        <v>22</v>
      </c>
      <c r="B233" s="10" t="s">
        <v>23</v>
      </c>
      <c r="C233" s="1" t="n">
        <v>25</v>
      </c>
    </row>
    <row r="234" customFormat="false" ht="14.25" hidden="false" customHeight="false" outlineLevel="0" collapsed="false">
      <c r="A234" s="9"/>
      <c r="B234" s="10" t="s">
        <v>25</v>
      </c>
      <c r="C234" s="1" t="n">
        <v>1</v>
      </c>
    </row>
    <row r="235" customFormat="false" ht="14.25" hidden="false" customHeight="false" outlineLevel="0" collapsed="false">
      <c r="A235" s="9"/>
      <c r="B235" s="10" t="s">
        <v>27</v>
      </c>
      <c r="C235" s="1" t="s">
        <v>323</v>
      </c>
      <c r="D235" s="0" t="s">
        <v>324</v>
      </c>
      <c r="E235" s="0" t="s">
        <v>325</v>
      </c>
      <c r="F235" s="0" t="s">
        <v>326</v>
      </c>
      <c r="G235" s="0" t="s">
        <v>327</v>
      </c>
      <c r="H235" s="0" t="s">
        <v>328</v>
      </c>
      <c r="I235" s="0" t="s">
        <v>329</v>
      </c>
      <c r="J235" s="0" t="s">
        <v>330</v>
      </c>
      <c r="K235" s="0" t="s">
        <v>331</v>
      </c>
      <c r="L235" s="0" t="s">
        <v>332</v>
      </c>
      <c r="M235" s="0" t="s">
        <v>333</v>
      </c>
      <c r="N235" s="0" t="s">
        <v>334</v>
      </c>
      <c r="O235" s="0" t="s">
        <v>135</v>
      </c>
      <c r="P235" s="0" t="s">
        <v>335</v>
      </c>
      <c r="Q235" s="0" t="s">
        <v>336</v>
      </c>
      <c r="R235" s="0" t="s">
        <v>134</v>
      </c>
    </row>
    <row r="236" customFormat="false" ht="14.25" hidden="false" customHeight="false" outlineLevel="0" collapsed="false">
      <c r="A236" s="9"/>
      <c r="B236" s="10" t="s">
        <v>64</v>
      </c>
      <c r="C236" s="1" t="n">
        <v>250</v>
      </c>
      <c r="D236" s="1" t="n">
        <v>250</v>
      </c>
      <c r="E236" s="1" t="n">
        <v>250</v>
      </c>
      <c r="F236" s="1" t="n">
        <v>250</v>
      </c>
      <c r="G236" s="1" t="n">
        <v>250</v>
      </c>
      <c r="H236" s="1" t="n">
        <v>250</v>
      </c>
      <c r="I236" s="1" t="n">
        <v>250</v>
      </c>
      <c r="J236" s="1" t="n">
        <v>250</v>
      </c>
      <c r="K236" s="1" t="n">
        <v>250</v>
      </c>
      <c r="L236" s="1" t="n">
        <v>250</v>
      </c>
      <c r="M236" s="1" t="n">
        <v>250</v>
      </c>
      <c r="N236" s="1" t="n">
        <v>250</v>
      </c>
      <c r="O236" s="1" t="n">
        <v>250</v>
      </c>
      <c r="P236" s="1" t="n">
        <v>250</v>
      </c>
      <c r="Q236" s="1" t="n">
        <v>250</v>
      </c>
      <c r="R236" s="1" t="n">
        <v>250</v>
      </c>
    </row>
    <row r="237" customFormat="false" ht="14.25" hidden="false" customHeight="false" outlineLevel="0" collapsed="false">
      <c r="A237" s="9" t="s">
        <v>65</v>
      </c>
      <c r="B237" s="10" t="s">
        <v>66</v>
      </c>
      <c r="C237" s="1" t="s">
        <v>337</v>
      </c>
    </row>
    <row r="238" customFormat="false" ht="14.25" hidden="false" customHeight="false" outlineLevel="0" collapsed="false">
      <c r="A238" s="9"/>
      <c r="B238" s="10" t="s">
        <v>68</v>
      </c>
      <c r="C238" s="1" t="s">
        <v>84</v>
      </c>
    </row>
    <row r="239" customFormat="false" ht="14.25" hidden="false" customHeight="false" outlineLevel="0" collapsed="false">
      <c r="A239" s="9" t="s">
        <v>71</v>
      </c>
      <c r="B239" s="3"/>
      <c r="C239" s="1" t="s">
        <v>338</v>
      </c>
    </row>
    <row r="240" customFormat="false" ht="14.25" hidden="false" customHeight="false" outlineLevel="0" collapsed="false">
      <c r="A240" s="9" t="s">
        <v>74</v>
      </c>
      <c r="B240" s="10" t="s">
        <v>75</v>
      </c>
    </row>
    <row r="241" customFormat="false" ht="14.25" hidden="false" customHeight="false" outlineLevel="0" collapsed="false">
      <c r="A241" s="9"/>
      <c r="B241" s="10" t="s">
        <v>76</v>
      </c>
    </row>
    <row r="242" customFormat="false" ht="16.4" hidden="false" customHeight="false" outlineLevel="0" collapsed="false">
      <c r="A242" s="9"/>
      <c r="B242" s="10" t="s">
        <v>77</v>
      </c>
      <c r="C242" s="20" t="s">
        <v>339</v>
      </c>
    </row>
    <row r="243" customFormat="false" ht="16.4" hidden="false" customHeight="false" outlineLevel="0" collapsed="false">
      <c r="A243" s="16" t="s">
        <v>79</v>
      </c>
      <c r="B243" s="3"/>
      <c r="C243" s="13" t="s">
        <v>340</v>
      </c>
    </row>
    <row r="244" customFormat="false" ht="14.25" hidden="false" customHeight="false" outlineLevel="0" collapsed="false">
      <c r="A244" s="2"/>
      <c r="B244" s="3"/>
    </row>
    <row r="245" customFormat="false" ht="14.25" hidden="false" customHeight="false" outlineLevel="0" collapsed="false">
      <c r="A245" s="21"/>
      <c r="B245" s="22"/>
      <c r="C245" s="17"/>
      <c r="D245" s="23"/>
    </row>
    <row r="246" customFormat="false" ht="14.25" hidden="false" customHeight="false" outlineLevel="0" collapsed="false">
      <c r="A246" s="9" t="s">
        <v>0</v>
      </c>
      <c r="B246" s="10" t="s">
        <v>1</v>
      </c>
      <c r="C246" s="19" t="s">
        <v>341</v>
      </c>
    </row>
    <row r="247" customFormat="false" ht="14.25" hidden="false" customHeight="false" outlineLevel="0" collapsed="false">
      <c r="A247" s="9"/>
      <c r="B247" s="10" t="s">
        <v>3</v>
      </c>
      <c r="C247" s="1" t="n">
        <v>2020</v>
      </c>
    </row>
    <row r="248" customFormat="false" ht="16.4" hidden="false" customHeight="false" outlineLevel="0" collapsed="false">
      <c r="A248" s="9"/>
      <c r="B248" s="10" t="s">
        <v>5</v>
      </c>
      <c r="C248" s="13" t="s">
        <v>342</v>
      </c>
    </row>
    <row r="249" customFormat="false" ht="14.25" hidden="false" customHeight="false" outlineLevel="0" collapsed="false">
      <c r="A249" s="9" t="s">
        <v>7</v>
      </c>
      <c r="B249" s="10" t="s">
        <v>8</v>
      </c>
      <c r="C249" s="1" t="s">
        <v>320</v>
      </c>
    </row>
    <row r="250" customFormat="false" ht="14.25" hidden="false" customHeight="false" outlineLevel="0" collapsed="false">
      <c r="A250" s="9"/>
      <c r="B250" s="10" t="s">
        <v>10</v>
      </c>
      <c r="C250" s="1" t="s">
        <v>84</v>
      </c>
    </row>
    <row r="251" customFormat="false" ht="14.25" hidden="false" customHeight="false" outlineLevel="0" collapsed="false">
      <c r="A251" s="9" t="s">
        <v>13</v>
      </c>
      <c r="B251" s="10" t="s">
        <v>14</v>
      </c>
      <c r="C251" s="1" t="n">
        <v>55</v>
      </c>
    </row>
    <row r="252" customFormat="false" ht="14.25" hidden="false" customHeight="false" outlineLevel="0" collapsed="false">
      <c r="A252" s="9"/>
      <c r="B252" s="10" t="s">
        <v>15</v>
      </c>
      <c r="D252" s="0" t="s">
        <v>343</v>
      </c>
    </row>
    <row r="253" customFormat="false" ht="14.25" hidden="false" customHeight="false" outlineLevel="0" collapsed="false">
      <c r="A253" s="9"/>
      <c r="B253" s="10" t="s">
        <v>17</v>
      </c>
      <c r="C253" s="1" t="s">
        <v>344</v>
      </c>
    </row>
    <row r="254" customFormat="false" ht="14.25" hidden="false" customHeight="false" outlineLevel="0" collapsed="false">
      <c r="A254" s="9"/>
      <c r="B254" s="10" t="s">
        <v>19</v>
      </c>
      <c r="C254" s="1" t="s">
        <v>345</v>
      </c>
    </row>
    <row r="255" customFormat="false" ht="14.25" hidden="false" customHeight="false" outlineLevel="0" collapsed="false">
      <c r="A255" s="9" t="s">
        <v>22</v>
      </c>
      <c r="B255" s="10" t="s">
        <v>23</v>
      </c>
      <c r="C255" s="1" t="n">
        <v>57</v>
      </c>
    </row>
    <row r="256" customFormat="false" ht="14.25" hidden="false" customHeight="false" outlineLevel="0" collapsed="false">
      <c r="A256" s="9"/>
      <c r="B256" s="10" t="s">
        <v>25</v>
      </c>
      <c r="C256" s="1" t="n">
        <v>1</v>
      </c>
      <c r="D256" s="47"/>
    </row>
    <row r="257" customFormat="false" ht="14.25" hidden="false" customHeight="false" outlineLevel="0" collapsed="false">
      <c r="A257" s="9"/>
      <c r="B257" s="10" t="s">
        <v>27</v>
      </c>
      <c r="C257" s="1" t="s">
        <v>323</v>
      </c>
      <c r="D257" s="0" t="s">
        <v>346</v>
      </c>
      <c r="E257" s="0" t="s">
        <v>325</v>
      </c>
      <c r="F257" s="0" t="s">
        <v>326</v>
      </c>
      <c r="G257" s="0" t="s">
        <v>327</v>
      </c>
      <c r="H257" s="0" t="s">
        <v>328</v>
      </c>
      <c r="I257" s="0" t="s">
        <v>347</v>
      </c>
      <c r="J257" s="0" t="s">
        <v>348</v>
      </c>
      <c r="K257" s="0" t="s">
        <v>135</v>
      </c>
      <c r="L257" s="0" t="s">
        <v>349</v>
      </c>
      <c r="M257" s="0" t="s">
        <v>350</v>
      </c>
      <c r="N257" s="0" t="s">
        <v>134</v>
      </c>
    </row>
    <row r="258" customFormat="false" ht="14.25" hidden="false" customHeight="false" outlineLevel="0" collapsed="false">
      <c r="A258" s="9"/>
      <c r="B258" s="10" t="s">
        <v>64</v>
      </c>
      <c r="C258" s="1" t="n">
        <v>250</v>
      </c>
      <c r="D258" s="1" t="n">
        <v>250</v>
      </c>
      <c r="E258" s="1" t="n">
        <v>250</v>
      </c>
      <c r="F258" s="1" t="n">
        <v>250</v>
      </c>
      <c r="G258" s="1" t="n">
        <v>250</v>
      </c>
      <c r="H258" s="1" t="n">
        <v>250</v>
      </c>
      <c r="I258" s="1" t="n">
        <v>250</v>
      </c>
      <c r="J258" s="1" t="n">
        <v>250</v>
      </c>
      <c r="K258" s="1" t="n">
        <v>250</v>
      </c>
      <c r="L258" s="1" t="n">
        <v>250</v>
      </c>
      <c r="M258" s="1" t="n">
        <v>250</v>
      </c>
      <c r="N258" s="1" t="n">
        <v>250</v>
      </c>
    </row>
    <row r="259" customFormat="false" ht="14.25" hidden="false" customHeight="false" outlineLevel="0" collapsed="false">
      <c r="A259" s="9" t="s">
        <v>65</v>
      </c>
      <c r="B259" s="10" t="s">
        <v>66</v>
      </c>
      <c r="C259" s="1" t="s">
        <v>337</v>
      </c>
    </row>
    <row r="260" customFormat="false" ht="14.25" hidden="false" customHeight="false" outlineLevel="0" collapsed="false">
      <c r="A260" s="9"/>
      <c r="B260" s="10" t="s">
        <v>68</v>
      </c>
      <c r="C260" s="1" t="s">
        <v>84</v>
      </c>
    </row>
    <row r="261" customFormat="false" ht="14.25" hidden="false" customHeight="false" outlineLevel="0" collapsed="false">
      <c r="A261" s="9" t="s">
        <v>71</v>
      </c>
      <c r="B261" s="3"/>
      <c r="C261" s="1" t="s">
        <v>338</v>
      </c>
    </row>
    <row r="262" customFormat="false" ht="14.25" hidden="false" customHeight="false" outlineLevel="0" collapsed="false">
      <c r="A262" s="9" t="s">
        <v>74</v>
      </c>
      <c r="B262" s="10" t="s">
        <v>75</v>
      </c>
    </row>
    <row r="263" customFormat="false" ht="14.25" hidden="false" customHeight="false" outlineLevel="0" collapsed="false">
      <c r="A263" s="9"/>
      <c r="B263" s="10" t="s">
        <v>76</v>
      </c>
    </row>
    <row r="264" customFormat="false" ht="16.4" hidden="false" customHeight="false" outlineLevel="0" collapsed="false">
      <c r="A264" s="9"/>
      <c r="B264" s="10" t="s">
        <v>77</v>
      </c>
      <c r="C264" s="20" t="s">
        <v>339</v>
      </c>
      <c r="O264" s="48"/>
    </row>
    <row r="265" customFormat="false" ht="16.4" hidden="false" customHeight="false" outlineLevel="0" collapsed="false">
      <c r="A265" s="16" t="s">
        <v>79</v>
      </c>
      <c r="B265" s="3"/>
      <c r="C265" s="13" t="s">
        <v>340</v>
      </c>
    </row>
    <row r="266" customFormat="false" ht="14.25" hidden="false" customHeight="false" outlineLevel="0" collapsed="false">
      <c r="A266" s="2"/>
      <c r="B266" s="3"/>
    </row>
    <row r="267" customFormat="false" ht="14.25" hidden="false" customHeight="false" outlineLevel="0" collapsed="false">
      <c r="A267" s="21"/>
      <c r="B267" s="22"/>
      <c r="C267" s="17"/>
      <c r="D267" s="23"/>
    </row>
    <row r="268" customFormat="false" ht="14.25" hidden="false" customHeight="false" outlineLevel="0" collapsed="false">
      <c r="A268" s="9" t="s">
        <v>0</v>
      </c>
      <c r="B268" s="10" t="s">
        <v>1</v>
      </c>
      <c r="C268" s="19" t="s">
        <v>351</v>
      </c>
    </row>
    <row r="269" customFormat="false" ht="14.25" hidden="false" customHeight="false" outlineLevel="0" collapsed="false">
      <c r="A269" s="9"/>
      <c r="B269" s="10" t="s">
        <v>3</v>
      </c>
      <c r="C269" s="1" t="n">
        <v>2022</v>
      </c>
    </row>
    <row r="270" customFormat="false" ht="16.4" hidden="false" customHeight="false" outlineLevel="0" collapsed="false">
      <c r="A270" s="9"/>
      <c r="B270" s="10" t="s">
        <v>5</v>
      </c>
      <c r="C270" s="13" t="s">
        <v>352</v>
      </c>
    </row>
    <row r="271" customFormat="false" ht="14.25" hidden="false" customHeight="false" outlineLevel="0" collapsed="false">
      <c r="A271" s="9" t="s">
        <v>7</v>
      </c>
      <c r="B271" s="10" t="s">
        <v>8</v>
      </c>
      <c r="C271" s="1" t="s">
        <v>353</v>
      </c>
    </row>
    <row r="272" customFormat="false" ht="14.25" hidden="false" customHeight="false" outlineLevel="0" collapsed="false">
      <c r="A272" s="9"/>
      <c r="B272" s="10" t="s">
        <v>10</v>
      </c>
      <c r="C272" s="1" t="s">
        <v>84</v>
      </c>
    </row>
    <row r="273" customFormat="false" ht="14.25" hidden="false" customHeight="false" outlineLevel="0" collapsed="false">
      <c r="A273" s="9" t="s">
        <v>13</v>
      </c>
      <c r="B273" s="10" t="s">
        <v>14</v>
      </c>
      <c r="C273" s="1" t="n">
        <v>100</v>
      </c>
    </row>
    <row r="274" customFormat="false" ht="14.25" hidden="false" customHeight="false" outlineLevel="0" collapsed="false">
      <c r="A274" s="9"/>
      <c r="B274" s="10" t="s">
        <v>15</v>
      </c>
      <c r="D274" s="0" t="s">
        <v>354</v>
      </c>
    </row>
    <row r="275" customFormat="false" ht="14.25" hidden="false" customHeight="false" outlineLevel="0" collapsed="false">
      <c r="A275" s="9"/>
      <c r="B275" s="10" t="s">
        <v>17</v>
      </c>
      <c r="C275" s="1" t="s">
        <v>84</v>
      </c>
    </row>
    <row r="276" customFormat="false" ht="14.25" hidden="false" customHeight="false" outlineLevel="0" collapsed="false">
      <c r="A276" s="9"/>
      <c r="B276" s="10" t="s">
        <v>19</v>
      </c>
      <c r="C276" s="1" t="s">
        <v>355</v>
      </c>
    </row>
    <row r="277" customFormat="false" ht="14.25" hidden="false" customHeight="false" outlineLevel="0" collapsed="false">
      <c r="A277" s="9" t="s">
        <v>22</v>
      </c>
      <c r="B277" s="10" t="s">
        <v>23</v>
      </c>
      <c r="C277" s="1" t="n">
        <v>100</v>
      </c>
    </row>
    <row r="278" customFormat="false" ht="14.25" hidden="false" customHeight="false" outlineLevel="0" collapsed="false">
      <c r="A278" s="9"/>
      <c r="B278" s="10" t="s">
        <v>25</v>
      </c>
      <c r="C278" s="1" t="n">
        <v>1</v>
      </c>
    </row>
    <row r="279" customFormat="false" ht="14.25" hidden="false" customHeight="false" outlineLevel="0" collapsed="false">
      <c r="A279" s="9"/>
      <c r="B279" s="10" t="s">
        <v>27</v>
      </c>
      <c r="C279" s="1" t="s">
        <v>356</v>
      </c>
      <c r="D279" s="0" t="s">
        <v>357</v>
      </c>
      <c r="E279" s="0" t="s">
        <v>358</v>
      </c>
      <c r="F279" s="1" t="s">
        <v>359</v>
      </c>
      <c r="G279" s="0" t="s">
        <v>360</v>
      </c>
      <c r="H279" s="0" t="s">
        <v>361</v>
      </c>
      <c r="I279" s="0" t="s">
        <v>362</v>
      </c>
      <c r="L279" s="1"/>
      <c r="M279" s="1"/>
    </row>
    <row r="280" customFormat="false" ht="14.25" hidden="false" customHeight="false" outlineLevel="0" collapsed="false">
      <c r="A280" s="9"/>
      <c r="B280" s="10" t="s">
        <v>64</v>
      </c>
      <c r="C280" s="1" t="n">
        <v>64</v>
      </c>
      <c r="D280" s="1" t="n">
        <v>64</v>
      </c>
      <c r="E280" s="1" t="n">
        <v>64</v>
      </c>
      <c r="F280" s="1" t="n">
        <v>64</v>
      </c>
      <c r="G280" s="1" t="n">
        <v>64</v>
      </c>
      <c r="H280" s="1" t="n">
        <v>64</v>
      </c>
      <c r="I280" s="1" t="n">
        <v>64</v>
      </c>
    </row>
    <row r="281" customFormat="false" ht="14.25" hidden="false" customHeight="false" outlineLevel="0" collapsed="false">
      <c r="A281" s="9" t="s">
        <v>65</v>
      </c>
      <c r="B281" s="10" t="s">
        <v>66</v>
      </c>
      <c r="C281" s="1" t="s">
        <v>67</v>
      </c>
    </row>
    <row r="282" customFormat="false" ht="14.25" hidden="false" customHeight="false" outlineLevel="0" collapsed="false">
      <c r="A282" s="9"/>
      <c r="B282" s="10" t="s">
        <v>68</v>
      </c>
      <c r="C282" s="1" t="s">
        <v>363</v>
      </c>
    </row>
    <row r="283" customFormat="false" ht="14.25" hidden="false" customHeight="false" outlineLevel="0" collapsed="false">
      <c r="A283" s="9" t="s">
        <v>71</v>
      </c>
      <c r="B283" s="3"/>
      <c r="C283" s="1" t="s">
        <v>103</v>
      </c>
    </row>
    <row r="284" customFormat="false" ht="14.25" hidden="false" customHeight="false" outlineLevel="0" collapsed="false">
      <c r="A284" s="9" t="s">
        <v>74</v>
      </c>
      <c r="B284" s="10" t="s">
        <v>75</v>
      </c>
    </row>
    <row r="285" customFormat="false" ht="14.25" hidden="false" customHeight="false" outlineLevel="0" collapsed="false">
      <c r="A285" s="9"/>
      <c r="B285" s="10" t="s">
        <v>76</v>
      </c>
    </row>
    <row r="286" customFormat="false" ht="16.4" hidden="false" customHeight="false" outlineLevel="0" collapsed="false">
      <c r="A286" s="9"/>
      <c r="B286" s="10" t="s">
        <v>77</v>
      </c>
      <c r="C286" s="20" t="s">
        <v>364</v>
      </c>
    </row>
    <row r="287" customFormat="false" ht="14.25" hidden="false" customHeight="false" outlineLevel="0" collapsed="false">
      <c r="A287" s="16" t="s">
        <v>79</v>
      </c>
      <c r="B287" s="3"/>
    </row>
    <row r="288" customFormat="false" ht="14.25" hidden="false" customHeight="false" outlineLevel="0" collapsed="false">
      <c r="A288" s="2"/>
      <c r="B288" s="3"/>
    </row>
    <row r="289" customFormat="false" ht="14.25" hidden="false" customHeight="false" outlineLevel="0" collapsed="false">
      <c r="A289" s="4"/>
      <c r="B289" s="5"/>
      <c r="C289" s="17"/>
      <c r="D289" s="23"/>
    </row>
    <row r="290" customFormat="false" ht="14.25" hidden="false" customHeight="false" outlineLevel="0" collapsed="false">
      <c r="A290" s="9" t="s">
        <v>0</v>
      </c>
      <c r="B290" s="10" t="s">
        <v>1</v>
      </c>
      <c r="C290" s="19" t="s">
        <v>365</v>
      </c>
    </row>
    <row r="291" customFormat="false" ht="14.25" hidden="false" customHeight="false" outlineLevel="0" collapsed="false">
      <c r="A291" s="9"/>
      <c r="B291" s="10" t="s">
        <v>3</v>
      </c>
      <c r="C291" s="1" t="s">
        <v>366</v>
      </c>
    </row>
    <row r="292" customFormat="false" ht="16.4" hidden="false" customHeight="false" outlineLevel="0" collapsed="false">
      <c r="A292" s="9"/>
      <c r="B292" s="10" t="s">
        <v>5</v>
      </c>
      <c r="C292" s="13" t="s">
        <v>367</v>
      </c>
      <c r="K292" s="48"/>
    </row>
    <row r="293" customFormat="false" ht="14.25" hidden="false" customHeight="false" outlineLevel="0" collapsed="false">
      <c r="A293" s="9" t="s">
        <v>7</v>
      </c>
      <c r="B293" s="10" t="s">
        <v>8</v>
      </c>
      <c r="C293" s="1" t="s">
        <v>368</v>
      </c>
    </row>
    <row r="294" customFormat="false" ht="14.25" hidden="false" customHeight="false" outlineLevel="0" collapsed="false">
      <c r="A294" s="9"/>
      <c r="B294" s="10" t="s">
        <v>10</v>
      </c>
      <c r="C294" s="1" t="s">
        <v>369</v>
      </c>
    </row>
    <row r="295" customFormat="false" ht="14.25" hidden="false" customHeight="false" outlineLevel="0" collapsed="false">
      <c r="A295" s="9" t="s">
        <v>13</v>
      </c>
      <c r="B295" s="10" t="s">
        <v>14</v>
      </c>
      <c r="C295" s="1" t="n">
        <v>28</v>
      </c>
    </row>
    <row r="296" customFormat="false" ht="14.25" hidden="false" customHeight="false" outlineLevel="0" collapsed="false">
      <c r="A296" s="9"/>
      <c r="B296" s="10" t="s">
        <v>15</v>
      </c>
      <c r="C296" s="1" t="s">
        <v>370</v>
      </c>
      <c r="N296" s="0" t="s">
        <v>159</v>
      </c>
    </row>
    <row r="297" customFormat="false" ht="14.25" hidden="false" customHeight="false" outlineLevel="0" collapsed="false">
      <c r="A297" s="9"/>
      <c r="B297" s="10" t="s">
        <v>17</v>
      </c>
      <c r="C297" s="1" t="s">
        <v>371</v>
      </c>
      <c r="N297" s="0" t="s">
        <v>159</v>
      </c>
    </row>
    <row r="298" customFormat="false" ht="14.25" hidden="false" customHeight="false" outlineLevel="0" collapsed="false">
      <c r="A298" s="9"/>
      <c r="B298" s="10" t="s">
        <v>19</v>
      </c>
      <c r="C298" s="1" t="s">
        <v>87</v>
      </c>
      <c r="N298" s="0" t="s">
        <v>159</v>
      </c>
    </row>
    <row r="299" customFormat="false" ht="14.25" hidden="false" customHeight="false" outlineLevel="0" collapsed="false">
      <c r="A299" s="9" t="s">
        <v>22</v>
      </c>
      <c r="B299" s="10" t="s">
        <v>23</v>
      </c>
      <c r="C299" s="1" t="n">
        <v>868</v>
      </c>
      <c r="N299" s="0" t="s">
        <v>159</v>
      </c>
    </row>
    <row r="300" customFormat="false" ht="14.25" hidden="false" customHeight="false" outlineLevel="0" collapsed="false">
      <c r="A300" s="9"/>
      <c r="B300" s="10" t="s">
        <v>25</v>
      </c>
      <c r="C300" s="1" t="n">
        <v>31</v>
      </c>
      <c r="N300" s="0" t="s">
        <v>159</v>
      </c>
    </row>
    <row r="301" customFormat="false" ht="14.25" hidden="false" customHeight="false" outlineLevel="0" collapsed="false">
      <c r="A301" s="9"/>
      <c r="B301" s="10" t="s">
        <v>27</v>
      </c>
      <c r="C301" s="1" t="s">
        <v>372</v>
      </c>
      <c r="D301" s="1" t="s">
        <v>373</v>
      </c>
      <c r="E301" s="1" t="s">
        <v>374</v>
      </c>
      <c r="F301" s="1" t="s">
        <v>375</v>
      </c>
      <c r="G301" s="1" t="s">
        <v>376</v>
      </c>
      <c r="H301" s="1" t="s">
        <v>377</v>
      </c>
      <c r="I301" s="1" t="s">
        <v>378</v>
      </c>
      <c r="J301" s="1" t="s">
        <v>379</v>
      </c>
      <c r="K301" s="1" t="s">
        <v>380</v>
      </c>
      <c r="L301" s="1" t="s">
        <v>381</v>
      </c>
      <c r="M301" s="1" t="s">
        <v>134</v>
      </c>
      <c r="N301" s="1" t="s">
        <v>382</v>
      </c>
      <c r="O301" s="1" t="s">
        <v>382</v>
      </c>
      <c r="P301" s="1" t="s">
        <v>383</v>
      </c>
      <c r="Q301" s="1" t="s">
        <v>384</v>
      </c>
      <c r="R301" s="1" t="s">
        <v>385</v>
      </c>
      <c r="S301" s="1" t="s">
        <v>386</v>
      </c>
      <c r="T301" s="1" t="s">
        <v>386</v>
      </c>
      <c r="U301" s="1" t="s">
        <v>387</v>
      </c>
      <c r="V301" s="1" t="s">
        <v>388</v>
      </c>
      <c r="W301" s="1" t="s">
        <v>389</v>
      </c>
      <c r="X301" s="1" t="s">
        <v>390</v>
      </c>
      <c r="Y301" s="1" t="s">
        <v>391</v>
      </c>
      <c r="Z301" s="1" t="s">
        <v>392</v>
      </c>
      <c r="AA301" s="1" t="s">
        <v>393</v>
      </c>
      <c r="AB301" s="1" t="s">
        <v>394</v>
      </c>
      <c r="AC301" s="1" t="s">
        <v>395</v>
      </c>
    </row>
    <row r="302" customFormat="false" ht="14.25" hidden="false" customHeight="false" outlineLevel="0" collapsed="false">
      <c r="A302" s="9"/>
      <c r="B302" s="10" t="s">
        <v>64</v>
      </c>
      <c r="C302" s="1" t="n">
        <v>128</v>
      </c>
      <c r="D302" s="1" t="n">
        <v>128</v>
      </c>
      <c r="E302" s="1" t="n">
        <v>256</v>
      </c>
      <c r="F302" s="1" t="n">
        <v>128</v>
      </c>
      <c r="G302" s="1" t="n">
        <v>128</v>
      </c>
      <c r="H302" s="1" t="n">
        <v>256</v>
      </c>
      <c r="I302" s="1" t="n">
        <v>128</v>
      </c>
      <c r="J302" s="1" t="n">
        <v>256</v>
      </c>
      <c r="K302" s="1" t="n">
        <v>256</v>
      </c>
      <c r="L302" s="1" t="n">
        <v>256</v>
      </c>
      <c r="M302" s="1" t="n">
        <v>256</v>
      </c>
      <c r="N302" s="1" t="n">
        <v>128</v>
      </c>
      <c r="O302" s="1" t="n">
        <v>256</v>
      </c>
      <c r="P302" s="1" t="n">
        <v>128</v>
      </c>
      <c r="Q302" s="1" t="n">
        <v>256</v>
      </c>
      <c r="R302" s="1" t="n">
        <v>64</v>
      </c>
      <c r="S302" s="1" t="n">
        <v>64</v>
      </c>
      <c r="T302" s="1" t="n">
        <v>128</v>
      </c>
      <c r="U302" s="1" t="s">
        <v>396</v>
      </c>
      <c r="V302" s="1" t="n">
        <v>128</v>
      </c>
      <c r="W302" s="1" t="n">
        <v>128</v>
      </c>
      <c r="X302" s="1" t="n">
        <v>128</v>
      </c>
      <c r="Y302" s="1" t="n">
        <v>256</v>
      </c>
      <c r="Z302" s="1" t="n">
        <v>128</v>
      </c>
      <c r="AA302" s="1" t="n">
        <v>256</v>
      </c>
      <c r="AB302" s="1" t="n">
        <v>64</v>
      </c>
      <c r="AC302" s="1" t="s">
        <v>397</v>
      </c>
    </row>
    <row r="303" customFormat="false" ht="14.25" hidden="false" customHeight="false" outlineLevel="0" collapsed="false">
      <c r="A303" s="9" t="s">
        <v>65</v>
      </c>
      <c r="B303" s="10" t="s">
        <v>66</v>
      </c>
      <c r="C303" s="1" t="s">
        <v>114</v>
      </c>
      <c r="N303" s="0" t="s">
        <v>159</v>
      </c>
    </row>
    <row r="304" customFormat="false" ht="14.25" hidden="false" customHeight="false" outlineLevel="0" collapsed="false">
      <c r="A304" s="9"/>
      <c r="B304" s="10" t="s">
        <v>68</v>
      </c>
      <c r="C304" s="1" t="s">
        <v>84</v>
      </c>
      <c r="N304" s="0" t="s">
        <v>159</v>
      </c>
    </row>
    <row r="305" customFormat="false" ht="14.25" hidden="false" customHeight="false" outlineLevel="0" collapsed="false">
      <c r="A305" s="9" t="s">
        <v>71</v>
      </c>
      <c r="B305" s="3"/>
      <c r="C305" s="1" t="s">
        <v>72</v>
      </c>
      <c r="D305" s="0" t="s">
        <v>103</v>
      </c>
      <c r="N305" s="0" t="s">
        <v>159</v>
      </c>
    </row>
    <row r="306" customFormat="false" ht="14.25" hidden="false" customHeight="false" outlineLevel="0" collapsed="false">
      <c r="A306" s="9" t="s">
        <v>74</v>
      </c>
      <c r="B306" s="10" t="s">
        <v>75</v>
      </c>
      <c r="N306" s="0" t="s">
        <v>159</v>
      </c>
    </row>
    <row r="307" customFormat="false" ht="14.25" hidden="false" customHeight="false" outlineLevel="0" collapsed="false">
      <c r="A307" s="9"/>
      <c r="B307" s="10" t="s">
        <v>76</v>
      </c>
      <c r="N307" s="0" t="s">
        <v>159</v>
      </c>
    </row>
    <row r="308" customFormat="false" ht="16.4" hidden="false" customHeight="false" outlineLevel="0" collapsed="false">
      <c r="A308" s="9"/>
      <c r="B308" s="10" t="s">
        <v>77</v>
      </c>
      <c r="C308" s="20" t="s">
        <v>398</v>
      </c>
      <c r="N308" s="0" t="s">
        <v>159</v>
      </c>
    </row>
    <row r="309" customFormat="false" ht="16.4" hidden="false" customHeight="false" outlineLevel="0" collapsed="false">
      <c r="A309" s="16" t="s">
        <v>79</v>
      </c>
      <c r="B309" s="3"/>
      <c r="C309" s="20" t="s">
        <v>399</v>
      </c>
      <c r="N309" s="0" t="s">
        <v>159</v>
      </c>
    </row>
    <row r="310" customFormat="false" ht="14.25" hidden="false" customHeight="false" outlineLevel="0" collapsed="false">
      <c r="A310" s="2"/>
      <c r="B310" s="3"/>
      <c r="N310" s="0" t="s">
        <v>159</v>
      </c>
    </row>
    <row r="311" customFormat="false" ht="14.25" hidden="false" customHeight="false" outlineLevel="0" collapsed="false">
      <c r="A311" s="21"/>
      <c r="B311" s="22"/>
      <c r="C311" s="17"/>
      <c r="D311" s="23"/>
      <c r="N311" s="0" t="s">
        <v>159</v>
      </c>
    </row>
    <row r="312" customFormat="false" ht="14.25" hidden="false" customHeight="false" outlineLevel="0" collapsed="false">
      <c r="A312" s="9" t="s">
        <v>0</v>
      </c>
      <c r="B312" s="10" t="s">
        <v>1</v>
      </c>
      <c r="C312" s="1" t="s">
        <v>400</v>
      </c>
      <c r="N312" s="0" t="s">
        <v>159</v>
      </c>
    </row>
    <row r="313" customFormat="false" ht="14.25" hidden="false" customHeight="false" outlineLevel="0" collapsed="false">
      <c r="A313" s="9"/>
      <c r="B313" s="10" t="s">
        <v>3</v>
      </c>
      <c r="C313" s="1" t="s">
        <v>401</v>
      </c>
      <c r="N313" s="0" t="s">
        <v>159</v>
      </c>
    </row>
    <row r="314" customFormat="false" ht="16.4" hidden="false" customHeight="false" outlineLevel="0" collapsed="false">
      <c r="A314" s="9"/>
      <c r="B314" s="10" t="s">
        <v>5</v>
      </c>
      <c r="C314" s="13" t="s">
        <v>402</v>
      </c>
      <c r="N314" s="0" t="s">
        <v>159</v>
      </c>
    </row>
    <row r="315" customFormat="false" ht="14.25" hidden="false" customHeight="false" outlineLevel="0" collapsed="false">
      <c r="A315" s="9" t="s">
        <v>7</v>
      </c>
      <c r="B315" s="10" t="s">
        <v>8</v>
      </c>
      <c r="C315" s="1" t="s">
        <v>403</v>
      </c>
      <c r="N315" s="0" t="s">
        <v>159</v>
      </c>
    </row>
    <row r="316" customFormat="false" ht="14.25" hidden="false" customHeight="false" outlineLevel="0" collapsed="false">
      <c r="A316" s="9"/>
      <c r="B316" s="10" t="s">
        <v>10</v>
      </c>
      <c r="C316" s="1" t="s">
        <v>404</v>
      </c>
      <c r="N316" s="0" t="s">
        <v>159</v>
      </c>
    </row>
    <row r="317" customFormat="false" ht="14.25" hidden="false" customHeight="false" outlineLevel="0" collapsed="false">
      <c r="A317" s="9" t="s">
        <v>13</v>
      </c>
      <c r="B317" s="10" t="s">
        <v>14</v>
      </c>
      <c r="C317" s="1" t="n">
        <v>317</v>
      </c>
      <c r="N317" s="0" t="s">
        <v>159</v>
      </c>
    </row>
    <row r="318" customFormat="false" ht="14.25" hidden="false" customHeight="false" outlineLevel="0" collapsed="false">
      <c r="A318" s="9"/>
      <c r="B318" s="10" t="s">
        <v>15</v>
      </c>
      <c r="C318" s="1" t="s">
        <v>405</v>
      </c>
      <c r="N318" s="0" t="s">
        <v>159</v>
      </c>
    </row>
    <row r="319" customFormat="false" ht="14.25" hidden="false" customHeight="false" outlineLevel="0" collapsed="false">
      <c r="A319" s="9"/>
      <c r="B319" s="10" t="s">
        <v>17</v>
      </c>
      <c r="C319" s="1" t="s">
        <v>406</v>
      </c>
      <c r="N319" s="0" t="s">
        <v>159</v>
      </c>
    </row>
    <row r="320" customFormat="false" ht="14.25" hidden="false" customHeight="false" outlineLevel="0" collapsed="false">
      <c r="A320" s="9"/>
      <c r="B320" s="10" t="s">
        <v>19</v>
      </c>
      <c r="C320" s="1" t="s">
        <v>407</v>
      </c>
      <c r="N320" s="0" t="s">
        <v>159</v>
      </c>
    </row>
    <row r="321" customFormat="false" ht="14.25" hidden="false" customHeight="false" outlineLevel="0" collapsed="false">
      <c r="A321" s="9" t="s">
        <v>22</v>
      </c>
      <c r="B321" s="10" t="s">
        <v>23</v>
      </c>
      <c r="C321" s="1" t="n">
        <v>591</v>
      </c>
      <c r="N321" s="0" t="s">
        <v>159</v>
      </c>
    </row>
    <row r="322" customFormat="false" ht="14.25" hidden="false" customHeight="false" outlineLevel="0" collapsed="false">
      <c r="A322" s="9"/>
      <c r="B322" s="10" t="s">
        <v>25</v>
      </c>
      <c r="C322" s="1" t="n">
        <v>2</v>
      </c>
      <c r="D322" s="0" t="s">
        <v>408</v>
      </c>
      <c r="N322" s="0" t="s">
        <v>159</v>
      </c>
    </row>
    <row r="323" customFormat="false" ht="14.25" hidden="false" customHeight="false" outlineLevel="0" collapsed="false">
      <c r="A323" s="9"/>
      <c r="B323" s="10" t="s">
        <v>27</v>
      </c>
      <c r="C323" s="1" t="s">
        <v>409</v>
      </c>
      <c r="D323" s="0" t="s">
        <v>410</v>
      </c>
      <c r="E323" s="0" t="s">
        <v>411</v>
      </c>
      <c r="F323" s="0" t="s">
        <v>412</v>
      </c>
      <c r="G323" s="0" t="s">
        <v>413</v>
      </c>
      <c r="H323" s="0" t="s">
        <v>414</v>
      </c>
      <c r="I323" s="0" t="s">
        <v>415</v>
      </c>
      <c r="J323" s="0" t="s">
        <v>416</v>
      </c>
      <c r="K323" s="0" t="s">
        <v>417</v>
      </c>
      <c r="L323" s="0" t="s">
        <v>418</v>
      </c>
      <c r="M323" s="0" t="s">
        <v>419</v>
      </c>
      <c r="N323" s="0" t="s">
        <v>420</v>
      </c>
      <c r="O323" s="0" t="s">
        <v>421</v>
      </c>
      <c r="P323" s="0" t="s">
        <v>422</v>
      </c>
      <c r="Q323" s="0" t="s">
        <v>423</v>
      </c>
      <c r="R323" s="0" t="s">
        <v>424</v>
      </c>
      <c r="S323" s="0" t="s">
        <v>425</v>
      </c>
      <c r="T323" s="0" t="s">
        <v>426</v>
      </c>
      <c r="U323" s="0" t="s">
        <v>427</v>
      </c>
      <c r="V323" s="0" t="s">
        <v>428</v>
      </c>
      <c r="W323" s="0" t="s">
        <v>271</v>
      </c>
      <c r="X323" s="0" t="s">
        <v>429</v>
      </c>
      <c r="Y323" s="0" t="s">
        <v>430</v>
      </c>
      <c r="Z323" s="0" t="s">
        <v>431</v>
      </c>
      <c r="AA323" s="0" t="s">
        <v>432</v>
      </c>
      <c r="AB323" s="0" t="s">
        <v>433</v>
      </c>
      <c r="AC323" s="0" t="s">
        <v>434</v>
      </c>
      <c r="AD323" s="0" t="s">
        <v>435</v>
      </c>
      <c r="AE323" s="0" t="s">
        <v>436</v>
      </c>
      <c r="AF323" s="0" t="s">
        <v>437</v>
      </c>
      <c r="AG323" s="0" t="s">
        <v>438</v>
      </c>
      <c r="AH323" s="0" t="s">
        <v>439</v>
      </c>
      <c r="AI323" s="0" t="s">
        <v>440</v>
      </c>
      <c r="AJ323" s="0" t="s">
        <v>441</v>
      </c>
      <c r="AK323" s="0" t="s">
        <v>442</v>
      </c>
      <c r="AL323" s="0" t="s">
        <v>443</v>
      </c>
      <c r="AM323" s="0" t="s">
        <v>444</v>
      </c>
      <c r="AN323" s="0" t="s">
        <v>445</v>
      </c>
      <c r="AO323" s="0" t="s">
        <v>446</v>
      </c>
      <c r="AP323" s="0" t="s">
        <v>447</v>
      </c>
      <c r="AQ323" s="0" t="s">
        <v>448</v>
      </c>
      <c r="AR323" s="0" t="s">
        <v>449</v>
      </c>
      <c r="AS323" s="1" t="s">
        <v>450</v>
      </c>
    </row>
    <row r="324" customFormat="false" ht="14.25" hidden="false" customHeight="false" outlineLevel="0" collapsed="false">
      <c r="A324" s="9"/>
      <c r="B324" s="10" t="s">
        <v>64</v>
      </c>
      <c r="N324" s="0" t="s">
        <v>159</v>
      </c>
    </row>
    <row r="325" customFormat="false" ht="14.25" hidden="false" customHeight="false" outlineLevel="0" collapsed="false">
      <c r="A325" s="9" t="s">
        <v>65</v>
      </c>
      <c r="B325" s="10" t="s">
        <v>66</v>
      </c>
      <c r="C325" s="49" t="s">
        <v>451</v>
      </c>
      <c r="N325" s="0" t="s">
        <v>159</v>
      </c>
    </row>
    <row r="326" customFormat="false" ht="14.25" hidden="false" customHeight="false" outlineLevel="0" collapsed="false">
      <c r="A326" s="9"/>
      <c r="B326" s="10" t="s">
        <v>68</v>
      </c>
      <c r="C326" s="1" t="s">
        <v>452</v>
      </c>
    </row>
    <row r="327" customFormat="false" ht="14.25" hidden="false" customHeight="false" outlineLevel="0" collapsed="false">
      <c r="A327" s="9" t="s">
        <v>71</v>
      </c>
      <c r="B327" s="3"/>
      <c r="C327" s="1" t="s">
        <v>72</v>
      </c>
    </row>
    <row r="328" customFormat="false" ht="14.25" hidden="false" customHeight="false" outlineLevel="0" collapsed="false">
      <c r="A328" s="9" t="s">
        <v>74</v>
      </c>
      <c r="B328" s="10" t="s">
        <v>75</v>
      </c>
    </row>
    <row r="329" customFormat="false" ht="14.25" hidden="false" customHeight="false" outlineLevel="0" collapsed="false">
      <c r="A329" s="9"/>
      <c r="B329" s="10" t="s">
        <v>76</v>
      </c>
    </row>
    <row r="330" customFormat="false" ht="16.4" hidden="false" customHeight="false" outlineLevel="0" collapsed="false">
      <c r="A330" s="9"/>
      <c r="B330" s="10" t="s">
        <v>77</v>
      </c>
      <c r="C330" s="20" t="s">
        <v>453</v>
      </c>
    </row>
    <row r="331" customFormat="false" ht="16.4" hidden="false" customHeight="false" outlineLevel="0" collapsed="false">
      <c r="A331" s="16" t="s">
        <v>79</v>
      </c>
      <c r="B331" s="3"/>
      <c r="C331" s="13" t="s">
        <v>454</v>
      </c>
    </row>
    <row r="332" customFormat="false" ht="16.4" hidden="false" customHeight="false" outlineLevel="0" collapsed="false">
      <c r="A332" s="2"/>
      <c r="B332" s="3"/>
      <c r="C332" s="13" t="s">
        <v>455</v>
      </c>
    </row>
    <row r="333" customFormat="false" ht="14.25" hidden="false" customHeight="false" outlineLevel="0" collapsed="false">
      <c r="A333" s="21"/>
      <c r="B333" s="22"/>
      <c r="C333" s="17"/>
      <c r="D333" s="23"/>
    </row>
    <row r="334" customFormat="false" ht="14.25" hidden="false" customHeight="false" outlineLevel="0" collapsed="false">
      <c r="A334" s="9" t="s">
        <v>0</v>
      </c>
      <c r="B334" s="10" t="s">
        <v>1</v>
      </c>
      <c r="C334" s="19" t="s">
        <v>456</v>
      </c>
    </row>
    <row r="335" customFormat="false" ht="14.25" hidden="false" customHeight="false" outlineLevel="0" collapsed="false">
      <c r="A335" s="9"/>
      <c r="B335" s="10" t="s">
        <v>3</v>
      </c>
      <c r="C335" s="1" t="n">
        <v>2018</v>
      </c>
    </row>
    <row r="336" customFormat="false" ht="16.4" hidden="false" customHeight="false" outlineLevel="0" collapsed="false">
      <c r="A336" s="9"/>
      <c r="B336" s="10" t="s">
        <v>5</v>
      </c>
      <c r="C336" s="13" t="s">
        <v>457</v>
      </c>
    </row>
    <row r="337" customFormat="false" ht="14.25" hidden="false" customHeight="false" outlineLevel="0" collapsed="false">
      <c r="A337" s="9" t="s">
        <v>7</v>
      </c>
      <c r="B337" s="10" t="s">
        <v>8</v>
      </c>
      <c r="C337" s="1" t="s">
        <v>458</v>
      </c>
    </row>
    <row r="338" customFormat="false" ht="14.25" hidden="false" customHeight="false" outlineLevel="0" collapsed="false">
      <c r="A338" s="9"/>
      <c r="B338" s="10" t="s">
        <v>10</v>
      </c>
      <c r="C338" s="1" t="s">
        <v>84</v>
      </c>
    </row>
    <row r="339" customFormat="false" ht="14.25" hidden="false" customHeight="false" outlineLevel="0" collapsed="false">
      <c r="A339" s="9" t="s">
        <v>13</v>
      </c>
      <c r="B339" s="10" t="s">
        <v>14</v>
      </c>
      <c r="C339" s="1" t="n">
        <v>151</v>
      </c>
    </row>
    <row r="340" customFormat="false" ht="14.25" hidden="false" customHeight="false" outlineLevel="0" collapsed="false">
      <c r="A340" s="9"/>
      <c r="B340" s="10" t="s">
        <v>15</v>
      </c>
      <c r="C340" s="1" t="s">
        <v>459</v>
      </c>
    </row>
    <row r="341" customFormat="false" ht="14.25" hidden="false" customHeight="false" outlineLevel="0" collapsed="false">
      <c r="A341" s="9"/>
      <c r="B341" s="10" t="s">
        <v>17</v>
      </c>
      <c r="C341" s="1" t="s">
        <v>460</v>
      </c>
    </row>
    <row r="342" customFormat="false" ht="14.25" hidden="false" customHeight="false" outlineLevel="0" collapsed="false">
      <c r="A342" s="9"/>
      <c r="B342" s="10" t="s">
        <v>19</v>
      </c>
      <c r="C342" s="1" t="s">
        <v>461</v>
      </c>
    </row>
    <row r="343" customFormat="false" ht="14.25" hidden="false" customHeight="false" outlineLevel="0" collapsed="false">
      <c r="A343" s="9" t="s">
        <v>22</v>
      </c>
      <c r="B343" s="10" t="s">
        <v>23</v>
      </c>
      <c r="C343" s="1" t="n">
        <v>151</v>
      </c>
    </row>
    <row r="344" customFormat="false" ht="14.25" hidden="false" customHeight="false" outlineLevel="0" collapsed="false">
      <c r="A344" s="9"/>
      <c r="B344" s="10" t="s">
        <v>25</v>
      </c>
      <c r="C344" s="1" t="n">
        <v>1</v>
      </c>
    </row>
    <row r="345" customFormat="false" ht="14.25" hidden="false" customHeight="false" outlineLevel="0" collapsed="false">
      <c r="A345" s="9"/>
      <c r="B345" s="10" t="s">
        <v>27</v>
      </c>
      <c r="C345" s="1" t="s">
        <v>132</v>
      </c>
      <c r="D345" s="1" t="s">
        <v>133</v>
      </c>
      <c r="E345" s="1" t="s">
        <v>312</v>
      </c>
      <c r="F345" s="1" t="s">
        <v>462</v>
      </c>
      <c r="G345" s="1" t="s">
        <v>134</v>
      </c>
      <c r="H345" s="1" t="s">
        <v>463</v>
      </c>
      <c r="I345" s="1" t="s">
        <v>464</v>
      </c>
      <c r="J345" s="1" t="s">
        <v>140</v>
      </c>
    </row>
    <row r="346" customFormat="false" ht="14.25" hidden="false" customHeight="false" outlineLevel="0" collapsed="false">
      <c r="A346" s="9"/>
      <c r="B346" s="10" t="s">
        <v>64</v>
      </c>
      <c r="C346" s="1" t="n">
        <v>256</v>
      </c>
      <c r="D346" s="1" t="n">
        <v>256</v>
      </c>
      <c r="E346" s="1" t="n">
        <v>256</v>
      </c>
      <c r="F346" s="1" t="n">
        <v>256</v>
      </c>
      <c r="G346" s="1" t="n">
        <v>256</v>
      </c>
      <c r="H346" s="1" t="n">
        <v>256</v>
      </c>
      <c r="I346" s="1" t="n">
        <v>256</v>
      </c>
      <c r="J346" s="1" t="n">
        <v>256</v>
      </c>
    </row>
    <row r="347" customFormat="false" ht="14.25" hidden="false" customHeight="false" outlineLevel="0" collapsed="false">
      <c r="A347" s="9" t="s">
        <v>65</v>
      </c>
      <c r="B347" s="10" t="s">
        <v>66</v>
      </c>
      <c r="C347" s="1" t="s">
        <v>67</v>
      </c>
    </row>
    <row r="348" customFormat="false" ht="14.25" hidden="false" customHeight="false" outlineLevel="0" collapsed="false">
      <c r="A348" s="9"/>
      <c r="B348" s="10" t="s">
        <v>68</v>
      </c>
      <c r="C348" s="1" t="s">
        <v>84</v>
      </c>
    </row>
    <row r="349" customFormat="false" ht="14.25" hidden="false" customHeight="false" outlineLevel="0" collapsed="false">
      <c r="A349" s="9" t="s">
        <v>71</v>
      </c>
      <c r="B349" s="3"/>
      <c r="C349" s="1" t="s">
        <v>72</v>
      </c>
      <c r="D349" s="0" t="s">
        <v>465</v>
      </c>
    </row>
    <row r="350" customFormat="false" ht="14.25" hidden="false" customHeight="false" outlineLevel="0" collapsed="false">
      <c r="A350" s="9" t="s">
        <v>74</v>
      </c>
      <c r="B350" s="10" t="s">
        <v>75</v>
      </c>
    </row>
    <row r="351" customFormat="false" ht="14.25" hidden="false" customHeight="false" outlineLevel="0" collapsed="false">
      <c r="A351" s="9"/>
      <c r="B351" s="10" t="s">
        <v>76</v>
      </c>
    </row>
    <row r="352" customFormat="false" ht="16.4" hidden="false" customHeight="false" outlineLevel="0" collapsed="false">
      <c r="A352" s="9"/>
      <c r="B352" s="10" t="s">
        <v>77</v>
      </c>
      <c r="C352" s="20" t="s">
        <v>466</v>
      </c>
    </row>
    <row r="353" customFormat="false" ht="14.25" hidden="false" customHeight="false" outlineLevel="0" collapsed="false">
      <c r="A353" s="16" t="s">
        <v>79</v>
      </c>
      <c r="B353" s="3"/>
    </row>
    <row r="354" customFormat="false" ht="14.25" hidden="false" customHeight="false" outlineLevel="0" collapsed="false">
      <c r="A354" s="2"/>
      <c r="B354" s="3"/>
    </row>
    <row r="355" customFormat="false" ht="14.25" hidden="false" customHeight="false" outlineLevel="0" collapsed="false">
      <c r="A355" s="21"/>
      <c r="B355" s="22"/>
      <c r="C355" s="17"/>
      <c r="D355" s="23"/>
    </row>
    <row r="356" customFormat="false" ht="14.25" hidden="false" customHeight="false" outlineLevel="0" collapsed="false">
      <c r="A356" s="9" t="s">
        <v>0</v>
      </c>
      <c r="B356" s="10" t="s">
        <v>1</v>
      </c>
      <c r="C356" s="19" t="s">
        <v>467</v>
      </c>
    </row>
    <row r="357" customFormat="false" ht="14.25" hidden="false" customHeight="false" outlineLevel="0" collapsed="false">
      <c r="A357" s="9"/>
      <c r="B357" s="10" t="s">
        <v>3</v>
      </c>
      <c r="C357" s="1" t="s">
        <v>468</v>
      </c>
    </row>
    <row r="358" customFormat="false" ht="16.4" hidden="false" customHeight="false" outlineLevel="0" collapsed="false">
      <c r="A358" s="9"/>
      <c r="B358" s="10" t="s">
        <v>5</v>
      </c>
      <c r="C358" s="13" t="s">
        <v>469</v>
      </c>
    </row>
    <row r="359" customFormat="false" ht="14.25" hidden="false" customHeight="false" outlineLevel="0" collapsed="false">
      <c r="A359" s="9" t="s">
        <v>7</v>
      </c>
      <c r="B359" s="10" t="s">
        <v>8</v>
      </c>
      <c r="C359" s="1" t="s">
        <v>470</v>
      </c>
    </row>
    <row r="360" customFormat="false" ht="14.25" hidden="false" customHeight="false" outlineLevel="0" collapsed="false">
      <c r="A360" s="9"/>
      <c r="B360" s="10" t="s">
        <v>10</v>
      </c>
      <c r="C360" s="1" t="s">
        <v>471</v>
      </c>
    </row>
    <row r="361" customFormat="false" ht="14.25" hidden="false" customHeight="false" outlineLevel="0" collapsed="false">
      <c r="A361" s="9" t="s">
        <v>13</v>
      </c>
      <c r="B361" s="10" t="s">
        <v>14</v>
      </c>
      <c r="C361" s="1" t="s">
        <v>472</v>
      </c>
    </row>
    <row r="362" customFormat="false" ht="14.25" hidden="false" customHeight="false" outlineLevel="0" collapsed="false">
      <c r="A362" s="9"/>
      <c r="B362" s="10" t="s">
        <v>15</v>
      </c>
      <c r="C362" s="1" t="s">
        <v>473</v>
      </c>
    </row>
    <row r="363" customFormat="false" ht="14.25" hidden="false" customHeight="false" outlineLevel="0" collapsed="false">
      <c r="A363" s="9"/>
      <c r="B363" s="10" t="s">
        <v>17</v>
      </c>
      <c r="C363" s="1" t="s">
        <v>474</v>
      </c>
    </row>
    <row r="364" customFormat="false" ht="14.25" hidden="false" customHeight="false" outlineLevel="0" collapsed="false">
      <c r="A364" s="9"/>
      <c r="B364" s="10" t="s">
        <v>19</v>
      </c>
      <c r="C364" s="1" t="s">
        <v>475</v>
      </c>
    </row>
    <row r="365" customFormat="false" ht="14.25" hidden="false" customHeight="false" outlineLevel="0" collapsed="false">
      <c r="A365" s="9" t="s">
        <v>22</v>
      </c>
      <c r="B365" s="10" t="s">
        <v>23</v>
      </c>
      <c r="C365" s="1" t="s">
        <v>476</v>
      </c>
    </row>
    <row r="366" customFormat="false" ht="14.25" hidden="false" customHeight="false" outlineLevel="0" collapsed="false">
      <c r="A366" s="9"/>
      <c r="B366" s="10" t="s">
        <v>25</v>
      </c>
      <c r="C366" s="1" t="n">
        <v>1</v>
      </c>
    </row>
    <row r="367" customFormat="false" ht="14.25" hidden="false" customHeight="false" outlineLevel="0" collapsed="false">
      <c r="A367" s="9"/>
      <c r="B367" s="10" t="s">
        <v>27</v>
      </c>
      <c r="C367" s="1" t="s">
        <v>477</v>
      </c>
    </row>
    <row r="368" customFormat="false" ht="14.25" hidden="false" customHeight="false" outlineLevel="0" collapsed="false">
      <c r="A368" s="9"/>
      <c r="B368" s="10" t="s">
        <v>64</v>
      </c>
      <c r="C368" s="1" t="s">
        <v>477</v>
      </c>
    </row>
    <row r="369" customFormat="false" ht="14.25" hidden="false" customHeight="false" outlineLevel="0" collapsed="false">
      <c r="A369" s="9" t="s">
        <v>65</v>
      </c>
      <c r="B369" s="10" t="s">
        <v>66</v>
      </c>
      <c r="C369" s="1" t="s">
        <v>67</v>
      </c>
    </row>
    <row r="370" customFormat="false" ht="14.25" hidden="false" customHeight="false" outlineLevel="0" collapsed="false">
      <c r="A370" s="9"/>
      <c r="B370" s="10" t="s">
        <v>68</v>
      </c>
      <c r="C370" s="1" t="s">
        <v>478</v>
      </c>
    </row>
    <row r="371" customFormat="false" ht="14.25" hidden="false" customHeight="false" outlineLevel="0" collapsed="false">
      <c r="A371" s="9" t="s">
        <v>71</v>
      </c>
      <c r="B371" s="3"/>
      <c r="C371" s="1" t="s">
        <v>72</v>
      </c>
      <c r="D371" s="0" t="s">
        <v>73</v>
      </c>
    </row>
    <row r="372" customFormat="false" ht="14.25" hidden="false" customHeight="false" outlineLevel="0" collapsed="false">
      <c r="A372" s="9" t="s">
        <v>74</v>
      </c>
      <c r="B372" s="10" t="s">
        <v>75</v>
      </c>
    </row>
    <row r="373" customFormat="false" ht="14.25" hidden="false" customHeight="false" outlineLevel="0" collapsed="false">
      <c r="A373" s="9"/>
      <c r="B373" s="10" t="s">
        <v>76</v>
      </c>
    </row>
    <row r="374" customFormat="false" ht="16.4" hidden="false" customHeight="false" outlineLevel="0" collapsed="false">
      <c r="A374" s="9"/>
      <c r="B374" s="10" t="s">
        <v>77</v>
      </c>
      <c r="C374" s="20" t="s">
        <v>479</v>
      </c>
    </row>
    <row r="375" customFormat="false" ht="16.4" hidden="false" customHeight="false" outlineLevel="0" collapsed="false">
      <c r="A375" s="16" t="s">
        <v>79</v>
      </c>
      <c r="B375" s="3"/>
      <c r="C375" s="13" t="s">
        <v>480</v>
      </c>
    </row>
    <row r="376" customFormat="false" ht="14.25" hidden="false" customHeight="false" outlineLevel="0" collapsed="false">
      <c r="A376" s="2"/>
      <c r="B376" s="3"/>
    </row>
    <row r="377" customFormat="false" ht="14.25" hidden="false" customHeight="false" outlineLevel="0" collapsed="false">
      <c r="A377" s="21"/>
      <c r="B377" s="22"/>
      <c r="C377" s="17"/>
      <c r="D377" s="23"/>
    </row>
    <row r="378" customFormat="false" ht="14.25" hidden="false" customHeight="false" outlineLevel="0" collapsed="false">
      <c r="A378" s="9" t="s">
        <v>0</v>
      </c>
      <c r="B378" s="10" t="s">
        <v>1</v>
      </c>
      <c r="C378" s="19" t="s">
        <v>481</v>
      </c>
    </row>
    <row r="379" customFormat="false" ht="14.25" hidden="false" customHeight="false" outlineLevel="0" collapsed="false">
      <c r="A379" s="9"/>
      <c r="B379" s="10" t="s">
        <v>3</v>
      </c>
      <c r="C379" s="1" t="s">
        <v>482</v>
      </c>
    </row>
    <row r="380" customFormat="false" ht="16.4" hidden="false" customHeight="false" outlineLevel="0" collapsed="false">
      <c r="A380" s="9"/>
      <c r="B380" s="10" t="s">
        <v>5</v>
      </c>
      <c r="C380" s="20" t="s">
        <v>483</v>
      </c>
    </row>
    <row r="381" customFormat="false" ht="14.25" hidden="false" customHeight="false" outlineLevel="0" collapsed="false">
      <c r="A381" s="9" t="s">
        <v>7</v>
      </c>
      <c r="B381" s="10" t="s">
        <v>8</v>
      </c>
      <c r="C381" s="1" t="s">
        <v>484</v>
      </c>
    </row>
    <row r="382" customFormat="false" ht="14.25" hidden="false" customHeight="false" outlineLevel="0" collapsed="false">
      <c r="A382" s="9"/>
      <c r="B382" s="10" t="s">
        <v>10</v>
      </c>
      <c r="C382" s="1" t="s">
        <v>485</v>
      </c>
    </row>
    <row r="383" customFormat="false" ht="14.25" hidden="false" customHeight="false" outlineLevel="0" collapsed="false">
      <c r="A383" s="9" t="s">
        <v>13</v>
      </c>
      <c r="B383" s="10" t="s">
        <v>14</v>
      </c>
      <c r="C383" s="1" t="n">
        <v>100</v>
      </c>
      <c r="D383" s="0" t="n">
        <v>8</v>
      </c>
      <c r="E383" s="0" t="n">
        <v>10</v>
      </c>
      <c r="F383" s="0" t="s">
        <v>486</v>
      </c>
    </row>
    <row r="384" customFormat="false" ht="14.25" hidden="false" customHeight="false" outlineLevel="0" collapsed="false">
      <c r="A384" s="9"/>
      <c r="B384" s="10" t="s">
        <v>15</v>
      </c>
      <c r="C384" s="1" t="s">
        <v>487</v>
      </c>
      <c r="D384" s="0" t="s">
        <v>488</v>
      </c>
      <c r="E384" s="0" t="s">
        <v>489</v>
      </c>
    </row>
    <row r="385" customFormat="false" ht="14.25" hidden="false" customHeight="false" outlineLevel="0" collapsed="false">
      <c r="A385" s="9"/>
      <c r="B385" s="10" t="s">
        <v>17</v>
      </c>
      <c r="C385" s="1" t="s">
        <v>490</v>
      </c>
      <c r="D385" s="50" t="s">
        <v>491</v>
      </c>
      <c r="E385" s="50" t="s">
        <v>492</v>
      </c>
    </row>
    <row r="386" customFormat="false" ht="14.25" hidden="false" customHeight="false" outlineLevel="0" collapsed="false">
      <c r="A386" s="9"/>
      <c r="B386" s="10" t="s">
        <v>19</v>
      </c>
      <c r="C386" s="1" t="s">
        <v>493</v>
      </c>
      <c r="D386" s="0" t="s">
        <v>493</v>
      </c>
      <c r="E386" s="0" t="s">
        <v>87</v>
      </c>
    </row>
    <row r="387" customFormat="false" ht="14.25" hidden="false" customHeight="false" outlineLevel="0" collapsed="false">
      <c r="A387" s="9" t="s">
        <v>22</v>
      </c>
      <c r="B387" s="10" t="s">
        <v>23</v>
      </c>
      <c r="C387" s="1" t="n">
        <v>100</v>
      </c>
      <c r="D387" s="0" t="n">
        <v>16</v>
      </c>
      <c r="E387" s="0" t="n">
        <v>10</v>
      </c>
    </row>
    <row r="388" customFormat="false" ht="14.25" hidden="false" customHeight="false" outlineLevel="0" collapsed="false">
      <c r="A388" s="9"/>
      <c r="B388" s="10" t="s">
        <v>25</v>
      </c>
      <c r="C388" s="1" t="n">
        <v>1</v>
      </c>
      <c r="D388" s="0" t="n">
        <v>2</v>
      </c>
      <c r="E388" s="0" t="n">
        <v>1</v>
      </c>
    </row>
    <row r="389" customFormat="false" ht="14.25" hidden="false" customHeight="false" outlineLevel="0" collapsed="false">
      <c r="A389" s="9"/>
      <c r="B389" s="10" t="s">
        <v>27</v>
      </c>
      <c r="C389" s="1" t="s">
        <v>494</v>
      </c>
      <c r="D389" s="1" t="s">
        <v>495</v>
      </c>
      <c r="E389" s="1" t="s">
        <v>496</v>
      </c>
      <c r="F389" s="1" t="s">
        <v>497</v>
      </c>
      <c r="G389" s="1" t="s">
        <v>498</v>
      </c>
      <c r="H389" s="1" t="s">
        <v>499</v>
      </c>
      <c r="I389" s="1" t="s">
        <v>500</v>
      </c>
      <c r="J389" s="1" t="s">
        <v>501</v>
      </c>
      <c r="K389" s="1" t="s">
        <v>502</v>
      </c>
      <c r="L389" s="1" t="s">
        <v>503</v>
      </c>
      <c r="M389" s="1" t="s">
        <v>230</v>
      </c>
      <c r="N389" s="1" t="s">
        <v>504</v>
      </c>
      <c r="O389" s="1" t="s">
        <v>505</v>
      </c>
      <c r="P389" s="1" t="s">
        <v>506</v>
      </c>
      <c r="Q389" s="1" t="s">
        <v>507</v>
      </c>
      <c r="R389" s="1" t="s">
        <v>508</v>
      </c>
      <c r="S389" s="1" t="s">
        <v>509</v>
      </c>
      <c r="T389" s="1" t="s">
        <v>510</v>
      </c>
      <c r="U389" s="1" t="s">
        <v>511</v>
      </c>
    </row>
    <row r="390" customFormat="false" ht="14.25" hidden="false" customHeight="false" outlineLevel="0" collapsed="false">
      <c r="A390" s="9"/>
      <c r="B390" s="10" t="s">
        <v>64</v>
      </c>
      <c r="C390" s="1" t="n">
        <v>200</v>
      </c>
      <c r="D390" s="1" t="n">
        <v>200</v>
      </c>
      <c r="E390" s="1" t="n">
        <v>25</v>
      </c>
      <c r="F390" s="1" t="n">
        <v>25</v>
      </c>
      <c r="G390" s="1" t="n">
        <v>200</v>
      </c>
      <c r="H390" s="1" t="n">
        <v>200</v>
      </c>
      <c r="I390" s="1" t="n">
        <v>200</v>
      </c>
      <c r="J390" s="1" t="n">
        <v>200</v>
      </c>
      <c r="K390" s="1" t="n">
        <v>200</v>
      </c>
      <c r="L390" s="1" t="n">
        <v>200</v>
      </c>
      <c r="M390" s="1" t="n">
        <v>12.5</v>
      </c>
      <c r="N390" s="1" t="n">
        <v>200</v>
      </c>
      <c r="O390" s="1" t="n">
        <v>200</v>
      </c>
      <c r="P390" s="1" t="n">
        <v>200</v>
      </c>
      <c r="Q390" s="1" t="n">
        <v>200</v>
      </c>
      <c r="R390" s="1" t="n">
        <v>200</v>
      </c>
      <c r="S390" s="1" t="n">
        <v>12.5</v>
      </c>
      <c r="T390" s="1" t="n">
        <v>25</v>
      </c>
      <c r="U390" s="1" t="n">
        <v>25</v>
      </c>
    </row>
    <row r="391" customFormat="false" ht="14.25" hidden="false" customHeight="false" outlineLevel="0" collapsed="false">
      <c r="A391" s="9" t="s">
        <v>65</v>
      </c>
      <c r="B391" s="10" t="s">
        <v>66</v>
      </c>
      <c r="C391" s="1" t="s">
        <v>512</v>
      </c>
    </row>
    <row r="392" customFormat="false" ht="14.25" hidden="false" customHeight="false" outlineLevel="0" collapsed="false">
      <c r="A392" s="9"/>
      <c r="B392" s="10" t="s">
        <v>68</v>
      </c>
      <c r="C392" s="1" t="s">
        <v>84</v>
      </c>
    </row>
    <row r="393" customFormat="false" ht="14.25" hidden="false" customHeight="false" outlineLevel="0" collapsed="false">
      <c r="A393" s="9" t="s">
        <v>71</v>
      </c>
      <c r="B393" s="3"/>
      <c r="C393" s="1" t="s">
        <v>72</v>
      </c>
      <c r="D393" s="0" t="s">
        <v>513</v>
      </c>
    </row>
    <row r="394" customFormat="false" ht="14.25" hidden="false" customHeight="false" outlineLevel="0" collapsed="false">
      <c r="A394" s="9" t="s">
        <v>74</v>
      </c>
      <c r="B394" s="10" t="s">
        <v>75</v>
      </c>
    </row>
    <row r="395" customFormat="false" ht="14.25" hidden="false" customHeight="false" outlineLevel="0" collapsed="false">
      <c r="A395" s="9"/>
      <c r="B395" s="10" t="s">
        <v>76</v>
      </c>
    </row>
    <row r="396" customFormat="false" ht="16.4" hidden="false" customHeight="false" outlineLevel="0" collapsed="false">
      <c r="A396" s="9"/>
      <c r="B396" s="10" t="s">
        <v>77</v>
      </c>
      <c r="C396" s="20" t="s">
        <v>483</v>
      </c>
    </row>
    <row r="397" customFormat="false" ht="14.25" hidden="false" customHeight="false" outlineLevel="0" collapsed="false">
      <c r="A397" s="16" t="s">
        <v>79</v>
      </c>
      <c r="B397" s="3"/>
    </row>
    <row r="398" customFormat="false" ht="14.25" hidden="false" customHeight="false" outlineLevel="0" collapsed="false">
      <c r="A398" s="2"/>
      <c r="B398" s="3"/>
    </row>
    <row r="399" customFormat="false" ht="14.25" hidden="false" customHeight="false" outlineLevel="0" collapsed="false">
      <c r="A399" s="21"/>
      <c r="B399" s="22"/>
      <c r="C399" s="51"/>
      <c r="D399" s="23"/>
    </row>
    <row r="400" customFormat="false" ht="14.25" hidden="false" customHeight="false" outlineLevel="0" collapsed="false">
      <c r="A400" s="9" t="s">
        <v>0</v>
      </c>
      <c r="B400" s="10" t="s">
        <v>1</v>
      </c>
      <c r="C400" s="1" t="s">
        <v>514</v>
      </c>
    </row>
    <row r="401" customFormat="false" ht="14.25" hidden="false" customHeight="false" outlineLevel="0" collapsed="false">
      <c r="A401" s="9"/>
      <c r="B401" s="10" t="s">
        <v>3</v>
      </c>
      <c r="C401" s="1" t="n">
        <v>2020</v>
      </c>
    </row>
    <row r="402" customFormat="false" ht="16.4" hidden="false" customHeight="false" outlineLevel="0" collapsed="false">
      <c r="A402" s="9"/>
      <c r="B402" s="10" t="s">
        <v>5</v>
      </c>
      <c r="C402" s="20" t="s">
        <v>515</v>
      </c>
    </row>
    <row r="403" customFormat="false" ht="14.25" hidden="false" customHeight="false" outlineLevel="0" collapsed="false">
      <c r="A403" s="9" t="s">
        <v>7</v>
      </c>
      <c r="B403" s="10" t="s">
        <v>8</v>
      </c>
      <c r="C403" s="1" t="s">
        <v>516</v>
      </c>
    </row>
    <row r="404" customFormat="false" ht="14.25" hidden="false" customHeight="false" outlineLevel="0" collapsed="false">
      <c r="A404" s="9"/>
      <c r="B404" s="10" t="s">
        <v>10</v>
      </c>
      <c r="C404" s="1" t="s">
        <v>84</v>
      </c>
    </row>
    <row r="405" customFormat="false" ht="14.25" hidden="false" customHeight="false" outlineLevel="0" collapsed="false">
      <c r="A405" s="9" t="s">
        <v>13</v>
      </c>
      <c r="B405" s="10" t="s">
        <v>14</v>
      </c>
      <c r="C405" s="1" t="n">
        <v>22</v>
      </c>
    </row>
    <row r="406" customFormat="false" ht="14.25" hidden="false" customHeight="false" outlineLevel="0" collapsed="false">
      <c r="A406" s="9"/>
      <c r="B406" s="10" t="s">
        <v>15</v>
      </c>
    </row>
    <row r="407" customFormat="false" ht="14.25" hidden="false" customHeight="false" outlineLevel="0" collapsed="false">
      <c r="A407" s="9"/>
      <c r="B407" s="10" t="s">
        <v>17</v>
      </c>
    </row>
    <row r="408" customFormat="false" ht="14.25" hidden="false" customHeight="false" outlineLevel="0" collapsed="false">
      <c r="A408" s="9"/>
      <c r="B408" s="10" t="s">
        <v>19</v>
      </c>
      <c r="C408" s="1" t="s">
        <v>87</v>
      </c>
    </row>
    <row r="409" customFormat="false" ht="14.25" hidden="false" customHeight="false" outlineLevel="0" collapsed="false">
      <c r="A409" s="9" t="s">
        <v>22</v>
      </c>
      <c r="B409" s="10" t="s">
        <v>23</v>
      </c>
      <c r="C409" s="1" t="n">
        <v>22</v>
      </c>
    </row>
    <row r="410" customFormat="false" ht="14.25" hidden="false" customHeight="false" outlineLevel="0" collapsed="false">
      <c r="A410" s="9"/>
      <c r="B410" s="10" t="s">
        <v>25</v>
      </c>
      <c r="C410" s="1" t="n">
        <v>1</v>
      </c>
    </row>
    <row r="411" customFormat="false" ht="14.25" hidden="false" customHeight="false" outlineLevel="0" collapsed="false">
      <c r="A411" s="9"/>
      <c r="B411" s="10" t="s">
        <v>27</v>
      </c>
      <c r="C411" s="1" t="s">
        <v>517</v>
      </c>
      <c r="D411" s="0" t="s">
        <v>518</v>
      </c>
      <c r="E411" s="0" t="s">
        <v>519</v>
      </c>
    </row>
    <row r="412" customFormat="false" ht="14.25" hidden="false" customHeight="false" outlineLevel="0" collapsed="false">
      <c r="A412" s="9"/>
      <c r="B412" s="10" t="s">
        <v>64</v>
      </c>
    </row>
    <row r="413" customFormat="false" ht="14.25" hidden="false" customHeight="false" outlineLevel="0" collapsed="false">
      <c r="A413" s="9" t="s">
        <v>65</v>
      </c>
      <c r="B413" s="10" t="s">
        <v>66</v>
      </c>
      <c r="C413" s="49" t="s">
        <v>451</v>
      </c>
    </row>
    <row r="414" customFormat="false" ht="14.25" hidden="false" customHeight="false" outlineLevel="0" collapsed="false">
      <c r="A414" s="9"/>
      <c r="B414" s="10" t="s">
        <v>68</v>
      </c>
    </row>
    <row r="415" customFormat="false" ht="14.25" hidden="false" customHeight="false" outlineLevel="0" collapsed="false">
      <c r="A415" s="9" t="s">
        <v>71</v>
      </c>
      <c r="B415" s="3"/>
    </row>
    <row r="416" customFormat="false" ht="14.25" hidden="false" customHeight="false" outlineLevel="0" collapsed="false">
      <c r="A416" s="9" t="s">
        <v>74</v>
      </c>
      <c r="B416" s="10" t="s">
        <v>75</v>
      </c>
    </row>
    <row r="417" customFormat="false" ht="14.25" hidden="false" customHeight="false" outlineLevel="0" collapsed="false">
      <c r="A417" s="9"/>
      <c r="B417" s="10" t="s">
        <v>76</v>
      </c>
    </row>
    <row r="418" customFormat="false" ht="16.4" hidden="false" customHeight="false" outlineLevel="0" collapsed="false">
      <c r="A418" s="9"/>
      <c r="B418" s="10" t="s">
        <v>77</v>
      </c>
      <c r="C418" s="20" t="s">
        <v>520</v>
      </c>
    </row>
    <row r="419" customFormat="false" ht="14.25" hidden="false" customHeight="false" outlineLevel="0" collapsed="false">
      <c r="A419" s="16" t="s">
        <v>79</v>
      </c>
      <c r="B419" s="3"/>
    </row>
    <row r="420" customFormat="false" ht="14.25" hidden="false" customHeight="false" outlineLevel="0" collapsed="false">
      <c r="A420" s="2"/>
      <c r="B420" s="3"/>
    </row>
    <row r="421" customFormat="false" ht="14.25" hidden="false" customHeight="false" outlineLevel="0" collapsed="false">
      <c r="A421" s="4"/>
      <c r="B421" s="5"/>
      <c r="C421" s="17"/>
      <c r="D421" s="23"/>
    </row>
    <row r="422" customFormat="false" ht="14.25" hidden="false" customHeight="false" outlineLevel="0" collapsed="false">
      <c r="A422" s="9" t="s">
        <v>0</v>
      </c>
      <c r="B422" s="10" t="s">
        <v>1</v>
      </c>
      <c r="C422" s="19" t="s">
        <v>521</v>
      </c>
    </row>
    <row r="423" customFormat="false" ht="14.25" hidden="false" customHeight="false" outlineLevel="0" collapsed="false">
      <c r="A423" s="9"/>
      <c r="B423" s="10" t="s">
        <v>3</v>
      </c>
      <c r="C423" s="1" t="s">
        <v>401</v>
      </c>
    </row>
    <row r="424" customFormat="false" ht="16.4" hidden="false" customHeight="false" outlineLevel="0" collapsed="false">
      <c r="A424" s="9"/>
      <c r="B424" s="10" t="s">
        <v>5</v>
      </c>
      <c r="C424" s="13" t="s">
        <v>522</v>
      </c>
    </row>
    <row r="425" customFormat="false" ht="14.25" hidden="false" customHeight="false" outlineLevel="0" collapsed="false">
      <c r="A425" s="9" t="s">
        <v>7</v>
      </c>
      <c r="B425" s="10" t="s">
        <v>8</v>
      </c>
      <c r="C425" s="1" t="s">
        <v>523</v>
      </c>
    </row>
    <row r="426" customFormat="false" ht="14.25" hidden="false" customHeight="false" outlineLevel="0" collapsed="false">
      <c r="A426" s="9"/>
      <c r="B426" s="10" t="s">
        <v>10</v>
      </c>
      <c r="C426" s="1" t="s">
        <v>84</v>
      </c>
    </row>
    <row r="427" customFormat="false" ht="14.25" hidden="false" customHeight="false" outlineLevel="0" collapsed="false">
      <c r="A427" s="9" t="s">
        <v>13</v>
      </c>
      <c r="B427" s="10" t="s">
        <v>14</v>
      </c>
      <c r="C427" s="1" t="n">
        <v>2237</v>
      </c>
    </row>
    <row r="428" customFormat="false" ht="14.25" hidden="false" customHeight="false" outlineLevel="0" collapsed="false">
      <c r="A428" s="9"/>
      <c r="B428" s="10" t="s">
        <v>15</v>
      </c>
      <c r="C428" s="1" t="s">
        <v>524</v>
      </c>
    </row>
    <row r="429" customFormat="false" ht="14.25" hidden="false" customHeight="false" outlineLevel="0" collapsed="false">
      <c r="A429" s="9"/>
      <c r="B429" s="10" t="s">
        <v>17</v>
      </c>
      <c r="C429" s="1" t="s">
        <v>525</v>
      </c>
    </row>
    <row r="430" customFormat="false" ht="14.25" hidden="false" customHeight="false" outlineLevel="0" collapsed="false">
      <c r="A430" s="9"/>
      <c r="B430" s="10" t="s">
        <v>19</v>
      </c>
      <c r="C430" s="1" t="s">
        <v>526</v>
      </c>
    </row>
    <row r="431" customFormat="false" ht="14.25" hidden="false" customHeight="false" outlineLevel="0" collapsed="false">
      <c r="A431" s="9" t="s">
        <v>22</v>
      </c>
      <c r="B431" s="10" t="s">
        <v>23</v>
      </c>
      <c r="C431" s="1" t="n">
        <v>2237</v>
      </c>
    </row>
    <row r="432" customFormat="false" ht="14.25" hidden="false" customHeight="false" outlineLevel="0" collapsed="false">
      <c r="A432" s="9"/>
      <c r="B432" s="10" t="s">
        <v>25</v>
      </c>
      <c r="C432" s="1" t="n">
        <v>1</v>
      </c>
    </row>
    <row r="433" customFormat="false" ht="14.25" hidden="false" customHeight="false" outlineLevel="0" collapsed="false">
      <c r="A433" s="9"/>
      <c r="B433" s="10" t="s">
        <v>27</v>
      </c>
      <c r="C433" s="1" t="s">
        <v>527</v>
      </c>
      <c r="D433" s="1" t="s">
        <v>528</v>
      </c>
      <c r="E433" s="1" t="s">
        <v>529</v>
      </c>
      <c r="F433" s="1" t="s">
        <v>530</v>
      </c>
      <c r="G433" s="1" t="s">
        <v>531</v>
      </c>
      <c r="H433" s="1" t="s">
        <v>532</v>
      </c>
      <c r="I433" s="1" t="s">
        <v>533</v>
      </c>
      <c r="J433" s="1" t="s">
        <v>534</v>
      </c>
      <c r="K433" s="1" t="s">
        <v>535</v>
      </c>
      <c r="L433" s="1" t="s">
        <v>416</v>
      </c>
      <c r="M433" s="1" t="s">
        <v>536</v>
      </c>
      <c r="N433" s="1" t="s">
        <v>537</v>
      </c>
      <c r="O433" s="1" t="s">
        <v>538</v>
      </c>
      <c r="P433" s="1" t="s">
        <v>539</v>
      </c>
      <c r="Q433" s="1" t="s">
        <v>540</v>
      </c>
      <c r="R433" s="1" t="s">
        <v>541</v>
      </c>
      <c r="S433" s="1" t="s">
        <v>420</v>
      </c>
      <c r="T433" s="1" t="s">
        <v>542</v>
      </c>
      <c r="U433" s="1" t="s">
        <v>543</v>
      </c>
      <c r="V433" s="1" t="s">
        <v>544</v>
      </c>
      <c r="W433" s="1" t="s">
        <v>268</v>
      </c>
      <c r="X433" s="1" t="s">
        <v>545</v>
      </c>
      <c r="Y433" s="1" t="s">
        <v>546</v>
      </c>
      <c r="Z433" s="1" t="s">
        <v>547</v>
      </c>
      <c r="AA433" s="1" t="s">
        <v>435</v>
      </c>
      <c r="AB433" s="1" t="s">
        <v>437</v>
      </c>
      <c r="AC433" s="1" t="s">
        <v>548</v>
      </c>
      <c r="AD433" s="1" t="s">
        <v>549</v>
      </c>
      <c r="AE433" s="1" t="s">
        <v>550</v>
      </c>
    </row>
    <row r="434" customFormat="false" ht="14.25" hidden="false" customHeight="false" outlineLevel="0" collapsed="false">
      <c r="A434" s="9"/>
      <c r="B434" s="10" t="s">
        <v>64</v>
      </c>
      <c r="C434" s="1" t="n">
        <v>32</v>
      </c>
      <c r="D434" s="1" t="n">
        <v>32</v>
      </c>
      <c r="E434" s="1" t="n">
        <v>256</v>
      </c>
      <c r="F434" s="1" t="n">
        <v>256</v>
      </c>
      <c r="G434" s="1" t="n">
        <v>1</v>
      </c>
      <c r="H434" s="1" t="n">
        <v>256</v>
      </c>
      <c r="I434" s="1" t="n">
        <v>1</v>
      </c>
      <c r="J434" s="1" t="n">
        <v>256</v>
      </c>
      <c r="K434" s="1" t="n">
        <v>1</v>
      </c>
      <c r="L434" s="1" t="n">
        <v>256</v>
      </c>
      <c r="M434" s="1" t="n">
        <v>1</v>
      </c>
      <c r="N434" s="1" t="n">
        <v>256</v>
      </c>
      <c r="O434" s="1" t="n">
        <v>1</v>
      </c>
      <c r="P434" s="1" t="n">
        <v>1</v>
      </c>
      <c r="Q434" s="1" t="n">
        <v>256</v>
      </c>
      <c r="R434" s="1" t="n">
        <v>1</v>
      </c>
      <c r="S434" s="1" t="n">
        <v>32</v>
      </c>
      <c r="T434" s="1" t="n">
        <v>1</v>
      </c>
      <c r="U434" s="1" t="n">
        <v>32</v>
      </c>
      <c r="V434" s="1" t="n">
        <v>1</v>
      </c>
      <c r="W434" s="1" t="n">
        <v>256</v>
      </c>
      <c r="X434" s="1" t="n">
        <v>32</v>
      </c>
      <c r="Y434" s="1" t="n">
        <v>32</v>
      </c>
      <c r="Z434" s="1" t="n">
        <v>256</v>
      </c>
      <c r="AA434" s="1" t="n">
        <v>32</v>
      </c>
      <c r="AB434" s="1" t="n">
        <v>1</v>
      </c>
      <c r="AC434" s="1" t="n">
        <v>32</v>
      </c>
      <c r="AD434" s="1" t="n">
        <v>32</v>
      </c>
      <c r="AE434" s="1" t="n">
        <v>256</v>
      </c>
    </row>
    <row r="435" customFormat="false" ht="14.25" hidden="false" customHeight="false" outlineLevel="0" collapsed="false">
      <c r="A435" s="9" t="s">
        <v>65</v>
      </c>
      <c r="B435" s="10" t="s">
        <v>66</v>
      </c>
      <c r="C435" s="1" t="s">
        <v>67</v>
      </c>
    </row>
    <row r="436" customFormat="false" ht="14.25" hidden="false" customHeight="false" outlineLevel="0" collapsed="false">
      <c r="A436" s="9"/>
      <c r="B436" s="10" t="s">
        <v>68</v>
      </c>
      <c r="C436" s="1" t="s">
        <v>478</v>
      </c>
    </row>
    <row r="437" customFormat="false" ht="14.25" hidden="false" customHeight="false" outlineLevel="0" collapsed="false">
      <c r="A437" s="9" t="s">
        <v>71</v>
      </c>
      <c r="B437" s="3"/>
      <c r="C437" s="1" t="s">
        <v>72</v>
      </c>
      <c r="D437" s="0" t="s">
        <v>73</v>
      </c>
    </row>
    <row r="438" customFormat="false" ht="14.25" hidden="false" customHeight="false" outlineLevel="0" collapsed="false">
      <c r="A438" s="9" t="s">
        <v>74</v>
      </c>
      <c r="B438" s="10" t="s">
        <v>75</v>
      </c>
    </row>
    <row r="439" customFormat="false" ht="14.25" hidden="false" customHeight="false" outlineLevel="0" collapsed="false">
      <c r="A439" s="9"/>
      <c r="B439" s="10" t="s">
        <v>76</v>
      </c>
    </row>
    <row r="440" customFormat="false" ht="16.4" hidden="false" customHeight="false" outlineLevel="0" collapsed="false">
      <c r="A440" s="9"/>
      <c r="B440" s="10" t="s">
        <v>77</v>
      </c>
      <c r="C440" s="20" t="s">
        <v>551</v>
      </c>
      <c r="D440" s="20" t="s">
        <v>552</v>
      </c>
    </row>
    <row r="441" customFormat="false" ht="16.4" hidden="false" customHeight="false" outlineLevel="0" collapsed="false">
      <c r="A441" s="16" t="s">
        <v>79</v>
      </c>
      <c r="B441" s="3"/>
      <c r="C441" s="52" t="s">
        <v>553</v>
      </c>
    </row>
    <row r="442" customFormat="false" ht="16.4" hidden="false" customHeight="false" outlineLevel="0" collapsed="false">
      <c r="A442" s="2"/>
      <c r="B442" s="3"/>
      <c r="C442" s="52" t="s">
        <v>554</v>
      </c>
    </row>
    <row r="443" customFormat="false" ht="14.25" hidden="false" customHeight="false" outlineLevel="0" collapsed="false">
      <c r="A443" s="21"/>
      <c r="B443" s="22"/>
      <c r="C443" s="53"/>
      <c r="D443" s="23"/>
    </row>
    <row r="444" customFormat="false" ht="14.25" hidden="false" customHeight="false" outlineLevel="0" collapsed="false">
      <c r="A444" s="9" t="s">
        <v>0</v>
      </c>
      <c r="B444" s="10" t="s">
        <v>1</v>
      </c>
      <c r="C444" s="54" t="s">
        <v>555</v>
      </c>
    </row>
    <row r="445" customFormat="false" ht="14.25" hidden="false" customHeight="false" outlineLevel="0" collapsed="false">
      <c r="A445" s="9"/>
      <c r="B445" s="10" t="s">
        <v>3</v>
      </c>
      <c r="C445" s="55" t="n">
        <v>1999</v>
      </c>
    </row>
    <row r="446" customFormat="false" ht="16.4" hidden="false" customHeight="false" outlineLevel="0" collapsed="false">
      <c r="A446" s="9"/>
      <c r="B446" s="10" t="s">
        <v>5</v>
      </c>
      <c r="C446" s="52" t="s">
        <v>556</v>
      </c>
    </row>
    <row r="447" customFormat="false" ht="14.25" hidden="false" customHeight="false" outlineLevel="0" collapsed="false">
      <c r="A447" s="9" t="s">
        <v>7</v>
      </c>
      <c r="B447" s="10" t="s">
        <v>8</v>
      </c>
      <c r="C447" s="55" t="s">
        <v>557</v>
      </c>
    </row>
    <row r="448" customFormat="false" ht="14.25" hidden="false" customHeight="false" outlineLevel="0" collapsed="false">
      <c r="A448" s="9"/>
      <c r="B448" s="10" t="s">
        <v>10</v>
      </c>
      <c r="C448" s="55" t="s">
        <v>471</v>
      </c>
    </row>
    <row r="449" customFormat="false" ht="14.25" hidden="false" customHeight="false" outlineLevel="0" collapsed="false">
      <c r="A449" s="9" t="s">
        <v>13</v>
      </c>
      <c r="B449" s="10" t="s">
        <v>14</v>
      </c>
      <c r="C449" s="55" t="n">
        <v>16</v>
      </c>
    </row>
    <row r="450" customFormat="false" ht="14.25" hidden="false" customHeight="false" outlineLevel="0" collapsed="false">
      <c r="A450" s="9"/>
      <c r="B450" s="10" t="s">
        <v>15</v>
      </c>
      <c r="C450" s="55" t="s">
        <v>558</v>
      </c>
    </row>
    <row r="451" customFormat="false" ht="14.25" hidden="false" customHeight="false" outlineLevel="0" collapsed="false">
      <c r="A451" s="9"/>
      <c r="B451" s="10" t="s">
        <v>17</v>
      </c>
      <c r="C451" s="55" t="s">
        <v>559</v>
      </c>
    </row>
    <row r="452" customFormat="false" ht="14.25" hidden="false" customHeight="false" outlineLevel="0" collapsed="false">
      <c r="A452" s="9"/>
      <c r="B452" s="10" t="s">
        <v>19</v>
      </c>
      <c r="C452" s="55"/>
    </row>
    <row r="453" customFormat="false" ht="14.25" hidden="false" customHeight="false" outlineLevel="0" collapsed="false">
      <c r="A453" s="9" t="s">
        <v>22</v>
      </c>
      <c r="B453" s="10" t="s">
        <v>23</v>
      </c>
      <c r="C453" s="55" t="n">
        <v>19</v>
      </c>
    </row>
    <row r="454" customFormat="false" ht="14.25" hidden="false" customHeight="false" outlineLevel="0" collapsed="false">
      <c r="A454" s="9"/>
      <c r="B454" s="56" t="s">
        <v>25</v>
      </c>
      <c r="C454" s="55" t="s">
        <v>560</v>
      </c>
      <c r="D454" s="13"/>
      <c r="E454" s="13"/>
      <c r="F454" s="13"/>
      <c r="G454" s="13"/>
      <c r="H454" s="13"/>
      <c r="I454" s="13"/>
    </row>
    <row r="455" customFormat="false" ht="14.25" hidden="false" customHeight="false" outlineLevel="0" collapsed="false">
      <c r="A455" s="9"/>
      <c r="B455" s="56" t="s">
        <v>27</v>
      </c>
      <c r="C455" s="57" t="s">
        <v>561</v>
      </c>
      <c r="D455" s="1" t="s">
        <v>562</v>
      </c>
      <c r="E455" s="1" t="s">
        <v>563</v>
      </c>
      <c r="F455" s="1" t="s">
        <v>564</v>
      </c>
      <c r="G455" s="1" t="s">
        <v>565</v>
      </c>
      <c r="H455" s="1" t="s">
        <v>566</v>
      </c>
      <c r="I455" s="58" t="s">
        <v>134</v>
      </c>
    </row>
    <row r="456" customFormat="false" ht="14.25" hidden="false" customHeight="false" outlineLevel="0" collapsed="false">
      <c r="A456" s="9"/>
      <c r="B456" s="56" t="s">
        <v>64</v>
      </c>
      <c r="C456" s="57" t="n">
        <v>250</v>
      </c>
      <c r="D456" s="34" t="n">
        <v>250</v>
      </c>
      <c r="E456" s="34" t="n">
        <v>250</v>
      </c>
      <c r="F456" s="34" t="n">
        <v>250</v>
      </c>
      <c r="G456" s="34" t="n">
        <v>250</v>
      </c>
      <c r="H456" s="34" t="n">
        <v>250</v>
      </c>
      <c r="I456" s="34" t="n">
        <v>250</v>
      </c>
    </row>
    <row r="457" customFormat="false" ht="14.25" hidden="false" customHeight="false" outlineLevel="0" collapsed="false">
      <c r="A457" s="9" t="s">
        <v>65</v>
      </c>
      <c r="B457" s="10" t="s">
        <v>66</v>
      </c>
      <c r="C457" s="55" t="s">
        <v>114</v>
      </c>
    </row>
    <row r="458" customFormat="false" ht="14.25" hidden="false" customHeight="false" outlineLevel="0" collapsed="false">
      <c r="A458" s="9"/>
      <c r="B458" s="10" t="s">
        <v>68</v>
      </c>
      <c r="C458" s="55" t="s">
        <v>567</v>
      </c>
    </row>
    <row r="459" customFormat="false" ht="14.25" hidden="false" customHeight="false" outlineLevel="0" collapsed="false">
      <c r="A459" s="9" t="s">
        <v>71</v>
      </c>
      <c r="B459" s="3"/>
      <c r="C459" s="1" t="s">
        <v>289</v>
      </c>
      <c r="D459" s="0" t="s">
        <v>568</v>
      </c>
    </row>
    <row r="460" customFormat="false" ht="14.25" hidden="false" customHeight="false" outlineLevel="0" collapsed="false">
      <c r="A460" s="9" t="s">
        <v>74</v>
      </c>
      <c r="B460" s="10" t="s">
        <v>75</v>
      </c>
      <c r="C460" s="55"/>
    </row>
    <row r="461" customFormat="false" ht="14.25" hidden="false" customHeight="false" outlineLevel="0" collapsed="false">
      <c r="A461" s="9"/>
      <c r="B461" s="10" t="s">
        <v>76</v>
      </c>
      <c r="C461" s="55"/>
    </row>
    <row r="462" customFormat="false" ht="16.4" hidden="false" customHeight="false" outlineLevel="0" collapsed="false">
      <c r="A462" s="9"/>
      <c r="B462" s="10" t="s">
        <v>77</v>
      </c>
      <c r="C462" s="20" t="s">
        <v>569</v>
      </c>
    </row>
    <row r="463" customFormat="false" ht="14.25" hidden="false" customHeight="false" outlineLevel="0" collapsed="false">
      <c r="A463" s="16" t="s">
        <v>79</v>
      </c>
      <c r="B463" s="3"/>
      <c r="C463" s="55"/>
    </row>
    <row r="464" customFormat="false" ht="14.25" hidden="false" customHeight="false" outlineLevel="0" collapsed="false">
      <c r="A464" s="2"/>
      <c r="B464" s="3"/>
      <c r="C464" s="52"/>
    </row>
    <row r="465" customFormat="false" ht="14.25" hidden="false" customHeight="false" outlineLevel="0" collapsed="false">
      <c r="A465" s="21"/>
      <c r="B465" s="22"/>
      <c r="C465" s="17"/>
      <c r="D465" s="23"/>
    </row>
    <row r="466" customFormat="false" ht="14.25" hidden="false" customHeight="false" outlineLevel="0" collapsed="false">
      <c r="A466" s="9" t="s">
        <v>0</v>
      </c>
      <c r="B466" s="10" t="s">
        <v>1</v>
      </c>
      <c r="C466" s="19" t="s">
        <v>570</v>
      </c>
    </row>
    <row r="467" customFormat="false" ht="14.25" hidden="false" customHeight="false" outlineLevel="0" collapsed="false">
      <c r="A467" s="9"/>
      <c r="B467" s="10" t="s">
        <v>3</v>
      </c>
      <c r="C467" s="1" t="s">
        <v>571</v>
      </c>
    </row>
    <row r="468" customFormat="false" ht="16.4" hidden="false" customHeight="false" outlineLevel="0" collapsed="false">
      <c r="A468" s="9"/>
      <c r="B468" s="10" t="s">
        <v>5</v>
      </c>
      <c r="C468" s="13" t="s">
        <v>572</v>
      </c>
    </row>
    <row r="469" customFormat="false" ht="14.25" hidden="false" customHeight="false" outlineLevel="0" collapsed="false">
      <c r="A469" s="9" t="s">
        <v>7</v>
      </c>
      <c r="B469" s="10" t="s">
        <v>8</v>
      </c>
      <c r="C469" s="1" t="s">
        <v>573</v>
      </c>
      <c r="D469" s="59"/>
    </row>
    <row r="470" customFormat="false" ht="14.25" hidden="false" customHeight="false" outlineLevel="0" collapsed="false">
      <c r="A470" s="9"/>
      <c r="B470" s="10" t="s">
        <v>10</v>
      </c>
      <c r="C470" s="60" t="s">
        <v>84</v>
      </c>
      <c r="D470" s="59"/>
    </row>
    <row r="471" customFormat="false" ht="14.25" hidden="false" customHeight="false" outlineLevel="0" collapsed="false">
      <c r="A471" s="9"/>
      <c r="B471" s="10" t="s">
        <v>574</v>
      </c>
      <c r="C471" s="60" t="s">
        <v>575</v>
      </c>
      <c r="D471" s="59" t="s">
        <v>576</v>
      </c>
      <c r="E471" s="0" t="s">
        <v>577</v>
      </c>
    </row>
    <row r="472" customFormat="false" ht="14.25" hidden="false" customHeight="false" outlineLevel="0" collapsed="false">
      <c r="A472" s="9" t="s">
        <v>13</v>
      </c>
      <c r="B472" s="10" t="s">
        <v>14</v>
      </c>
      <c r="C472" s="61" t="n">
        <v>768</v>
      </c>
      <c r="D472" s="62" t="n">
        <v>83</v>
      </c>
      <c r="E472" s="26" t="n">
        <v>78</v>
      </c>
    </row>
    <row r="473" customFormat="false" ht="14.25" hidden="false" customHeight="false" outlineLevel="0" collapsed="false">
      <c r="A473" s="9"/>
      <c r="B473" s="10" t="s">
        <v>15</v>
      </c>
      <c r="C473" s="26" t="s">
        <v>578</v>
      </c>
      <c r="D473" s="26" t="s">
        <v>579</v>
      </c>
      <c r="E473" s="26" t="s">
        <v>580</v>
      </c>
    </row>
    <row r="474" customFormat="false" ht="14.25" hidden="false" customHeight="false" outlineLevel="0" collapsed="false">
      <c r="A474" s="9"/>
      <c r="B474" s="10" t="s">
        <v>17</v>
      </c>
      <c r="C474" s="26" t="s">
        <v>581</v>
      </c>
      <c r="D474" s="26" t="s">
        <v>582</v>
      </c>
      <c r="E474" s="26" t="s">
        <v>583</v>
      </c>
      <c r="K474" s="15"/>
    </row>
    <row r="475" customFormat="false" ht="14.25" hidden="false" customHeight="false" outlineLevel="0" collapsed="false">
      <c r="A475" s="9"/>
      <c r="B475" s="10" t="s">
        <v>19</v>
      </c>
      <c r="C475" s="61" t="s">
        <v>84</v>
      </c>
      <c r="D475" s="37" t="s">
        <v>584</v>
      </c>
      <c r="E475" s="26" t="s">
        <v>585</v>
      </c>
      <c r="K475" s="15"/>
    </row>
    <row r="476" customFormat="false" ht="14.25" hidden="false" customHeight="false" outlineLevel="0" collapsed="false">
      <c r="A476" s="9" t="s">
        <v>22</v>
      </c>
      <c r="B476" s="10" t="s">
        <v>23</v>
      </c>
      <c r="C476" s="61" t="n">
        <v>768</v>
      </c>
      <c r="D476" s="62" t="n">
        <v>83</v>
      </c>
      <c r="E476" s="26" t="n">
        <v>78</v>
      </c>
    </row>
    <row r="477" customFormat="false" ht="14.25" hidden="false" customHeight="false" outlineLevel="0" collapsed="false">
      <c r="A477" s="9"/>
      <c r="B477" s="10" t="s">
        <v>25</v>
      </c>
      <c r="C477" s="61" t="n">
        <v>1</v>
      </c>
      <c r="D477" s="62" t="n">
        <v>1</v>
      </c>
      <c r="E477" s="26" t="n">
        <v>1</v>
      </c>
    </row>
    <row r="478" customFormat="false" ht="14.25" hidden="false" customHeight="false" outlineLevel="0" collapsed="false">
      <c r="A478" s="9"/>
      <c r="B478" s="10" t="s">
        <v>27</v>
      </c>
      <c r="C478" s="1" t="s">
        <v>586</v>
      </c>
    </row>
    <row r="479" customFormat="false" ht="14.25" hidden="false" customHeight="false" outlineLevel="0" collapsed="false">
      <c r="A479" s="9"/>
      <c r="B479" s="10" t="s">
        <v>64</v>
      </c>
      <c r="C479" s="1" t="s">
        <v>586</v>
      </c>
    </row>
    <row r="480" customFormat="false" ht="14.25" hidden="false" customHeight="false" outlineLevel="0" collapsed="false">
      <c r="A480" s="9" t="s">
        <v>65</v>
      </c>
      <c r="B480" s="10" t="s">
        <v>66</v>
      </c>
      <c r="C480" s="1" t="s">
        <v>67</v>
      </c>
    </row>
    <row r="481" customFormat="false" ht="14.25" hidden="false" customHeight="false" outlineLevel="0" collapsed="false">
      <c r="A481" s="9"/>
      <c r="B481" s="10" t="s">
        <v>68</v>
      </c>
      <c r="C481" s="63" t="s">
        <v>84</v>
      </c>
    </row>
    <row r="482" customFormat="false" ht="14.25" hidden="false" customHeight="false" outlineLevel="0" collapsed="false">
      <c r="A482" s="9" t="s">
        <v>71</v>
      </c>
      <c r="B482" s="3"/>
      <c r="C482" s="63" t="s">
        <v>72</v>
      </c>
      <c r="D482" s="0" t="s">
        <v>587</v>
      </c>
    </row>
    <row r="483" customFormat="false" ht="14.25" hidden="false" customHeight="false" outlineLevel="0" collapsed="false">
      <c r="A483" s="9" t="s">
        <v>74</v>
      </c>
      <c r="B483" s="10" t="s">
        <v>75</v>
      </c>
      <c r="C483" s="63"/>
    </row>
    <row r="484" customFormat="false" ht="14.25" hidden="false" customHeight="false" outlineLevel="0" collapsed="false">
      <c r="A484" s="9"/>
      <c r="B484" s="10" t="s">
        <v>76</v>
      </c>
      <c r="C484" s="63"/>
    </row>
    <row r="485" customFormat="false" ht="16.4" hidden="false" customHeight="false" outlineLevel="0" collapsed="false">
      <c r="A485" s="9"/>
      <c r="B485" s="10" t="s">
        <v>77</v>
      </c>
      <c r="C485" s="64" t="s">
        <v>588</v>
      </c>
      <c r="D485" s="20" t="s">
        <v>589</v>
      </c>
    </row>
    <row r="486" customFormat="false" ht="16.4" hidden="false" customHeight="false" outlineLevel="0" collapsed="false">
      <c r="A486" s="16" t="s">
        <v>79</v>
      </c>
      <c r="B486" s="3"/>
      <c r="C486" s="52" t="s">
        <v>590</v>
      </c>
    </row>
    <row r="487" customFormat="false" ht="16.4" hidden="false" customHeight="false" outlineLevel="0" collapsed="false">
      <c r="A487" s="2"/>
      <c r="B487" s="3"/>
      <c r="C487" s="52" t="s">
        <v>591</v>
      </c>
    </row>
    <row r="488" customFormat="false" ht="14.25" hidden="false" customHeight="false" outlineLevel="0" collapsed="false">
      <c r="A488" s="21"/>
      <c r="B488" s="22"/>
      <c r="C488" s="53"/>
      <c r="D488" s="23"/>
    </row>
    <row r="489" customFormat="false" ht="14.25" hidden="false" customHeight="false" outlineLevel="0" collapsed="false">
      <c r="A489" s="9" t="s">
        <v>0</v>
      </c>
      <c r="B489" s="10" t="s">
        <v>1</v>
      </c>
      <c r="C489" s="65" t="s">
        <v>592</v>
      </c>
      <c r="D489" s="66"/>
      <c r="E489" s="66"/>
      <c r="F489" s="66"/>
    </row>
    <row r="490" customFormat="false" ht="14.25" hidden="false" customHeight="false" outlineLevel="0" collapsed="false">
      <c r="A490" s="9"/>
      <c r="B490" s="10" t="s">
        <v>3</v>
      </c>
      <c r="C490" s="55" t="n">
        <v>2019</v>
      </c>
      <c r="D490" s="66"/>
      <c r="E490" s="66"/>
      <c r="F490" s="66"/>
    </row>
    <row r="491" customFormat="false" ht="16.4" hidden="false" customHeight="false" outlineLevel="0" collapsed="false">
      <c r="A491" s="9"/>
      <c r="B491" s="10" t="s">
        <v>5</v>
      </c>
      <c r="C491" s="52" t="s">
        <v>593</v>
      </c>
      <c r="D491" s="66"/>
      <c r="E491" s="66"/>
      <c r="F491" s="66"/>
    </row>
    <row r="492" customFormat="false" ht="14.25" hidden="false" customHeight="false" outlineLevel="0" collapsed="false">
      <c r="A492" s="9" t="s">
        <v>7</v>
      </c>
      <c r="B492" s="10" t="s">
        <v>8</v>
      </c>
      <c r="C492" s="55" t="s">
        <v>594</v>
      </c>
      <c r="D492" s="66"/>
      <c r="E492" s="66"/>
      <c r="F492" s="66"/>
    </row>
    <row r="493" customFormat="false" ht="14.25" hidden="false" customHeight="false" outlineLevel="0" collapsed="false">
      <c r="A493" s="9"/>
      <c r="B493" s="10" t="s">
        <v>10</v>
      </c>
      <c r="C493" s="55" t="s">
        <v>84</v>
      </c>
      <c r="D493" s="66"/>
      <c r="E493" s="66"/>
      <c r="F493" s="66"/>
    </row>
    <row r="494" customFormat="false" ht="14.25" hidden="false" customHeight="false" outlineLevel="0" collapsed="false">
      <c r="A494" s="9" t="s">
        <v>13</v>
      </c>
      <c r="B494" s="10" t="s">
        <v>14</v>
      </c>
      <c r="C494" s="55" t="n">
        <v>31</v>
      </c>
      <c r="D494" s="66"/>
      <c r="E494" s="66"/>
      <c r="F494" s="66"/>
    </row>
    <row r="495" customFormat="false" ht="14.25" hidden="false" customHeight="false" outlineLevel="0" collapsed="false">
      <c r="A495" s="9"/>
      <c r="B495" s="10" t="s">
        <v>15</v>
      </c>
      <c r="C495" s="55" t="s">
        <v>595</v>
      </c>
      <c r="D495" s="66"/>
      <c r="E495" s="66"/>
      <c r="F495" s="66"/>
    </row>
    <row r="496" customFormat="false" ht="14.25" hidden="false" customHeight="false" outlineLevel="0" collapsed="false">
      <c r="A496" s="9"/>
      <c r="B496" s="10" t="s">
        <v>17</v>
      </c>
      <c r="C496" s="67" t="s">
        <v>596</v>
      </c>
      <c r="D496" s="66"/>
      <c r="E496" s="66"/>
      <c r="F496" s="66"/>
    </row>
    <row r="497" customFormat="false" ht="14.25" hidden="false" customHeight="false" outlineLevel="0" collapsed="false">
      <c r="A497" s="9"/>
      <c r="B497" s="10" t="s">
        <v>19</v>
      </c>
      <c r="C497" s="55" t="s">
        <v>597</v>
      </c>
      <c r="D497" s="66"/>
      <c r="E497" s="66"/>
      <c r="F497" s="66"/>
    </row>
    <row r="498" customFormat="false" ht="14.25" hidden="false" customHeight="false" outlineLevel="0" collapsed="false">
      <c r="A498" s="9" t="s">
        <v>22</v>
      </c>
      <c r="B498" s="10" t="s">
        <v>23</v>
      </c>
      <c r="C498" s="55" t="n">
        <v>31</v>
      </c>
      <c r="D498" s="66"/>
      <c r="E498" s="66"/>
      <c r="F498" s="66"/>
    </row>
    <row r="499" customFormat="false" ht="14.25" hidden="false" customHeight="false" outlineLevel="0" collapsed="false">
      <c r="A499" s="9"/>
      <c r="B499" s="10" t="s">
        <v>25</v>
      </c>
      <c r="C499" s="55" t="n">
        <v>1</v>
      </c>
      <c r="D499" s="66"/>
      <c r="E499" s="66"/>
      <c r="F499" s="66"/>
    </row>
    <row r="500" customFormat="false" ht="14.25" hidden="false" customHeight="false" outlineLevel="0" collapsed="false">
      <c r="A500" s="9"/>
      <c r="B500" s="10" t="s">
        <v>27</v>
      </c>
      <c r="C500" s="55" t="s">
        <v>598</v>
      </c>
      <c r="D500" s="66" t="s">
        <v>599</v>
      </c>
      <c r="E500" s="66" t="s">
        <v>600</v>
      </c>
      <c r="F500" s="66"/>
    </row>
    <row r="501" customFormat="false" ht="14.25" hidden="false" customHeight="false" outlineLevel="0" collapsed="false">
      <c r="A501" s="9"/>
      <c r="B501" s="10" t="s">
        <v>64</v>
      </c>
      <c r="C501" s="68" t="s">
        <v>601</v>
      </c>
      <c r="D501" s="68"/>
      <c r="E501" s="68"/>
      <c r="F501" s="66"/>
    </row>
    <row r="502" customFormat="false" ht="14.25" hidden="false" customHeight="false" outlineLevel="0" collapsed="false">
      <c r="A502" s="9" t="s">
        <v>65</v>
      </c>
      <c r="B502" s="10" t="s">
        <v>66</v>
      </c>
      <c r="C502" s="55" t="s">
        <v>67</v>
      </c>
      <c r="D502" s="66"/>
      <c r="E502" s="66"/>
      <c r="F502" s="66"/>
    </row>
    <row r="503" customFormat="false" ht="14.25" hidden="false" customHeight="false" outlineLevel="0" collapsed="false">
      <c r="A503" s="9"/>
      <c r="B503" s="10" t="s">
        <v>68</v>
      </c>
      <c r="C503" s="55" t="s">
        <v>84</v>
      </c>
      <c r="D503" s="66"/>
      <c r="E503" s="66"/>
      <c r="F503" s="66"/>
    </row>
    <row r="504" customFormat="false" ht="14.25" hidden="false" customHeight="false" outlineLevel="0" collapsed="false">
      <c r="A504" s="9" t="s">
        <v>71</v>
      </c>
      <c r="B504" s="3"/>
      <c r="C504" s="55" t="s">
        <v>513</v>
      </c>
      <c r="D504" s="66" t="s">
        <v>513</v>
      </c>
      <c r="E504" s="66"/>
      <c r="F504" s="66"/>
    </row>
    <row r="505" customFormat="false" ht="14.25" hidden="false" customHeight="false" outlineLevel="0" collapsed="false">
      <c r="A505" s="9" t="s">
        <v>74</v>
      </c>
      <c r="B505" s="10" t="s">
        <v>75</v>
      </c>
      <c r="C505" s="55"/>
      <c r="D505" s="66"/>
      <c r="E505" s="66"/>
      <c r="F505" s="66"/>
    </row>
    <row r="506" customFormat="false" ht="14.25" hidden="false" customHeight="false" outlineLevel="0" collapsed="false">
      <c r="A506" s="9"/>
      <c r="B506" s="10" t="s">
        <v>76</v>
      </c>
      <c r="C506" s="55"/>
      <c r="D506" s="66"/>
      <c r="E506" s="66"/>
      <c r="F506" s="66"/>
    </row>
    <row r="507" customFormat="false" ht="16.4" hidden="false" customHeight="false" outlineLevel="0" collapsed="false">
      <c r="A507" s="9"/>
      <c r="B507" s="10" t="s">
        <v>77</v>
      </c>
      <c r="C507" s="52" t="s">
        <v>602</v>
      </c>
      <c r="D507" s="20" t="s">
        <v>603</v>
      </c>
      <c r="E507" s="66"/>
      <c r="F507" s="66"/>
    </row>
    <row r="508" customFormat="false" ht="14.25" hidden="false" customHeight="false" outlineLevel="0" collapsed="false">
      <c r="A508" s="16" t="s">
        <v>79</v>
      </c>
      <c r="B508" s="3"/>
      <c r="C508" s="55"/>
      <c r="D508" s="66"/>
      <c r="E508" s="66"/>
      <c r="F508" s="66"/>
    </row>
    <row r="509" customFormat="false" ht="14.25" hidden="false" customHeight="false" outlineLevel="0" collapsed="false">
      <c r="A509" s="16"/>
      <c r="B509" s="3"/>
      <c r="C509" s="55"/>
      <c r="D509" s="66"/>
      <c r="E509" s="66"/>
      <c r="F509" s="66"/>
    </row>
    <row r="510" customFormat="false" ht="14.25" hidden="false" customHeight="false" outlineLevel="0" collapsed="false">
      <c r="A510" s="21"/>
      <c r="B510" s="22"/>
      <c r="C510" s="69"/>
      <c r="D510" s="70"/>
      <c r="E510" s="66"/>
      <c r="F510" s="66"/>
    </row>
    <row r="511" customFormat="false" ht="14.25" hidden="false" customHeight="false" outlineLevel="0" collapsed="false">
      <c r="A511" s="9" t="s">
        <v>0</v>
      </c>
      <c r="B511" s="10" t="s">
        <v>1</v>
      </c>
      <c r="C511" s="19" t="s">
        <v>604</v>
      </c>
    </row>
    <row r="512" customFormat="false" ht="14.25" hidden="false" customHeight="false" outlineLevel="0" collapsed="false">
      <c r="A512" s="9"/>
      <c r="B512" s="10" t="s">
        <v>3</v>
      </c>
      <c r="C512" s="1" t="s">
        <v>605</v>
      </c>
    </row>
    <row r="513" customFormat="false" ht="16.4" hidden="false" customHeight="false" outlineLevel="0" collapsed="false">
      <c r="A513" s="9"/>
      <c r="B513" s="10" t="s">
        <v>5</v>
      </c>
      <c r="C513" s="13" t="s">
        <v>606</v>
      </c>
    </row>
    <row r="514" customFormat="false" ht="14.25" hidden="false" customHeight="false" outlineLevel="0" collapsed="false">
      <c r="A514" s="9" t="s">
        <v>7</v>
      </c>
      <c r="B514" s="10" t="s">
        <v>8</v>
      </c>
      <c r="C514" s="1" t="s">
        <v>607</v>
      </c>
    </row>
    <row r="515" customFormat="false" ht="14.25" hidden="false" customHeight="false" outlineLevel="0" collapsed="false">
      <c r="A515" s="9"/>
      <c r="B515" s="10" t="s">
        <v>10</v>
      </c>
      <c r="C515" s="1" t="s">
        <v>608</v>
      </c>
    </row>
    <row r="516" customFormat="false" ht="14.25" hidden="false" customHeight="false" outlineLevel="0" collapsed="false">
      <c r="A516" s="9" t="s">
        <v>13</v>
      </c>
      <c r="B516" s="10" t="s">
        <v>14</v>
      </c>
      <c r="C516" s="1" t="n">
        <v>2909</v>
      </c>
    </row>
    <row r="517" customFormat="false" ht="14.25" hidden="false" customHeight="false" outlineLevel="0" collapsed="false">
      <c r="A517" s="9"/>
      <c r="B517" s="10" t="s">
        <v>15</v>
      </c>
      <c r="C517" s="1" t="s">
        <v>609</v>
      </c>
    </row>
    <row r="518" customFormat="false" ht="14.25" hidden="false" customHeight="false" outlineLevel="0" collapsed="false">
      <c r="A518" s="9"/>
      <c r="B518" s="10" t="s">
        <v>17</v>
      </c>
      <c r="C518" s="1" t="s">
        <v>610</v>
      </c>
    </row>
    <row r="519" customFormat="false" ht="14.25" hidden="false" customHeight="false" outlineLevel="0" collapsed="false">
      <c r="A519" s="9"/>
      <c r="B519" s="10" t="s">
        <v>19</v>
      </c>
      <c r="C519" s="1" t="s">
        <v>611</v>
      </c>
    </row>
    <row r="520" customFormat="false" ht="14.25" hidden="false" customHeight="false" outlineLevel="0" collapsed="false">
      <c r="A520" s="9" t="s">
        <v>22</v>
      </c>
      <c r="B520" s="10" t="s">
        <v>23</v>
      </c>
      <c r="C520" s="1" t="s">
        <v>612</v>
      </c>
    </row>
    <row r="521" customFormat="false" ht="14.25" hidden="false" customHeight="false" outlineLevel="0" collapsed="false">
      <c r="A521" s="9"/>
      <c r="B521" s="10" t="s">
        <v>25</v>
      </c>
      <c r="C521" s="46" t="n">
        <v>45689</v>
      </c>
    </row>
    <row r="522" customFormat="false" ht="14.25" hidden="false" customHeight="false" outlineLevel="0" collapsed="false">
      <c r="A522" s="9"/>
      <c r="B522" s="10" t="s">
        <v>27</v>
      </c>
      <c r="C522" s="1" t="s">
        <v>613</v>
      </c>
      <c r="D522" s="1" t="s">
        <v>614</v>
      </c>
      <c r="E522" s="1" t="s">
        <v>615</v>
      </c>
      <c r="F522" s="1" t="s">
        <v>615</v>
      </c>
      <c r="G522" s="1" t="s">
        <v>255</v>
      </c>
      <c r="H522" s="1" t="s">
        <v>257</v>
      </c>
      <c r="I522" s="1" t="s">
        <v>616</v>
      </c>
      <c r="J522" s="1" t="s">
        <v>617</v>
      </c>
      <c r="K522" s="1" t="s">
        <v>618</v>
      </c>
      <c r="L522" s="1" t="s">
        <v>619</v>
      </c>
      <c r="M522" s="1" t="s">
        <v>620</v>
      </c>
      <c r="N522" s="1" t="s">
        <v>529</v>
      </c>
      <c r="O522" s="1" t="s">
        <v>529</v>
      </c>
      <c r="P522" s="1" t="s">
        <v>621</v>
      </c>
      <c r="Q522" s="1" t="s">
        <v>622</v>
      </c>
      <c r="R522" s="1" t="s">
        <v>623</v>
      </c>
      <c r="S522" s="1" t="s">
        <v>624</v>
      </c>
      <c r="T522" s="1" t="s">
        <v>625</v>
      </c>
      <c r="U522" s="1" t="s">
        <v>626</v>
      </c>
      <c r="V522" s="1" t="s">
        <v>542</v>
      </c>
      <c r="W522" s="1" t="s">
        <v>627</v>
      </c>
      <c r="X522" s="1" t="s">
        <v>628</v>
      </c>
      <c r="Y522" s="1" t="s">
        <v>629</v>
      </c>
      <c r="Z522" s="1" t="s">
        <v>630</v>
      </c>
      <c r="AA522" s="1" t="s">
        <v>631</v>
      </c>
      <c r="AB522" s="1" t="s">
        <v>632</v>
      </c>
      <c r="AC522" s="1" t="s">
        <v>633</v>
      </c>
      <c r="AD522" s="1" t="s">
        <v>634</v>
      </c>
      <c r="AE522" s="1" t="s">
        <v>635</v>
      </c>
      <c r="AF522" s="1" t="s">
        <v>427</v>
      </c>
      <c r="AG522" s="1" t="s">
        <v>636</v>
      </c>
      <c r="AH522" s="1" t="s">
        <v>637</v>
      </c>
      <c r="AI522" s="1" t="s">
        <v>638</v>
      </c>
      <c r="AJ522" s="1" t="s">
        <v>639</v>
      </c>
      <c r="AK522" s="1" t="s">
        <v>640</v>
      </c>
      <c r="AL522" s="1" t="s">
        <v>641</v>
      </c>
      <c r="AM522" s="1" t="s">
        <v>641</v>
      </c>
      <c r="AN522" s="1" t="s">
        <v>642</v>
      </c>
      <c r="AO522" s="58" t="s">
        <v>61</v>
      </c>
    </row>
    <row r="523" customFormat="false" ht="14.25" hidden="false" customHeight="false" outlineLevel="0" collapsed="false">
      <c r="A523" s="9"/>
      <c r="B523" s="10" t="s">
        <v>64</v>
      </c>
      <c r="C523" s="1" t="n">
        <v>32</v>
      </c>
      <c r="D523" s="1" t="n">
        <v>16</v>
      </c>
      <c r="E523" s="1" t="n">
        <v>32</v>
      </c>
      <c r="F523" s="1" t="n">
        <v>16</v>
      </c>
      <c r="G523" s="1" t="n">
        <v>256</v>
      </c>
      <c r="H523" s="1" t="n">
        <v>256</v>
      </c>
      <c r="I523" s="1" t="n">
        <v>64</v>
      </c>
      <c r="J523" s="1" t="n">
        <v>64</v>
      </c>
      <c r="K523" s="1" t="n">
        <v>64</v>
      </c>
      <c r="L523" s="1" t="n">
        <v>64</v>
      </c>
      <c r="M523" s="1" t="n">
        <v>32</v>
      </c>
      <c r="N523" s="1" t="n">
        <v>512</v>
      </c>
      <c r="O523" s="1" t="n">
        <v>1024</v>
      </c>
      <c r="P523" s="1" t="n">
        <v>256</v>
      </c>
      <c r="Q523" s="1" t="n">
        <v>256</v>
      </c>
      <c r="R523" s="1" t="n">
        <v>512</v>
      </c>
      <c r="S523" s="1" t="n">
        <v>512</v>
      </c>
      <c r="T523" s="1" t="n">
        <v>512</v>
      </c>
      <c r="U523" s="1" t="n">
        <v>512</v>
      </c>
      <c r="V523" s="1" t="n">
        <v>1</v>
      </c>
      <c r="W523" s="1" t="n">
        <v>256</v>
      </c>
      <c r="X523" s="1" t="n">
        <v>256</v>
      </c>
      <c r="Y523" s="1" t="n">
        <v>64</v>
      </c>
      <c r="Z523" s="1" t="n">
        <v>64</v>
      </c>
      <c r="AA523" s="1" t="n">
        <v>64</v>
      </c>
      <c r="AB523" s="1" t="n">
        <v>64</v>
      </c>
      <c r="AC523" s="1" t="n">
        <v>256</v>
      </c>
      <c r="AD523" s="1" t="n">
        <v>256</v>
      </c>
      <c r="AE523" s="1" t="n">
        <v>256</v>
      </c>
      <c r="AF523" s="1" t="n">
        <v>4</v>
      </c>
      <c r="AG523" s="1" t="n">
        <v>256</v>
      </c>
      <c r="AH523" s="1" t="n">
        <v>256</v>
      </c>
      <c r="AI523" s="1" t="n">
        <v>256</v>
      </c>
      <c r="AJ523" s="1" t="n">
        <v>1</v>
      </c>
      <c r="AK523" s="1" t="n">
        <v>1</v>
      </c>
      <c r="AL523" s="1" t="n">
        <v>32</v>
      </c>
      <c r="AM523" s="1" t="n">
        <v>16</v>
      </c>
      <c r="AN523" s="1" t="n">
        <v>16</v>
      </c>
      <c r="AO523" s="1" t="n">
        <v>1</v>
      </c>
    </row>
    <row r="524" customFormat="false" ht="14.25" hidden="false" customHeight="false" outlineLevel="0" collapsed="false">
      <c r="A524" s="9" t="s">
        <v>65</v>
      </c>
      <c r="B524" s="10" t="s">
        <v>66</v>
      </c>
      <c r="C524" s="1" t="s">
        <v>67</v>
      </c>
    </row>
    <row r="525" customFormat="false" ht="14.25" hidden="false" customHeight="false" outlineLevel="0" collapsed="false">
      <c r="A525" s="9"/>
      <c r="B525" s="10" t="s">
        <v>68</v>
      </c>
      <c r="C525" s="1" t="s">
        <v>478</v>
      </c>
    </row>
    <row r="526" customFormat="false" ht="14.25" hidden="false" customHeight="false" outlineLevel="0" collapsed="false">
      <c r="A526" s="9" t="s">
        <v>71</v>
      </c>
      <c r="B526" s="3"/>
      <c r="C526" s="1" t="s">
        <v>72</v>
      </c>
      <c r="D526" s="0" t="s">
        <v>643</v>
      </c>
    </row>
    <row r="527" customFormat="false" ht="14.25" hidden="false" customHeight="false" outlineLevel="0" collapsed="false">
      <c r="A527" s="9" t="s">
        <v>74</v>
      </c>
      <c r="B527" s="10" t="s">
        <v>75</v>
      </c>
    </row>
    <row r="528" customFormat="false" ht="14.25" hidden="false" customHeight="false" outlineLevel="0" collapsed="false">
      <c r="A528" s="9"/>
      <c r="B528" s="10" t="s">
        <v>76</v>
      </c>
    </row>
    <row r="529" customFormat="false" ht="16.4" hidden="false" customHeight="false" outlineLevel="0" collapsed="false">
      <c r="A529" s="9"/>
      <c r="B529" s="10" t="s">
        <v>77</v>
      </c>
      <c r="C529" s="20" t="s">
        <v>644</v>
      </c>
      <c r="D529" s="20" t="s">
        <v>645</v>
      </c>
    </row>
    <row r="530" customFormat="false" ht="14.25" hidden="false" customHeight="false" outlineLevel="0" collapsed="false">
      <c r="A530" s="16" t="s">
        <v>79</v>
      </c>
      <c r="B530" s="3"/>
    </row>
    <row r="531" customFormat="false" ht="14.25" hidden="false" customHeight="false" outlineLevel="0" collapsed="false">
      <c r="A531" s="2"/>
      <c r="B531" s="3"/>
    </row>
    <row r="532" customFormat="false" ht="14.25" hidden="false" customHeight="false" outlineLevel="0" collapsed="false">
      <c r="A532" s="21"/>
      <c r="B532" s="22"/>
      <c r="C532" s="17"/>
      <c r="D532" s="23"/>
    </row>
    <row r="533" customFormat="false" ht="14.25" hidden="false" customHeight="false" outlineLevel="0" collapsed="false">
      <c r="A533" s="9" t="s">
        <v>0</v>
      </c>
      <c r="B533" s="10" t="s">
        <v>1</v>
      </c>
      <c r="C533" s="19" t="s">
        <v>646</v>
      </c>
    </row>
    <row r="534" customFormat="false" ht="14.25" hidden="false" customHeight="false" outlineLevel="0" collapsed="false">
      <c r="A534" s="9"/>
      <c r="B534" s="10" t="s">
        <v>3</v>
      </c>
      <c r="C534" s="1" t="s">
        <v>647</v>
      </c>
    </row>
    <row r="535" customFormat="false" ht="16.4" hidden="false" customHeight="false" outlineLevel="0" collapsed="false">
      <c r="A535" s="9"/>
      <c r="B535" s="10" t="s">
        <v>5</v>
      </c>
      <c r="C535" s="13" t="s">
        <v>648</v>
      </c>
    </row>
    <row r="536" customFormat="false" ht="14.25" hidden="false" customHeight="false" outlineLevel="0" collapsed="false">
      <c r="A536" s="9" t="s">
        <v>7</v>
      </c>
      <c r="B536" s="10" t="s">
        <v>8</v>
      </c>
      <c r="C536" s="1" t="s">
        <v>649</v>
      </c>
    </row>
    <row r="537" customFormat="false" ht="14.25" hidden="false" customHeight="false" outlineLevel="0" collapsed="false">
      <c r="A537" s="9"/>
      <c r="B537" s="10" t="s">
        <v>10</v>
      </c>
      <c r="C537" s="1" t="s">
        <v>84</v>
      </c>
    </row>
    <row r="538" customFormat="false" ht="14.25" hidden="false" customHeight="false" outlineLevel="0" collapsed="false">
      <c r="A538" s="9" t="s">
        <v>13</v>
      </c>
      <c r="B538" s="10" t="s">
        <v>14</v>
      </c>
      <c r="C538" s="1" t="n">
        <v>106</v>
      </c>
    </row>
    <row r="539" customFormat="false" ht="14.25" hidden="false" customHeight="false" outlineLevel="0" collapsed="false">
      <c r="A539" s="9"/>
      <c r="B539" s="10" t="s">
        <v>15</v>
      </c>
      <c r="C539" s="1" t="s">
        <v>650</v>
      </c>
    </row>
    <row r="540" customFormat="false" ht="14.25" hidden="false" customHeight="false" outlineLevel="0" collapsed="false">
      <c r="A540" s="9"/>
      <c r="B540" s="10" t="s">
        <v>17</v>
      </c>
      <c r="C540" s="1" t="s">
        <v>651</v>
      </c>
    </row>
    <row r="541" customFormat="false" ht="14.25" hidden="false" customHeight="false" outlineLevel="0" collapsed="false">
      <c r="A541" s="9"/>
      <c r="B541" s="10" t="s">
        <v>19</v>
      </c>
      <c r="C541" s="1" t="s">
        <v>652</v>
      </c>
    </row>
    <row r="542" customFormat="false" ht="14.25" hidden="false" customHeight="false" outlineLevel="0" collapsed="false">
      <c r="A542" s="9" t="s">
        <v>22</v>
      </c>
      <c r="B542" s="10" t="s">
        <v>23</v>
      </c>
      <c r="C542" s="1" t="n">
        <v>106</v>
      </c>
    </row>
    <row r="543" customFormat="false" ht="14.25" hidden="false" customHeight="false" outlineLevel="0" collapsed="false">
      <c r="A543" s="9"/>
      <c r="B543" s="10" t="s">
        <v>25</v>
      </c>
      <c r="C543" s="1" t="n">
        <v>1</v>
      </c>
    </row>
    <row r="544" customFormat="false" ht="14.25" hidden="false" customHeight="false" outlineLevel="0" collapsed="false">
      <c r="A544" s="9"/>
      <c r="B544" s="10" t="s">
        <v>27</v>
      </c>
      <c r="C544" s="1" t="s">
        <v>131</v>
      </c>
      <c r="D544" s="1" t="s">
        <v>132</v>
      </c>
      <c r="E544" s="1" t="s">
        <v>133</v>
      </c>
      <c r="F544" s="1" t="s">
        <v>134</v>
      </c>
      <c r="G544" s="1" t="s">
        <v>215</v>
      </c>
      <c r="H544" s="1" t="s">
        <v>216</v>
      </c>
      <c r="I544" s="1" t="s">
        <v>653</v>
      </c>
      <c r="J544" s="1" t="s">
        <v>464</v>
      </c>
      <c r="K544" s="1" t="s">
        <v>654</v>
      </c>
      <c r="L544" s="1" t="s">
        <v>361</v>
      </c>
      <c r="M544" s="1" t="s">
        <v>655</v>
      </c>
      <c r="N544" s="1" t="s">
        <v>137</v>
      </c>
      <c r="O544" s="1" t="s">
        <v>138</v>
      </c>
      <c r="P544" s="1" t="s">
        <v>139</v>
      </c>
      <c r="Q544" s="1" t="s">
        <v>140</v>
      </c>
      <c r="R544" s="1" t="s">
        <v>141</v>
      </c>
      <c r="S544" s="1" t="s">
        <v>656</v>
      </c>
      <c r="T544" s="1" t="s">
        <v>142</v>
      </c>
      <c r="U544" s="1" t="s">
        <v>61</v>
      </c>
      <c r="V544" s="1" t="s">
        <v>144</v>
      </c>
      <c r="W544" s="1" t="s">
        <v>144</v>
      </c>
      <c r="X544" s="1" t="s">
        <v>145</v>
      </c>
    </row>
    <row r="545" customFormat="false" ht="14.25" hidden="false" customHeight="false" outlineLevel="0" collapsed="false">
      <c r="A545" s="9"/>
      <c r="B545" s="10" t="s">
        <v>64</v>
      </c>
      <c r="C545" s="1" t="n">
        <v>50</v>
      </c>
      <c r="D545" s="1" t="n">
        <v>500</v>
      </c>
      <c r="E545" s="1" t="n">
        <v>500</v>
      </c>
      <c r="F545" s="1" t="n">
        <v>500</v>
      </c>
      <c r="G545" s="1" t="n">
        <v>500</v>
      </c>
      <c r="H545" s="1" t="n">
        <v>500</v>
      </c>
      <c r="I545" s="1" t="n">
        <v>500</v>
      </c>
      <c r="J545" s="1" t="n">
        <v>500</v>
      </c>
      <c r="K545" s="1" t="n">
        <v>1</v>
      </c>
      <c r="L545" s="1" t="n">
        <v>1</v>
      </c>
      <c r="M545" s="1" t="n">
        <v>500</v>
      </c>
      <c r="N545" s="1" t="n">
        <v>500</v>
      </c>
      <c r="O545" s="1" t="n">
        <v>200</v>
      </c>
      <c r="P545" s="1" t="n">
        <v>500</v>
      </c>
      <c r="Q545" s="1" t="n">
        <v>500</v>
      </c>
      <c r="R545" s="1" t="n">
        <v>10</v>
      </c>
      <c r="S545" s="1" t="n">
        <v>500</v>
      </c>
      <c r="T545" s="1" t="n">
        <v>500</v>
      </c>
      <c r="U545" s="1" t="n">
        <v>10</v>
      </c>
      <c r="V545" s="1" t="n">
        <v>50</v>
      </c>
      <c r="W545" s="1" t="n">
        <v>100</v>
      </c>
      <c r="X545" s="1" t="n">
        <v>50</v>
      </c>
    </row>
    <row r="546" customFormat="false" ht="14.25" hidden="false" customHeight="false" outlineLevel="0" collapsed="false">
      <c r="A546" s="9" t="s">
        <v>65</v>
      </c>
      <c r="B546" s="10" t="s">
        <v>66</v>
      </c>
      <c r="C546" s="1" t="s">
        <v>67</v>
      </c>
    </row>
    <row r="547" customFormat="false" ht="14.25" hidden="false" customHeight="false" outlineLevel="0" collapsed="false">
      <c r="A547" s="9"/>
      <c r="B547" s="10" t="s">
        <v>68</v>
      </c>
      <c r="C547" s="1" t="s">
        <v>657</v>
      </c>
      <c r="K547" s="0" t="s">
        <v>159</v>
      </c>
    </row>
    <row r="548" customFormat="false" ht="14.25" hidden="false" customHeight="false" outlineLevel="0" collapsed="false">
      <c r="A548" s="9" t="s">
        <v>71</v>
      </c>
      <c r="B548" s="3"/>
      <c r="C548" s="1" t="s">
        <v>72</v>
      </c>
      <c r="D548" s="0" t="s">
        <v>155</v>
      </c>
      <c r="K548" s="0" t="s">
        <v>159</v>
      </c>
    </row>
    <row r="549" customFormat="false" ht="14.25" hidden="false" customHeight="false" outlineLevel="0" collapsed="false">
      <c r="A549" s="9" t="s">
        <v>74</v>
      </c>
      <c r="B549" s="10" t="s">
        <v>75</v>
      </c>
      <c r="K549" s="0" t="s">
        <v>159</v>
      </c>
    </row>
    <row r="550" customFormat="false" ht="14.25" hidden="false" customHeight="false" outlineLevel="0" collapsed="false">
      <c r="A550" s="9"/>
      <c r="B550" s="10" t="s">
        <v>76</v>
      </c>
      <c r="C550" s="63"/>
      <c r="K550" s="0" t="s">
        <v>159</v>
      </c>
    </row>
    <row r="551" customFormat="false" ht="16.4" hidden="false" customHeight="false" outlineLevel="0" collapsed="false">
      <c r="A551" s="9"/>
      <c r="B551" s="10" t="s">
        <v>77</v>
      </c>
      <c r="C551" s="64" t="s">
        <v>658</v>
      </c>
      <c r="D551" s="52" t="s">
        <v>659</v>
      </c>
      <c r="K551" s="0" t="s">
        <v>159</v>
      </c>
    </row>
    <row r="552" customFormat="false" ht="14.25" hidden="false" customHeight="false" outlineLevel="0" collapsed="false">
      <c r="A552" s="16" t="s">
        <v>79</v>
      </c>
      <c r="B552" s="3"/>
      <c r="K552" s="0" t="s">
        <v>159</v>
      </c>
    </row>
    <row r="553" customFormat="false" ht="14.25" hidden="false" customHeight="false" outlineLevel="0" collapsed="false">
      <c r="A553" s="2"/>
      <c r="B553" s="3"/>
      <c r="C553" s="63"/>
      <c r="K553" s="0" t="s">
        <v>159</v>
      </c>
    </row>
    <row r="554" customFormat="false" ht="14.25" hidden="false" customHeight="false" outlineLevel="0" collapsed="false">
      <c r="A554" s="21"/>
      <c r="B554" s="22"/>
      <c r="C554" s="17"/>
      <c r="D554" s="23"/>
    </row>
    <row r="555" customFormat="false" ht="14.25" hidden="false" customHeight="false" outlineLevel="0" collapsed="false">
      <c r="A555" s="9" t="s">
        <v>0</v>
      </c>
      <c r="B555" s="10" t="s">
        <v>1</v>
      </c>
      <c r="C555" s="63" t="s">
        <v>660</v>
      </c>
    </row>
    <row r="556" customFormat="false" ht="14.25" hidden="false" customHeight="false" outlineLevel="0" collapsed="false">
      <c r="A556" s="9"/>
      <c r="B556" s="10" t="s">
        <v>3</v>
      </c>
      <c r="C556" s="63" t="n">
        <v>2019</v>
      </c>
    </row>
    <row r="557" customFormat="false" ht="16.4" hidden="false" customHeight="false" outlineLevel="0" collapsed="false">
      <c r="A557" s="9"/>
      <c r="B557" s="10" t="s">
        <v>5</v>
      </c>
      <c r="C557" s="52" t="s">
        <v>661</v>
      </c>
    </row>
    <row r="558" customFormat="false" ht="14.25" hidden="false" customHeight="false" outlineLevel="0" collapsed="false">
      <c r="A558" s="9" t="s">
        <v>7</v>
      </c>
      <c r="B558" s="10" t="s">
        <v>8</v>
      </c>
      <c r="C558" s="63" t="s">
        <v>662</v>
      </c>
    </row>
    <row r="559" customFormat="false" ht="14.25" hidden="false" customHeight="false" outlineLevel="0" collapsed="false">
      <c r="A559" s="9"/>
      <c r="B559" s="10" t="s">
        <v>10</v>
      </c>
      <c r="C559" s="63" t="s">
        <v>84</v>
      </c>
    </row>
    <row r="560" customFormat="false" ht="14.25" hidden="false" customHeight="false" outlineLevel="0" collapsed="false">
      <c r="A560" s="9" t="s">
        <v>13</v>
      </c>
      <c r="B560" s="10" t="s">
        <v>14</v>
      </c>
      <c r="C560" s="63" t="n">
        <v>76</v>
      </c>
    </row>
    <row r="561" customFormat="false" ht="14.25" hidden="false" customHeight="false" outlineLevel="0" collapsed="false">
      <c r="A561" s="9"/>
      <c r="B561" s="10" t="s">
        <v>15</v>
      </c>
      <c r="C561" s="63" t="s">
        <v>663</v>
      </c>
    </row>
    <row r="562" customFormat="false" ht="14.25" hidden="false" customHeight="false" outlineLevel="0" collapsed="false">
      <c r="A562" s="9"/>
      <c r="B562" s="10" t="s">
        <v>17</v>
      </c>
      <c r="C562" s="63" t="s">
        <v>664</v>
      </c>
    </row>
    <row r="563" customFormat="false" ht="14.25" hidden="false" customHeight="false" outlineLevel="0" collapsed="false">
      <c r="A563" s="9"/>
      <c r="B563" s="10" t="s">
        <v>19</v>
      </c>
      <c r="C563" s="63" t="s">
        <v>665</v>
      </c>
    </row>
    <row r="564" customFormat="false" ht="14.25" hidden="false" customHeight="false" outlineLevel="0" collapsed="false">
      <c r="A564" s="9" t="s">
        <v>22</v>
      </c>
      <c r="B564" s="10" t="s">
        <v>23</v>
      </c>
      <c r="C564" s="63" t="n">
        <v>76</v>
      </c>
    </row>
    <row r="565" customFormat="false" ht="14.25" hidden="false" customHeight="false" outlineLevel="0" collapsed="false">
      <c r="A565" s="9"/>
      <c r="B565" s="10" t="s">
        <v>25</v>
      </c>
      <c r="C565" s="63" t="n">
        <v>1</v>
      </c>
    </row>
    <row r="566" customFormat="false" ht="14.25" hidden="false" customHeight="false" outlineLevel="0" collapsed="false">
      <c r="A566" s="9"/>
      <c r="B566" s="10" t="s">
        <v>27</v>
      </c>
      <c r="C566" s="63" t="s">
        <v>666</v>
      </c>
      <c r="D566" s="0" t="s">
        <v>667</v>
      </c>
      <c r="E566" s="0" t="s">
        <v>668</v>
      </c>
      <c r="F566" s="0" t="s">
        <v>669</v>
      </c>
    </row>
    <row r="567" customFormat="false" ht="14.25" hidden="false" customHeight="false" outlineLevel="0" collapsed="false">
      <c r="A567" s="9"/>
      <c r="B567" s="10" t="s">
        <v>64</v>
      </c>
      <c r="C567" s="63" t="n">
        <v>200</v>
      </c>
      <c r="D567" s="0" t="n">
        <v>200</v>
      </c>
      <c r="E567" s="0" t="n">
        <v>200</v>
      </c>
      <c r="F567" s="0" t="n">
        <v>200</v>
      </c>
    </row>
    <row r="568" customFormat="false" ht="14.25" hidden="false" customHeight="false" outlineLevel="0" collapsed="false">
      <c r="A568" s="9" t="s">
        <v>65</v>
      </c>
      <c r="B568" s="10" t="s">
        <v>66</v>
      </c>
      <c r="C568" s="71" t="s">
        <v>670</v>
      </c>
    </row>
    <row r="569" customFormat="false" ht="14.25" hidden="false" customHeight="false" outlineLevel="0" collapsed="false">
      <c r="A569" s="9"/>
      <c r="B569" s="10" t="s">
        <v>68</v>
      </c>
      <c r="C569" s="63" t="s">
        <v>84</v>
      </c>
    </row>
    <row r="570" customFormat="false" ht="14.25" hidden="false" customHeight="false" outlineLevel="0" collapsed="false">
      <c r="A570" s="9" t="s">
        <v>71</v>
      </c>
      <c r="B570" s="3"/>
      <c r="C570" s="63" t="s">
        <v>671</v>
      </c>
    </row>
    <row r="571" customFormat="false" ht="14.25" hidden="false" customHeight="false" outlineLevel="0" collapsed="false">
      <c r="A571" s="9" t="s">
        <v>74</v>
      </c>
      <c r="B571" s="10" t="s">
        <v>75</v>
      </c>
      <c r="C571" s="63"/>
    </row>
    <row r="572" customFormat="false" ht="14.25" hidden="false" customHeight="false" outlineLevel="0" collapsed="false">
      <c r="A572" s="9"/>
      <c r="B572" s="10" t="s">
        <v>76</v>
      </c>
      <c r="C572" s="63"/>
    </row>
    <row r="573" customFormat="false" ht="16.4" hidden="false" customHeight="false" outlineLevel="0" collapsed="false">
      <c r="A573" s="9"/>
      <c r="B573" s="10" t="s">
        <v>77</v>
      </c>
      <c r="C573" s="52" t="s">
        <v>672</v>
      </c>
    </row>
    <row r="574" customFormat="false" ht="14.25" hidden="false" customHeight="false" outlineLevel="0" collapsed="false">
      <c r="A574" s="16" t="s">
        <v>79</v>
      </c>
      <c r="B574" s="3"/>
      <c r="C574" s="63"/>
    </row>
    <row r="575" customFormat="false" ht="14.25" hidden="false" customHeight="false" outlineLevel="0" collapsed="false">
      <c r="A575" s="2"/>
      <c r="B575" s="3"/>
      <c r="C575" s="63"/>
    </row>
    <row r="576" customFormat="false" ht="14.25" hidden="false" customHeight="false" outlineLevel="0" collapsed="false">
      <c r="A576" s="21"/>
      <c r="B576" s="22"/>
      <c r="C576" s="17"/>
      <c r="D576" s="23"/>
      <c r="K576" s="0" t="s">
        <v>159</v>
      </c>
    </row>
    <row r="577" customFormat="false" ht="14.25" hidden="false" customHeight="false" outlineLevel="0" collapsed="false">
      <c r="A577" s="9" t="s">
        <v>0</v>
      </c>
      <c r="B577" s="10" t="s">
        <v>1</v>
      </c>
      <c r="C577" s="19" t="s">
        <v>673</v>
      </c>
      <c r="K577" s="0" t="s">
        <v>159</v>
      </c>
    </row>
    <row r="578" customFormat="false" ht="14.25" hidden="false" customHeight="false" outlineLevel="0" collapsed="false">
      <c r="A578" s="9"/>
      <c r="B578" s="10" t="s">
        <v>3</v>
      </c>
      <c r="C578" s="1" t="s">
        <v>674</v>
      </c>
      <c r="K578" s="0" t="s">
        <v>159</v>
      </c>
    </row>
    <row r="579" customFormat="false" ht="16.4" hidden="false" customHeight="false" outlineLevel="0" collapsed="false">
      <c r="A579" s="9"/>
      <c r="B579" s="10" t="s">
        <v>5</v>
      </c>
      <c r="C579" s="13" t="s">
        <v>675</v>
      </c>
      <c r="K579" s="0" t="s">
        <v>159</v>
      </c>
    </row>
    <row r="580" customFormat="false" ht="14.25" hidden="false" customHeight="false" outlineLevel="0" collapsed="false">
      <c r="A580" s="9" t="s">
        <v>7</v>
      </c>
      <c r="B580" s="10" t="s">
        <v>8</v>
      </c>
      <c r="C580" s="1" t="s">
        <v>676</v>
      </c>
      <c r="K580" s="0" t="s">
        <v>159</v>
      </c>
    </row>
    <row r="581" customFormat="false" ht="14.25" hidden="false" customHeight="false" outlineLevel="0" collapsed="false">
      <c r="A581" s="9"/>
      <c r="B581" s="10" t="s">
        <v>10</v>
      </c>
      <c r="K581" s="0" t="s">
        <v>159</v>
      </c>
    </row>
    <row r="582" customFormat="false" ht="14.25" hidden="false" customHeight="false" outlineLevel="0" collapsed="false">
      <c r="A582" s="9" t="s">
        <v>13</v>
      </c>
      <c r="B582" s="10" t="s">
        <v>14</v>
      </c>
      <c r="C582" s="1" t="n">
        <v>3673</v>
      </c>
      <c r="K582" s="0" t="s">
        <v>159</v>
      </c>
    </row>
    <row r="583" customFormat="false" ht="14.25" hidden="false" customHeight="false" outlineLevel="0" collapsed="false">
      <c r="A583" s="9"/>
      <c r="B583" s="10" t="s">
        <v>15</v>
      </c>
      <c r="C583" s="1" t="s">
        <v>677</v>
      </c>
      <c r="K583" s="0" t="s">
        <v>159</v>
      </c>
    </row>
    <row r="584" customFormat="false" ht="14.25" hidden="false" customHeight="false" outlineLevel="0" collapsed="false">
      <c r="A584" s="9"/>
      <c r="B584" s="10" t="s">
        <v>17</v>
      </c>
      <c r="K584" s="0" t="s">
        <v>159</v>
      </c>
    </row>
    <row r="585" customFormat="false" ht="14.25" hidden="false" customHeight="false" outlineLevel="0" collapsed="false">
      <c r="A585" s="9"/>
      <c r="B585" s="10" t="s">
        <v>19</v>
      </c>
      <c r="K585" s="0" t="s">
        <v>159</v>
      </c>
    </row>
    <row r="586" customFormat="false" ht="14.25" hidden="false" customHeight="false" outlineLevel="0" collapsed="false">
      <c r="A586" s="9" t="s">
        <v>22</v>
      </c>
      <c r="B586" s="10" t="s">
        <v>23</v>
      </c>
      <c r="C586" s="1" t="n">
        <v>3982</v>
      </c>
      <c r="K586" s="0" t="s">
        <v>159</v>
      </c>
    </row>
    <row r="587" customFormat="false" ht="14.25" hidden="false" customHeight="false" outlineLevel="0" collapsed="false">
      <c r="A587" s="9"/>
      <c r="B587" s="10" t="s">
        <v>25</v>
      </c>
      <c r="C587" s="1" t="n">
        <v>1</v>
      </c>
      <c r="K587" s="0" t="s">
        <v>159</v>
      </c>
    </row>
    <row r="588" customFormat="false" ht="14.25" hidden="false" customHeight="false" outlineLevel="0" collapsed="false">
      <c r="A588" s="9"/>
      <c r="B588" s="10" t="s">
        <v>27</v>
      </c>
      <c r="C588" s="1" t="s">
        <v>678</v>
      </c>
      <c r="K588" s="0" t="s">
        <v>159</v>
      </c>
    </row>
    <row r="589" customFormat="false" ht="14.25" hidden="false" customHeight="false" outlineLevel="0" collapsed="false">
      <c r="A589" s="9"/>
      <c r="B589" s="10" t="s">
        <v>64</v>
      </c>
      <c r="C589" s="1" t="s">
        <v>678</v>
      </c>
      <c r="K589" s="0" t="s">
        <v>159</v>
      </c>
    </row>
    <row r="590" customFormat="false" ht="14.25" hidden="false" customHeight="false" outlineLevel="0" collapsed="false">
      <c r="A590" s="9" t="s">
        <v>65</v>
      </c>
      <c r="B590" s="10" t="s">
        <v>66</v>
      </c>
      <c r="C590" s="1" t="s">
        <v>67</v>
      </c>
    </row>
    <row r="591" customFormat="false" ht="14.25" hidden="false" customHeight="false" outlineLevel="0" collapsed="false">
      <c r="A591" s="9"/>
      <c r="B591" s="10" t="s">
        <v>68</v>
      </c>
    </row>
    <row r="592" customFormat="false" ht="14.25" hidden="false" customHeight="false" outlineLevel="0" collapsed="false">
      <c r="A592" s="9" t="s">
        <v>71</v>
      </c>
      <c r="B592" s="3"/>
      <c r="C592" s="1" t="s">
        <v>72</v>
      </c>
      <c r="D592" s="0" t="s">
        <v>513</v>
      </c>
    </row>
    <row r="593" customFormat="false" ht="14.25" hidden="false" customHeight="false" outlineLevel="0" collapsed="false">
      <c r="A593" s="9" t="s">
        <v>74</v>
      </c>
      <c r="B593" s="10" t="s">
        <v>75</v>
      </c>
    </row>
    <row r="594" customFormat="false" ht="14.25" hidden="false" customHeight="false" outlineLevel="0" collapsed="false">
      <c r="A594" s="9"/>
      <c r="B594" s="10" t="s">
        <v>76</v>
      </c>
    </row>
    <row r="595" customFormat="false" ht="16.4" hidden="false" customHeight="false" outlineLevel="0" collapsed="false">
      <c r="A595" s="9"/>
      <c r="B595" s="10" t="s">
        <v>77</v>
      </c>
      <c r="C595" s="20" t="s">
        <v>679</v>
      </c>
      <c r="D595" s="20" t="s">
        <v>680</v>
      </c>
    </row>
    <row r="596" customFormat="false" ht="16.4" hidden="false" customHeight="false" outlineLevel="0" collapsed="false">
      <c r="A596" s="16" t="s">
        <v>79</v>
      </c>
      <c r="B596" s="2"/>
      <c r="C596" s="52" t="s">
        <v>681</v>
      </c>
    </row>
    <row r="597" customFormat="false" ht="14.25" hidden="false" customHeight="false" outlineLevel="0" collapsed="false">
      <c r="B597" s="2"/>
      <c r="C597" s="63"/>
    </row>
    <row r="598" customFormat="false" ht="14.25" hidden="false" customHeight="false" outlineLevel="0" collapsed="false">
      <c r="A598" s="23"/>
      <c r="B598" s="21"/>
      <c r="C598" s="17"/>
      <c r="D598" s="23"/>
    </row>
    <row r="599" customFormat="false" ht="14.25" hidden="false" customHeight="false" outlineLevel="0" collapsed="false">
      <c r="A599" s="9" t="s">
        <v>0</v>
      </c>
      <c r="B599" s="10" t="s">
        <v>1</v>
      </c>
      <c r="C599" s="19" t="s">
        <v>682</v>
      </c>
    </row>
    <row r="600" customFormat="false" ht="14.25" hidden="false" customHeight="false" outlineLevel="0" collapsed="false">
      <c r="A600" s="9"/>
      <c r="B600" s="10" t="s">
        <v>3</v>
      </c>
      <c r="C600" s="1" t="s">
        <v>683</v>
      </c>
    </row>
    <row r="601" customFormat="false" ht="16.4" hidden="false" customHeight="false" outlineLevel="0" collapsed="false">
      <c r="A601" s="9"/>
      <c r="B601" s="10" t="s">
        <v>5</v>
      </c>
      <c r="C601" s="13" t="s">
        <v>684</v>
      </c>
    </row>
    <row r="602" customFormat="false" ht="14.25" hidden="false" customHeight="false" outlineLevel="0" collapsed="false">
      <c r="A602" s="9" t="s">
        <v>7</v>
      </c>
      <c r="B602" s="10" t="s">
        <v>8</v>
      </c>
      <c r="C602" s="1" t="s">
        <v>685</v>
      </c>
    </row>
    <row r="603" customFormat="false" ht="14.25" hidden="false" customHeight="false" outlineLevel="0" collapsed="false">
      <c r="A603" s="9"/>
      <c r="B603" s="10" t="s">
        <v>10</v>
      </c>
      <c r="C603" s="1" t="s">
        <v>686</v>
      </c>
    </row>
    <row r="604" customFormat="false" ht="14.25" hidden="false" customHeight="false" outlineLevel="0" collapsed="false">
      <c r="A604" s="9" t="s">
        <v>13</v>
      </c>
      <c r="B604" s="10" t="s">
        <v>14</v>
      </c>
      <c r="C604" s="1" t="n">
        <v>1983</v>
      </c>
    </row>
    <row r="605" customFormat="false" ht="14.25" hidden="false" customHeight="false" outlineLevel="0" collapsed="false">
      <c r="A605" s="9"/>
      <c r="B605" s="10" t="s">
        <v>15</v>
      </c>
      <c r="C605" s="1" t="s">
        <v>687</v>
      </c>
    </row>
    <row r="606" customFormat="false" ht="14.25" hidden="false" customHeight="false" outlineLevel="0" collapsed="false">
      <c r="A606" s="9"/>
      <c r="B606" s="10" t="s">
        <v>17</v>
      </c>
      <c r="C606" s="1" t="s">
        <v>688</v>
      </c>
    </row>
    <row r="607" customFormat="false" ht="14.25" hidden="false" customHeight="false" outlineLevel="0" collapsed="false">
      <c r="A607" s="9"/>
      <c r="B607" s="10" t="s">
        <v>19</v>
      </c>
      <c r="C607" s="1" t="s">
        <v>686</v>
      </c>
    </row>
    <row r="608" customFormat="false" ht="14.25" hidden="false" customHeight="false" outlineLevel="0" collapsed="false">
      <c r="A608" s="9" t="s">
        <v>22</v>
      </c>
      <c r="B608" s="10" t="s">
        <v>23</v>
      </c>
      <c r="C608" s="1" t="s">
        <v>689</v>
      </c>
    </row>
    <row r="609" customFormat="false" ht="14.25" hidden="false" customHeight="false" outlineLevel="0" collapsed="false">
      <c r="A609" s="9"/>
      <c r="B609" s="10" t="s">
        <v>25</v>
      </c>
      <c r="C609" s="1" t="n">
        <v>1</v>
      </c>
    </row>
    <row r="610" customFormat="false" ht="14.25" hidden="false" customHeight="false" outlineLevel="0" collapsed="false">
      <c r="A610" s="9"/>
      <c r="B610" s="10" t="s">
        <v>27</v>
      </c>
      <c r="C610" s="1" t="s">
        <v>690</v>
      </c>
      <c r="D610" s="0" t="s">
        <v>210</v>
      </c>
      <c r="E610" s="0" t="s">
        <v>691</v>
      </c>
      <c r="F610" s="0" t="s">
        <v>692</v>
      </c>
      <c r="G610" s="0" t="s">
        <v>693</v>
      </c>
      <c r="H610" s="0" t="s">
        <v>694</v>
      </c>
      <c r="I610" s="41" t="s">
        <v>312</v>
      </c>
      <c r="J610" s="0" t="s">
        <v>134</v>
      </c>
      <c r="K610" s="0" t="s">
        <v>695</v>
      </c>
      <c r="L610" s="0" t="s">
        <v>696</v>
      </c>
      <c r="M610" s="0" t="s">
        <v>697</v>
      </c>
      <c r="N610" s="0" t="s">
        <v>698</v>
      </c>
      <c r="O610" s="0" t="s">
        <v>230</v>
      </c>
    </row>
    <row r="611" customFormat="false" ht="14.25" hidden="false" customHeight="false" outlineLevel="0" collapsed="false">
      <c r="A611" s="9"/>
      <c r="B611" s="10" t="s">
        <v>64</v>
      </c>
      <c r="C611" s="1" t="n">
        <v>200</v>
      </c>
      <c r="D611" s="1" t="n">
        <v>200</v>
      </c>
      <c r="E611" s="1" t="n">
        <v>200</v>
      </c>
      <c r="F611" s="1" t="n">
        <v>200</v>
      </c>
      <c r="G611" s="1" t="n">
        <v>200</v>
      </c>
      <c r="H611" s="1" t="n">
        <v>200</v>
      </c>
      <c r="I611" s="1" t="n">
        <v>200</v>
      </c>
      <c r="J611" s="1" t="n">
        <v>200</v>
      </c>
      <c r="K611" s="1" t="n">
        <v>200</v>
      </c>
      <c r="L611" s="1" t="n">
        <v>200</v>
      </c>
      <c r="M611" s="1" t="n">
        <v>200</v>
      </c>
      <c r="N611" s="1" t="n">
        <v>200</v>
      </c>
      <c r="O611" s="1" t="n">
        <v>200</v>
      </c>
    </row>
    <row r="612" customFormat="false" ht="14.25" hidden="false" customHeight="false" outlineLevel="0" collapsed="false">
      <c r="A612" s="9" t="s">
        <v>65</v>
      </c>
      <c r="B612" s="10" t="s">
        <v>66</v>
      </c>
      <c r="C612" s="1" t="s">
        <v>67</v>
      </c>
    </row>
    <row r="613" customFormat="false" ht="14.25" hidden="false" customHeight="false" outlineLevel="0" collapsed="false">
      <c r="A613" s="9"/>
      <c r="B613" s="10" t="s">
        <v>68</v>
      </c>
      <c r="C613" s="1" t="s">
        <v>288</v>
      </c>
    </row>
    <row r="614" customFormat="false" ht="14.25" hidden="false" customHeight="false" outlineLevel="0" collapsed="false">
      <c r="A614" s="9" t="s">
        <v>71</v>
      </c>
      <c r="B614" s="3"/>
      <c r="C614" s="1" t="s">
        <v>699</v>
      </c>
      <c r="D614" s="0" t="s">
        <v>700</v>
      </c>
    </row>
    <row r="615" customFormat="false" ht="14.25" hidden="false" customHeight="false" outlineLevel="0" collapsed="false">
      <c r="A615" s="9" t="s">
        <v>74</v>
      </c>
      <c r="B615" s="10" t="s">
        <v>75</v>
      </c>
    </row>
    <row r="616" customFormat="false" ht="14.25" hidden="false" customHeight="false" outlineLevel="0" collapsed="false">
      <c r="A616" s="9"/>
      <c r="B616" s="10" t="s">
        <v>76</v>
      </c>
    </row>
    <row r="617" customFormat="false" ht="16.4" hidden="false" customHeight="false" outlineLevel="0" collapsed="false">
      <c r="A617" s="9"/>
      <c r="B617" s="10" t="s">
        <v>77</v>
      </c>
      <c r="D617" s="20" t="s">
        <v>701</v>
      </c>
    </row>
    <row r="618" customFormat="false" ht="14.25" hidden="false" customHeight="false" outlineLevel="0" collapsed="false">
      <c r="A618" s="16" t="s">
        <v>79</v>
      </c>
      <c r="B618" s="3"/>
    </row>
    <row r="619" customFormat="false" ht="14.25" hidden="false" customHeight="false" outlineLevel="0" collapsed="false">
      <c r="A619" s="2"/>
      <c r="B619" s="3"/>
      <c r="C619" s="63"/>
    </row>
    <row r="620" customFormat="false" ht="14.25" hidden="false" customHeight="false" outlineLevel="0" collapsed="false">
      <c r="A620" s="4"/>
      <c r="B620" s="5"/>
      <c r="C620" s="17"/>
      <c r="D620" s="23"/>
    </row>
    <row r="621" customFormat="false" ht="14.25" hidden="false" customHeight="false" outlineLevel="0" collapsed="false">
      <c r="A621" s="9" t="s">
        <v>0</v>
      </c>
      <c r="B621" s="10" t="s">
        <v>1</v>
      </c>
      <c r="C621" s="19" t="s">
        <v>702</v>
      </c>
    </row>
    <row r="622" customFormat="false" ht="14.25" hidden="false" customHeight="false" outlineLevel="0" collapsed="false">
      <c r="A622" s="9"/>
      <c r="B622" s="10" t="s">
        <v>3</v>
      </c>
      <c r="C622" s="1" t="s">
        <v>703</v>
      </c>
    </row>
    <row r="623" customFormat="false" ht="16.4" hidden="false" customHeight="false" outlineLevel="0" collapsed="false">
      <c r="A623" s="9"/>
      <c r="B623" s="10" t="s">
        <v>5</v>
      </c>
      <c r="C623" s="13" t="s">
        <v>704</v>
      </c>
    </row>
    <row r="624" customFormat="false" ht="14.25" hidden="false" customHeight="false" outlineLevel="0" collapsed="false">
      <c r="A624" s="9" t="s">
        <v>7</v>
      </c>
      <c r="B624" s="10" t="s">
        <v>8</v>
      </c>
      <c r="C624" s="1" t="s">
        <v>705</v>
      </c>
    </row>
    <row r="625" customFormat="false" ht="14.25" hidden="false" customHeight="false" outlineLevel="0" collapsed="false">
      <c r="A625" s="9"/>
      <c r="B625" s="10" t="s">
        <v>10</v>
      </c>
      <c r="C625" s="1" t="s">
        <v>84</v>
      </c>
    </row>
    <row r="626" customFormat="false" ht="14.25" hidden="false" customHeight="false" outlineLevel="0" collapsed="false">
      <c r="A626" s="9" t="s">
        <v>13</v>
      </c>
      <c r="B626" s="10" t="s">
        <v>14</v>
      </c>
      <c r="C626" s="1" t="n">
        <v>5804</v>
      </c>
    </row>
    <row r="627" customFormat="false" ht="14.25" hidden="false" customHeight="false" outlineLevel="0" collapsed="false">
      <c r="A627" s="9"/>
      <c r="B627" s="10" t="s">
        <v>15</v>
      </c>
      <c r="C627" s="1" t="s">
        <v>706</v>
      </c>
    </row>
    <row r="628" customFormat="false" ht="14.25" hidden="false" customHeight="false" outlineLevel="0" collapsed="false">
      <c r="A628" s="9"/>
      <c r="B628" s="10" t="s">
        <v>17</v>
      </c>
      <c r="C628" s="1" t="s">
        <v>707</v>
      </c>
    </row>
    <row r="629" customFormat="false" ht="14.25" hidden="false" customHeight="false" outlineLevel="0" collapsed="false">
      <c r="A629" s="9"/>
      <c r="B629" s="10" t="s">
        <v>19</v>
      </c>
      <c r="C629" s="1" t="s">
        <v>84</v>
      </c>
    </row>
    <row r="630" customFormat="false" ht="14.25" hidden="false" customHeight="false" outlineLevel="0" collapsed="false">
      <c r="A630" s="9" t="s">
        <v>22</v>
      </c>
      <c r="B630" s="10" t="s">
        <v>23</v>
      </c>
      <c r="C630" s="1" t="s">
        <v>708</v>
      </c>
    </row>
    <row r="631" customFormat="false" ht="14.25" hidden="false" customHeight="false" outlineLevel="0" collapsed="false">
      <c r="A631" s="9"/>
      <c r="B631" s="10" t="s">
        <v>25</v>
      </c>
      <c r="C631" s="72" t="s">
        <v>709</v>
      </c>
    </row>
    <row r="632" customFormat="false" ht="14.25" hidden="false" customHeight="false" outlineLevel="0" collapsed="false">
      <c r="A632" s="9"/>
      <c r="B632" s="10" t="s">
        <v>27</v>
      </c>
      <c r="C632" s="1" t="s">
        <v>710</v>
      </c>
      <c r="D632" s="1" t="s">
        <v>711</v>
      </c>
      <c r="E632" s="1" t="s">
        <v>712</v>
      </c>
      <c r="F632" s="1" t="s">
        <v>713</v>
      </c>
      <c r="G632" s="1" t="s">
        <v>714</v>
      </c>
      <c r="H632" s="1" t="s">
        <v>715</v>
      </c>
      <c r="I632" s="1" t="s">
        <v>716</v>
      </c>
      <c r="J632" s="1" t="s">
        <v>717</v>
      </c>
      <c r="K632" s="1" t="s">
        <v>718</v>
      </c>
      <c r="L632" s="1" t="s">
        <v>719</v>
      </c>
      <c r="M632" s="1" t="s">
        <v>532</v>
      </c>
      <c r="N632" s="1" t="s">
        <v>537</v>
      </c>
      <c r="O632" s="1" t="s">
        <v>720</v>
      </c>
      <c r="P632" s="1" t="s">
        <v>721</v>
      </c>
      <c r="Q632" s="1" t="s">
        <v>722</v>
      </c>
      <c r="R632" s="1" t="s">
        <v>723</v>
      </c>
      <c r="S632" s="1" t="s">
        <v>724</v>
      </c>
      <c r="T632" s="1" t="s">
        <v>725</v>
      </c>
      <c r="U632" s="1" t="s">
        <v>726</v>
      </c>
      <c r="V632" s="1" t="s">
        <v>727</v>
      </c>
      <c r="W632" s="1" t="s">
        <v>305</v>
      </c>
      <c r="X632" s="1" t="s">
        <v>728</v>
      </c>
      <c r="Y632" s="1" t="s">
        <v>729</v>
      </c>
      <c r="Z632" s="1" t="s">
        <v>730</v>
      </c>
      <c r="AA632" s="1" t="s">
        <v>731</v>
      </c>
      <c r="AB632" s="1" t="s">
        <v>732</v>
      </c>
      <c r="AC632" s="1" t="s">
        <v>733</v>
      </c>
      <c r="AD632" s="1" t="s">
        <v>734</v>
      </c>
      <c r="AE632" s="1" t="s">
        <v>735</v>
      </c>
      <c r="AF632" s="1" t="s">
        <v>736</v>
      </c>
      <c r="AG632" s="1" t="s">
        <v>737</v>
      </c>
      <c r="AH632" s="1" t="s">
        <v>639</v>
      </c>
      <c r="AI632" s="1" t="s">
        <v>738</v>
      </c>
      <c r="AJ632" s="1" t="s">
        <v>739</v>
      </c>
    </row>
    <row r="633" customFormat="false" ht="14.25" hidden="false" customHeight="false" outlineLevel="0" collapsed="false">
      <c r="A633" s="9"/>
      <c r="B633" s="10" t="s">
        <v>64</v>
      </c>
      <c r="C633" s="1" t="n">
        <v>8</v>
      </c>
      <c r="D633" s="1" t="s">
        <v>740</v>
      </c>
      <c r="E633" s="1" t="n">
        <v>10</v>
      </c>
      <c r="F633" s="1" t="s">
        <v>741</v>
      </c>
      <c r="G633" s="1" t="s">
        <v>742</v>
      </c>
      <c r="H633" s="1" t="s">
        <v>743</v>
      </c>
      <c r="I633" s="1" t="n">
        <v>250</v>
      </c>
      <c r="J633" s="1" t="n">
        <v>125</v>
      </c>
      <c r="K633" s="1" t="n">
        <v>125</v>
      </c>
      <c r="L633" s="1" t="s">
        <v>744</v>
      </c>
      <c r="M633" s="1" t="n">
        <v>250</v>
      </c>
      <c r="N633" s="1" t="n">
        <v>125</v>
      </c>
      <c r="O633" s="1" t="s">
        <v>234</v>
      </c>
      <c r="P633" s="1" t="s">
        <v>745</v>
      </c>
      <c r="Q633" s="1" t="n">
        <v>50</v>
      </c>
      <c r="R633" s="1" t="n">
        <v>10</v>
      </c>
      <c r="S633" s="1" t="n">
        <v>10</v>
      </c>
      <c r="T633" s="1" t="n">
        <v>1</v>
      </c>
      <c r="U633" s="1" t="n">
        <v>25</v>
      </c>
      <c r="V633" s="1" t="s">
        <v>746</v>
      </c>
      <c r="W633" s="1" t="n">
        <v>10</v>
      </c>
      <c r="X633" s="1" t="n">
        <v>10</v>
      </c>
      <c r="Y633" s="1" t="s">
        <v>747</v>
      </c>
      <c r="Z633" s="1" t="n">
        <v>10</v>
      </c>
      <c r="AA633" s="1" t="n">
        <v>10</v>
      </c>
      <c r="AB633" s="1" t="n">
        <v>10</v>
      </c>
      <c r="AC633" s="1" t="n">
        <v>10</v>
      </c>
      <c r="AD633" s="1" t="n">
        <v>10</v>
      </c>
      <c r="AE633" s="1" t="n">
        <v>1</v>
      </c>
      <c r="AF633" s="1" t="n">
        <v>1</v>
      </c>
      <c r="AG633" s="1" t="n">
        <v>1</v>
      </c>
      <c r="AH633" s="1" t="n">
        <v>10</v>
      </c>
      <c r="AI633" s="1" t="s">
        <v>748</v>
      </c>
      <c r="AJ633" s="1" t="s">
        <v>749</v>
      </c>
    </row>
    <row r="634" customFormat="false" ht="14.25" hidden="false" customHeight="false" outlineLevel="0" collapsed="false">
      <c r="A634" s="9" t="s">
        <v>65</v>
      </c>
      <c r="B634" s="10" t="s">
        <v>66</v>
      </c>
      <c r="C634" s="1" t="s">
        <v>114</v>
      </c>
    </row>
    <row r="635" customFormat="false" ht="14.25" hidden="false" customHeight="false" outlineLevel="0" collapsed="false">
      <c r="A635" s="9"/>
      <c r="B635" s="10" t="s">
        <v>68</v>
      </c>
      <c r="C635" s="1" t="s">
        <v>478</v>
      </c>
    </row>
    <row r="636" customFormat="false" ht="14.25" hidden="false" customHeight="false" outlineLevel="0" collapsed="false">
      <c r="A636" s="9" t="s">
        <v>71</v>
      </c>
      <c r="B636" s="3"/>
      <c r="C636" s="1" t="s">
        <v>72</v>
      </c>
      <c r="D636" s="0" t="s">
        <v>643</v>
      </c>
    </row>
    <row r="637" customFormat="false" ht="14.25" hidden="false" customHeight="false" outlineLevel="0" collapsed="false">
      <c r="A637" s="9" t="s">
        <v>74</v>
      </c>
      <c r="B637" s="10" t="s">
        <v>75</v>
      </c>
      <c r="AL637" s="48"/>
    </row>
    <row r="638" customFormat="false" ht="14.25" hidden="false" customHeight="false" outlineLevel="0" collapsed="false">
      <c r="A638" s="9"/>
      <c r="B638" s="10" t="s">
        <v>76</v>
      </c>
      <c r="N638" s="41"/>
      <c r="AC638" s="41"/>
    </row>
    <row r="639" customFormat="false" ht="16.4" hidden="false" customHeight="false" outlineLevel="0" collapsed="false">
      <c r="A639" s="9"/>
      <c r="B639" s="10" t="s">
        <v>77</v>
      </c>
      <c r="C639" s="20" t="s">
        <v>750</v>
      </c>
      <c r="D639" s="20" t="s">
        <v>751</v>
      </c>
      <c r="AL639" s="26"/>
    </row>
    <row r="640" customFormat="false" ht="14.25" hidden="false" customHeight="false" outlineLevel="0" collapsed="false">
      <c r="A640" s="16" t="s">
        <v>79</v>
      </c>
      <c r="B640" s="3"/>
      <c r="C640" s="63"/>
      <c r="AL640" s="26"/>
    </row>
    <row r="641" customFormat="false" ht="14.25" hidden="false" customHeight="false" outlineLevel="0" collapsed="false">
      <c r="A641" s="2"/>
      <c r="B641" s="3"/>
      <c r="C641" s="63"/>
      <c r="AL641" s="26"/>
    </row>
    <row r="642" customFormat="false" ht="14.25" hidden="false" customHeight="false" outlineLevel="0" collapsed="false">
      <c r="A642" s="21"/>
      <c r="B642" s="22"/>
      <c r="C642" s="17"/>
      <c r="D642" s="23"/>
      <c r="AL642" s="26"/>
    </row>
    <row r="643" customFormat="false" ht="14.25" hidden="false" customHeight="false" outlineLevel="0" collapsed="false">
      <c r="A643" s="9" t="s">
        <v>0</v>
      </c>
      <c r="B643" s="10" t="s">
        <v>1</v>
      </c>
      <c r="C643" s="73" t="s">
        <v>752</v>
      </c>
      <c r="AL643" s="26"/>
    </row>
    <row r="644" customFormat="false" ht="14.25" hidden="false" customHeight="false" outlineLevel="0" collapsed="false">
      <c r="A644" s="9"/>
      <c r="B644" s="10" t="s">
        <v>3</v>
      </c>
      <c r="C644" s="63" t="s">
        <v>753</v>
      </c>
      <c r="AL644" s="26"/>
    </row>
    <row r="645" customFormat="false" ht="16.4" hidden="false" customHeight="false" outlineLevel="0" collapsed="false">
      <c r="A645" s="9"/>
      <c r="B645" s="10" t="s">
        <v>5</v>
      </c>
      <c r="C645" s="52" t="s">
        <v>754</v>
      </c>
      <c r="AL645" s="26"/>
    </row>
    <row r="646" customFormat="false" ht="14.25" hidden="false" customHeight="false" outlineLevel="0" collapsed="false">
      <c r="A646" s="9"/>
      <c r="B646" s="10"/>
      <c r="C646" s="55" t="s">
        <v>755</v>
      </c>
      <c r="D646" s="0" t="s">
        <v>756</v>
      </c>
      <c r="AL646" s="26"/>
    </row>
    <row r="647" customFormat="false" ht="14.25" hidden="false" customHeight="false" outlineLevel="0" collapsed="false">
      <c r="A647" s="9" t="s">
        <v>7</v>
      </c>
      <c r="B647" s="10" t="s">
        <v>8</v>
      </c>
      <c r="C647" s="63" t="s">
        <v>757</v>
      </c>
      <c r="D647" s="0" t="s">
        <v>758</v>
      </c>
      <c r="AL647" s="26"/>
    </row>
    <row r="648" customFormat="false" ht="14.25" hidden="false" customHeight="false" outlineLevel="0" collapsed="false">
      <c r="A648" s="9"/>
      <c r="B648" s="10" t="s">
        <v>10</v>
      </c>
      <c r="C648" s="63" t="s">
        <v>84</v>
      </c>
      <c r="D648" s="0" t="s">
        <v>759</v>
      </c>
      <c r="AL648" s="26"/>
    </row>
    <row r="649" customFormat="false" ht="14.25" hidden="false" customHeight="false" outlineLevel="0" collapsed="false">
      <c r="A649" s="9" t="s">
        <v>13</v>
      </c>
      <c r="B649" s="10" t="s">
        <v>14</v>
      </c>
      <c r="C649" s="63" t="n">
        <v>78</v>
      </c>
      <c r="D649" s="0" t="n">
        <v>44</v>
      </c>
      <c r="AL649" s="26"/>
    </row>
    <row r="650" customFormat="false" ht="14.25" hidden="false" customHeight="false" outlineLevel="0" collapsed="false">
      <c r="A650" s="9"/>
      <c r="B650" s="10" t="s">
        <v>15</v>
      </c>
      <c r="C650" s="63" t="s">
        <v>760</v>
      </c>
      <c r="D650" s="0" t="s">
        <v>84</v>
      </c>
      <c r="AL650" s="26"/>
    </row>
    <row r="651" customFormat="false" ht="14.25" hidden="false" customHeight="false" outlineLevel="0" collapsed="false">
      <c r="A651" s="9"/>
      <c r="B651" s="10" t="s">
        <v>17</v>
      </c>
      <c r="C651" s="63" t="s">
        <v>761</v>
      </c>
      <c r="D651" s="0" t="s">
        <v>762</v>
      </c>
      <c r="AL651" s="26"/>
    </row>
    <row r="652" customFormat="false" ht="14.25" hidden="false" customHeight="false" outlineLevel="0" collapsed="false">
      <c r="A652" s="9"/>
      <c r="B652" s="10" t="s">
        <v>19</v>
      </c>
      <c r="C652" s="63" t="s">
        <v>87</v>
      </c>
      <c r="D652" s="0" t="s">
        <v>763</v>
      </c>
      <c r="AL652" s="26"/>
    </row>
    <row r="653" customFormat="false" ht="14.25" hidden="false" customHeight="false" outlineLevel="0" collapsed="false">
      <c r="A653" s="9" t="s">
        <v>22</v>
      </c>
      <c r="B653" s="10" t="s">
        <v>23</v>
      </c>
      <c r="C653" s="63" t="n">
        <v>153</v>
      </c>
      <c r="D653" s="0" t="n">
        <v>44</v>
      </c>
      <c r="AL653" s="26"/>
    </row>
    <row r="654" customFormat="false" ht="14.25" hidden="false" customHeight="false" outlineLevel="0" collapsed="false">
      <c r="A654" s="9"/>
      <c r="B654" s="56" t="s">
        <v>25</v>
      </c>
      <c r="C654" s="63" t="n">
        <v>2</v>
      </c>
      <c r="D654" s="1" t="n">
        <v>1</v>
      </c>
      <c r="E654" s="1"/>
      <c r="F654" s="1"/>
      <c r="G654" s="1"/>
      <c r="H654" s="1"/>
      <c r="I654" s="1"/>
      <c r="J654" s="1"/>
      <c r="K654" s="1"/>
      <c r="AL654" s="26"/>
    </row>
    <row r="655" customFormat="false" ht="14.25" hidden="false" customHeight="false" outlineLevel="0" collapsed="false">
      <c r="A655" s="9"/>
      <c r="B655" s="10" t="s">
        <v>27</v>
      </c>
      <c r="C655" s="63" t="s">
        <v>764</v>
      </c>
      <c r="D655" s="1" t="s">
        <v>765</v>
      </c>
      <c r="E655" s="1" t="s">
        <v>766</v>
      </c>
      <c r="F655" s="1" t="s">
        <v>767</v>
      </c>
      <c r="G655" s="1" t="s">
        <v>768</v>
      </c>
      <c r="H655" s="1" t="s">
        <v>387</v>
      </c>
      <c r="I655" s="1" t="s">
        <v>769</v>
      </c>
      <c r="J655" s="1" t="s">
        <v>770</v>
      </c>
      <c r="AL655" s="26"/>
    </row>
    <row r="656" customFormat="false" ht="14.25" hidden="false" customHeight="false" outlineLevel="0" collapsed="false">
      <c r="A656" s="9"/>
      <c r="B656" s="10" t="s">
        <v>64</v>
      </c>
      <c r="C656" s="63" t="n">
        <v>100</v>
      </c>
      <c r="D656" s="1" t="n">
        <v>100</v>
      </c>
      <c r="E656" s="74" t="n">
        <v>1100</v>
      </c>
      <c r="F656" s="1" t="n">
        <v>100</v>
      </c>
      <c r="G656" s="1" t="n">
        <v>1</v>
      </c>
      <c r="H656" s="1" t="n">
        <v>10</v>
      </c>
      <c r="I656" s="1" t="n">
        <v>1</v>
      </c>
      <c r="J656" s="1" t="n">
        <v>1</v>
      </c>
      <c r="AL656" s="26"/>
    </row>
    <row r="657" customFormat="false" ht="14.25" hidden="false" customHeight="false" outlineLevel="0" collapsed="false">
      <c r="A657" s="9" t="s">
        <v>65</v>
      </c>
      <c r="B657" s="10" t="s">
        <v>66</v>
      </c>
      <c r="C657" s="63" t="s">
        <v>114</v>
      </c>
      <c r="AL657" s="26"/>
    </row>
    <row r="658" customFormat="false" ht="14.25" hidden="false" customHeight="false" outlineLevel="0" collapsed="false">
      <c r="A658" s="9"/>
      <c r="B658" s="10" t="s">
        <v>68</v>
      </c>
      <c r="C658" s="63" t="s">
        <v>84</v>
      </c>
      <c r="AL658" s="26"/>
    </row>
    <row r="659" customFormat="false" ht="14.25" hidden="false" customHeight="false" outlineLevel="0" collapsed="false">
      <c r="A659" s="9" t="s">
        <v>71</v>
      </c>
      <c r="B659" s="3"/>
      <c r="C659" s="63" t="s">
        <v>72</v>
      </c>
      <c r="D659" s="0" t="s">
        <v>72</v>
      </c>
      <c r="AL659" s="26"/>
    </row>
    <row r="660" customFormat="false" ht="14.25" hidden="false" customHeight="false" outlineLevel="0" collapsed="false">
      <c r="A660" s="9" t="s">
        <v>74</v>
      </c>
      <c r="B660" s="10" t="s">
        <v>75</v>
      </c>
      <c r="C660" s="63"/>
      <c r="AL660" s="26"/>
    </row>
    <row r="661" customFormat="false" ht="14.25" hidden="false" customHeight="false" outlineLevel="0" collapsed="false">
      <c r="A661" s="9"/>
      <c r="B661" s="10" t="s">
        <v>76</v>
      </c>
      <c r="C661" s="63"/>
      <c r="AL661" s="26"/>
    </row>
    <row r="662" customFormat="false" ht="16.4" hidden="false" customHeight="false" outlineLevel="0" collapsed="false">
      <c r="A662" s="9"/>
      <c r="B662" s="10" t="s">
        <v>77</v>
      </c>
      <c r="C662" s="20" t="s">
        <v>771</v>
      </c>
      <c r="AL662" s="26"/>
    </row>
    <row r="663" customFormat="false" ht="14.25" hidden="false" customHeight="false" outlineLevel="0" collapsed="false">
      <c r="A663" s="16" t="s">
        <v>79</v>
      </c>
      <c r="B663" s="3"/>
      <c r="C663" s="63"/>
      <c r="AL663" s="26"/>
    </row>
    <row r="664" customFormat="false" ht="14.25" hidden="false" customHeight="false" outlineLevel="0" collapsed="false">
      <c r="A664" s="16"/>
      <c r="B664" s="3"/>
      <c r="C664" s="63"/>
      <c r="AL664" s="26"/>
    </row>
    <row r="665" customFormat="false" ht="14.25" hidden="false" customHeight="false" outlineLevel="0" collapsed="false">
      <c r="A665" s="21"/>
      <c r="B665" s="22"/>
      <c r="C665" s="17"/>
      <c r="D665" s="23"/>
      <c r="AL665" s="26"/>
    </row>
    <row r="666" customFormat="false" ht="14.25" hidden="false" customHeight="false" outlineLevel="0" collapsed="false">
      <c r="A666" s="9" t="s">
        <v>0</v>
      </c>
      <c r="B666" s="10" t="s">
        <v>1</v>
      </c>
      <c r="C666" s="75" t="s">
        <v>772</v>
      </c>
      <c r="AL666" s="26"/>
    </row>
    <row r="667" customFormat="false" ht="14.25" hidden="false" customHeight="false" outlineLevel="0" collapsed="false">
      <c r="A667" s="9"/>
      <c r="B667" s="10" t="s">
        <v>3</v>
      </c>
      <c r="C667" s="63" t="n">
        <v>2018</v>
      </c>
      <c r="AL667" s="26"/>
    </row>
    <row r="668" customFormat="false" ht="16.4" hidden="false" customHeight="false" outlineLevel="0" collapsed="false">
      <c r="A668" s="9"/>
      <c r="B668" s="10" t="s">
        <v>5</v>
      </c>
      <c r="C668" s="52" t="s">
        <v>773</v>
      </c>
      <c r="AL668" s="26"/>
    </row>
    <row r="669" customFormat="false" ht="14.25" hidden="false" customHeight="false" outlineLevel="0" collapsed="false">
      <c r="A669" s="9" t="s">
        <v>7</v>
      </c>
      <c r="B669" s="10" t="s">
        <v>8</v>
      </c>
      <c r="C669" s="63" t="s">
        <v>774</v>
      </c>
      <c r="AL669" s="26"/>
    </row>
    <row r="670" customFormat="false" ht="14.25" hidden="false" customHeight="false" outlineLevel="0" collapsed="false">
      <c r="A670" s="9"/>
      <c r="B670" s="10" t="s">
        <v>10</v>
      </c>
      <c r="C670" s="63" t="s">
        <v>84</v>
      </c>
      <c r="AL670" s="26"/>
    </row>
    <row r="671" customFormat="false" ht="14.25" hidden="false" customHeight="false" outlineLevel="0" collapsed="false">
      <c r="A671" s="9" t="s">
        <v>13</v>
      </c>
      <c r="B671" s="10" t="s">
        <v>14</v>
      </c>
      <c r="C671" s="63" t="n">
        <v>32</v>
      </c>
      <c r="AL671" s="26"/>
    </row>
    <row r="672" customFormat="false" ht="14.25" hidden="false" customHeight="false" outlineLevel="0" collapsed="false">
      <c r="A672" s="9"/>
      <c r="B672" s="10" t="s">
        <v>15</v>
      </c>
      <c r="C672" s="63" t="s">
        <v>775</v>
      </c>
      <c r="AL672" s="26"/>
    </row>
    <row r="673" customFormat="false" ht="14.25" hidden="false" customHeight="false" outlineLevel="0" collapsed="false">
      <c r="A673" s="9"/>
      <c r="B673" s="10" t="s">
        <v>17</v>
      </c>
      <c r="C673" s="76" t="s">
        <v>776</v>
      </c>
      <c r="AL673" s="26"/>
    </row>
    <row r="674" customFormat="false" ht="14.25" hidden="false" customHeight="false" outlineLevel="0" collapsed="false">
      <c r="A674" s="9"/>
      <c r="B674" s="10" t="s">
        <v>19</v>
      </c>
      <c r="C674" s="63" t="s">
        <v>777</v>
      </c>
      <c r="AL674" s="26"/>
    </row>
    <row r="675" customFormat="false" ht="14.25" hidden="false" customHeight="false" outlineLevel="0" collapsed="false">
      <c r="A675" s="9" t="s">
        <v>22</v>
      </c>
      <c r="B675" s="10" t="s">
        <v>23</v>
      </c>
      <c r="C675" s="63" t="n">
        <v>32</v>
      </c>
      <c r="AL675" s="26"/>
    </row>
    <row r="676" customFormat="false" ht="14.25" hidden="false" customHeight="false" outlineLevel="0" collapsed="false">
      <c r="A676" s="9"/>
      <c r="B676" s="10" t="s">
        <v>25</v>
      </c>
      <c r="C676" s="63" t="n">
        <v>1</v>
      </c>
      <c r="AL676" s="26"/>
    </row>
    <row r="677" customFormat="false" ht="14.25" hidden="false" customHeight="false" outlineLevel="0" collapsed="false">
      <c r="A677" s="9"/>
      <c r="B677" s="10" t="s">
        <v>27</v>
      </c>
      <c r="C677" s="1" t="s">
        <v>778</v>
      </c>
      <c r="D677" s="1" t="s">
        <v>779</v>
      </c>
      <c r="E677" s="1" t="s">
        <v>780</v>
      </c>
      <c r="F677" s="1" t="s">
        <v>781</v>
      </c>
      <c r="G677" s="1" t="s">
        <v>782</v>
      </c>
      <c r="H677" s="1" t="s">
        <v>783</v>
      </c>
      <c r="I677" s="1" t="s">
        <v>784</v>
      </c>
      <c r="J677" s="1" t="s">
        <v>785</v>
      </c>
      <c r="K677" s="1" t="s">
        <v>786</v>
      </c>
      <c r="L677" s="1" t="s">
        <v>787</v>
      </c>
      <c r="M677" s="1" t="s">
        <v>788</v>
      </c>
      <c r="N677" s="1" t="s">
        <v>789</v>
      </c>
      <c r="O677" s="1" t="s">
        <v>790</v>
      </c>
      <c r="P677" s="1" t="s">
        <v>791</v>
      </c>
      <c r="Q677" s="1" t="s">
        <v>792</v>
      </c>
      <c r="R677" s="1" t="s">
        <v>793</v>
      </c>
      <c r="AL677" s="26"/>
    </row>
    <row r="678" customFormat="false" ht="14.25" hidden="false" customHeight="false" outlineLevel="0" collapsed="false">
      <c r="A678" s="9"/>
      <c r="B678" s="10" t="s">
        <v>64</v>
      </c>
      <c r="C678" s="1" t="n">
        <v>50</v>
      </c>
      <c r="D678" s="1" t="n">
        <v>50</v>
      </c>
      <c r="E678" s="1" t="n">
        <v>50</v>
      </c>
      <c r="F678" s="1" t="n">
        <v>50</v>
      </c>
      <c r="G678" s="1" t="n">
        <v>50</v>
      </c>
      <c r="H678" s="1" t="n">
        <v>50</v>
      </c>
      <c r="I678" s="1" t="n">
        <v>50</v>
      </c>
      <c r="J678" s="1" t="n">
        <v>50</v>
      </c>
      <c r="K678" s="1" t="n">
        <v>50</v>
      </c>
      <c r="L678" s="1" t="n">
        <v>50</v>
      </c>
      <c r="M678" s="1" t="n">
        <v>50</v>
      </c>
      <c r="N678" s="1" t="n">
        <v>50</v>
      </c>
      <c r="O678" s="1" t="n">
        <v>50</v>
      </c>
      <c r="P678" s="1" t="n">
        <v>50</v>
      </c>
      <c r="Q678" s="1" t="n">
        <v>50</v>
      </c>
      <c r="R678" s="1" t="n">
        <v>50</v>
      </c>
      <c r="AL678" s="26"/>
    </row>
    <row r="679" customFormat="false" ht="14.25" hidden="false" customHeight="false" outlineLevel="0" collapsed="false">
      <c r="A679" s="9" t="s">
        <v>65</v>
      </c>
      <c r="B679" s="10" t="s">
        <v>66</v>
      </c>
      <c r="C679" s="63" t="s">
        <v>67</v>
      </c>
      <c r="AL679" s="26"/>
    </row>
    <row r="680" customFormat="false" ht="14.25" hidden="false" customHeight="false" outlineLevel="0" collapsed="false">
      <c r="A680" s="9"/>
      <c r="B680" s="10" t="s">
        <v>68</v>
      </c>
      <c r="C680" s="63" t="s">
        <v>84</v>
      </c>
      <c r="AL680" s="26"/>
    </row>
    <row r="681" customFormat="false" ht="14.25" hidden="false" customHeight="false" outlineLevel="0" collapsed="false">
      <c r="A681" s="9" t="s">
        <v>71</v>
      </c>
      <c r="B681" s="3"/>
      <c r="C681" s="63" t="s">
        <v>72</v>
      </c>
      <c r="D681" s="0" t="s">
        <v>794</v>
      </c>
      <c r="AL681" s="26"/>
    </row>
    <row r="682" customFormat="false" ht="14.25" hidden="false" customHeight="false" outlineLevel="0" collapsed="false">
      <c r="A682" s="9" t="s">
        <v>74</v>
      </c>
      <c r="B682" s="10" t="s">
        <v>75</v>
      </c>
      <c r="C682" s="63"/>
      <c r="AL682" s="26"/>
    </row>
    <row r="683" customFormat="false" ht="14.25" hidden="false" customHeight="false" outlineLevel="0" collapsed="false">
      <c r="A683" s="9"/>
      <c r="B683" s="10" t="s">
        <v>76</v>
      </c>
      <c r="C683" s="63"/>
      <c r="AL683" s="26"/>
    </row>
    <row r="684" customFormat="false" ht="16.4" hidden="false" customHeight="false" outlineLevel="0" collapsed="false">
      <c r="A684" s="9"/>
      <c r="B684" s="10" t="s">
        <v>77</v>
      </c>
      <c r="C684" s="20" t="s">
        <v>795</v>
      </c>
      <c r="D684" s="0" t="s">
        <v>796</v>
      </c>
      <c r="AL684" s="26"/>
    </row>
    <row r="685" customFormat="false" ht="14.25" hidden="false" customHeight="false" outlineLevel="0" collapsed="false">
      <c r="A685" s="16" t="s">
        <v>79</v>
      </c>
      <c r="B685" s="3"/>
      <c r="C685" s="63"/>
      <c r="AL685" s="26"/>
    </row>
    <row r="686" customFormat="false" ht="14.25" hidden="false" customHeight="false" outlineLevel="0" collapsed="false">
      <c r="A686" s="2"/>
      <c r="B686" s="3"/>
      <c r="C686" s="63"/>
      <c r="AL686" s="26"/>
    </row>
    <row r="687" customFormat="false" ht="14.25" hidden="false" customHeight="false" outlineLevel="0" collapsed="false">
      <c r="A687" s="21"/>
      <c r="B687" s="22"/>
      <c r="C687" s="17"/>
      <c r="D687" s="23"/>
      <c r="AL687" s="26"/>
    </row>
    <row r="688" customFormat="false" ht="14.25" hidden="false" customHeight="false" outlineLevel="0" collapsed="false">
      <c r="A688" s="9" t="s">
        <v>0</v>
      </c>
      <c r="B688" s="10" t="s">
        <v>1</v>
      </c>
      <c r="C688" s="19" t="s">
        <v>797</v>
      </c>
      <c r="AL688" s="26"/>
    </row>
    <row r="689" customFormat="false" ht="14.25" hidden="false" customHeight="false" outlineLevel="0" collapsed="false">
      <c r="A689" s="9"/>
      <c r="B689" s="10" t="s">
        <v>3</v>
      </c>
      <c r="C689" s="1" t="s">
        <v>798</v>
      </c>
      <c r="AL689" s="26"/>
    </row>
    <row r="690" customFormat="false" ht="16.4" hidden="false" customHeight="false" outlineLevel="0" collapsed="false">
      <c r="A690" s="9"/>
      <c r="B690" s="10" t="s">
        <v>5</v>
      </c>
      <c r="C690" s="13" t="s">
        <v>799</v>
      </c>
      <c r="AL690" s="26"/>
    </row>
    <row r="691" customFormat="false" ht="14.25" hidden="false" customHeight="false" outlineLevel="0" collapsed="false">
      <c r="A691" s="9" t="s">
        <v>7</v>
      </c>
      <c r="B691" s="10" t="s">
        <v>8</v>
      </c>
      <c r="C691" s="1" t="s">
        <v>800</v>
      </c>
      <c r="AL691" s="26"/>
    </row>
    <row r="692" customFormat="false" ht="14.25" hidden="false" customHeight="false" outlineLevel="0" collapsed="false">
      <c r="A692" s="9"/>
      <c r="B692" s="10" t="s">
        <v>10</v>
      </c>
      <c r="AL692" s="26"/>
    </row>
    <row r="693" customFormat="false" ht="14.25" hidden="false" customHeight="false" outlineLevel="0" collapsed="false">
      <c r="A693" s="9" t="s">
        <v>13</v>
      </c>
      <c r="B693" s="10" t="s">
        <v>14</v>
      </c>
      <c r="C693" s="1" t="n">
        <v>461</v>
      </c>
      <c r="AL693" s="26"/>
    </row>
    <row r="694" customFormat="false" ht="14.25" hidden="false" customHeight="false" outlineLevel="0" collapsed="false">
      <c r="A694" s="9"/>
      <c r="B694" s="10" t="s">
        <v>15</v>
      </c>
      <c r="C694" s="1" t="s">
        <v>801</v>
      </c>
      <c r="D694" s="0" t="s">
        <v>802</v>
      </c>
      <c r="AL694" s="26"/>
    </row>
    <row r="695" customFormat="false" ht="14.25" hidden="false" customHeight="false" outlineLevel="0" collapsed="false">
      <c r="A695" s="9"/>
      <c r="B695" s="10" t="s">
        <v>17</v>
      </c>
      <c r="C695" s="1" t="s">
        <v>803</v>
      </c>
      <c r="AL695" s="26"/>
    </row>
    <row r="696" customFormat="false" ht="14.25" hidden="false" customHeight="false" outlineLevel="0" collapsed="false">
      <c r="A696" s="9"/>
      <c r="B696" s="10" t="s">
        <v>19</v>
      </c>
      <c r="C696" s="1" t="s">
        <v>804</v>
      </c>
      <c r="AL696" s="26"/>
    </row>
    <row r="697" customFormat="false" ht="14.25" hidden="false" customHeight="false" outlineLevel="0" collapsed="false">
      <c r="A697" s="9" t="s">
        <v>22</v>
      </c>
      <c r="B697" s="10" t="s">
        <v>23</v>
      </c>
      <c r="C697" s="1" t="s">
        <v>805</v>
      </c>
      <c r="AL697" s="26"/>
    </row>
    <row r="698" customFormat="false" ht="14.25" hidden="false" customHeight="false" outlineLevel="0" collapsed="false">
      <c r="A698" s="9"/>
      <c r="B698" s="10" t="s">
        <v>25</v>
      </c>
      <c r="C698" s="1" t="n">
        <v>1</v>
      </c>
      <c r="AL698" s="26"/>
    </row>
    <row r="699" customFormat="false" ht="14.25" hidden="false" customHeight="false" outlineLevel="0" collapsed="false">
      <c r="A699" s="9"/>
      <c r="B699" s="10" t="s">
        <v>27</v>
      </c>
      <c r="C699" s="1" t="s">
        <v>806</v>
      </c>
      <c r="D699" s="1" t="s">
        <v>807</v>
      </c>
      <c r="E699" s="1" t="s">
        <v>808</v>
      </c>
      <c r="F699" s="1" t="s">
        <v>29</v>
      </c>
      <c r="G699" s="1" t="s">
        <v>211</v>
      </c>
      <c r="H699" s="1" t="s">
        <v>212</v>
      </c>
      <c r="I699" s="1" t="s">
        <v>809</v>
      </c>
      <c r="J699" s="1" t="s">
        <v>810</v>
      </c>
      <c r="K699" s="1" t="s">
        <v>811</v>
      </c>
      <c r="L699" s="1" t="s">
        <v>213</v>
      </c>
      <c r="M699" s="1" t="s">
        <v>214</v>
      </c>
      <c r="N699" s="1" t="s">
        <v>812</v>
      </c>
      <c r="O699" s="1" t="s">
        <v>813</v>
      </c>
      <c r="P699" s="1" t="s">
        <v>361</v>
      </c>
      <c r="Q699" s="1" t="s">
        <v>814</v>
      </c>
      <c r="R699" s="1" t="s">
        <v>815</v>
      </c>
      <c r="S699" s="1" t="s">
        <v>816</v>
      </c>
      <c r="T699" s="1" t="s">
        <v>137</v>
      </c>
      <c r="U699" s="1" t="s">
        <v>54</v>
      </c>
      <c r="V699" s="1" t="s">
        <v>817</v>
      </c>
      <c r="W699" s="1" t="s">
        <v>818</v>
      </c>
      <c r="X699" s="1" t="s">
        <v>283</v>
      </c>
      <c r="Y699" s="1" t="s">
        <v>57</v>
      </c>
      <c r="Z699" s="1" t="s">
        <v>819</v>
      </c>
      <c r="AA699" s="1" t="s">
        <v>142</v>
      </c>
      <c r="AB699" s="1" t="s">
        <v>820</v>
      </c>
      <c r="AC699" s="1" t="s">
        <v>821</v>
      </c>
      <c r="AD699" s="1" t="s">
        <v>822</v>
      </c>
      <c r="AL699" s="26"/>
    </row>
    <row r="700" customFormat="false" ht="14.25" hidden="false" customHeight="false" outlineLevel="0" collapsed="false">
      <c r="A700" s="9"/>
      <c r="B700" s="10" t="s">
        <v>64</v>
      </c>
      <c r="C700" s="1" t="n">
        <v>128</v>
      </c>
      <c r="D700" s="1" t="n">
        <v>128</v>
      </c>
      <c r="E700" s="1" t="s">
        <v>823</v>
      </c>
      <c r="F700" s="1" t="s">
        <v>823</v>
      </c>
      <c r="G700" s="1" t="n">
        <v>128</v>
      </c>
      <c r="H700" s="1" t="n">
        <v>128</v>
      </c>
      <c r="I700" s="1" t="s">
        <v>823</v>
      </c>
      <c r="J700" s="1" t="n">
        <v>16</v>
      </c>
      <c r="K700" s="1" t="n">
        <v>512</v>
      </c>
      <c r="L700" s="1" t="s">
        <v>236</v>
      </c>
      <c r="M700" s="1" t="s">
        <v>236</v>
      </c>
      <c r="N700" s="1" t="s">
        <v>236</v>
      </c>
      <c r="O700" s="1" t="s">
        <v>236</v>
      </c>
      <c r="P700" s="1" t="n">
        <v>1</v>
      </c>
      <c r="Q700" s="1" t="n">
        <v>128</v>
      </c>
      <c r="R700" s="1" t="n">
        <v>64</v>
      </c>
      <c r="S700" s="1" t="n">
        <v>64</v>
      </c>
      <c r="T700" s="1" t="n">
        <v>128</v>
      </c>
      <c r="U700" s="1" t="s">
        <v>823</v>
      </c>
      <c r="V700" s="1" t="n">
        <v>64</v>
      </c>
      <c r="W700" s="1" t="n">
        <v>128</v>
      </c>
      <c r="X700" s="1" t="n">
        <v>128</v>
      </c>
      <c r="Y700" s="1" t="s">
        <v>824</v>
      </c>
      <c r="Z700" s="1" t="n">
        <v>128</v>
      </c>
      <c r="AA700" s="1" t="n">
        <v>128</v>
      </c>
      <c r="AB700" s="1" t="n">
        <v>1</v>
      </c>
      <c r="AC700" s="1" t="n">
        <v>1</v>
      </c>
      <c r="AD700" s="1" t="s">
        <v>823</v>
      </c>
      <c r="AL700" s="26"/>
    </row>
    <row r="701" customFormat="false" ht="14.25" hidden="false" customHeight="false" outlineLevel="0" collapsed="false">
      <c r="A701" s="9" t="s">
        <v>65</v>
      </c>
      <c r="B701" s="10" t="s">
        <v>66</v>
      </c>
      <c r="C701" s="1" t="s">
        <v>114</v>
      </c>
      <c r="AL701" s="26"/>
    </row>
    <row r="702" customFormat="false" ht="14.25" hidden="false" customHeight="false" outlineLevel="0" collapsed="false">
      <c r="A702" s="9"/>
      <c r="B702" s="10" t="s">
        <v>68</v>
      </c>
      <c r="C702" s="1" t="s">
        <v>478</v>
      </c>
      <c r="AL702" s="26"/>
    </row>
    <row r="703" customFormat="false" ht="14.25" hidden="false" customHeight="false" outlineLevel="0" collapsed="false">
      <c r="A703" s="9" t="s">
        <v>71</v>
      </c>
      <c r="B703" s="3"/>
      <c r="C703" s="1" t="s">
        <v>72</v>
      </c>
      <c r="D703" s="0" t="s">
        <v>643</v>
      </c>
      <c r="AL703" s="26"/>
    </row>
    <row r="704" customFormat="false" ht="14.25" hidden="false" customHeight="false" outlineLevel="0" collapsed="false">
      <c r="A704" s="9" t="s">
        <v>74</v>
      </c>
      <c r="B704" s="10" t="s">
        <v>75</v>
      </c>
      <c r="AL704" s="26"/>
    </row>
    <row r="705" customFormat="false" ht="14.25" hidden="false" customHeight="false" outlineLevel="0" collapsed="false">
      <c r="A705" s="9"/>
      <c r="B705" s="10" t="s">
        <v>76</v>
      </c>
      <c r="AL705" s="26"/>
    </row>
    <row r="706" customFormat="false" ht="16.4" hidden="false" customHeight="false" outlineLevel="0" collapsed="false">
      <c r="A706" s="9"/>
      <c r="B706" s="10" t="s">
        <v>77</v>
      </c>
      <c r="C706" s="64" t="s">
        <v>825</v>
      </c>
      <c r="D706" s="20" t="s">
        <v>826</v>
      </c>
      <c r="AL706" s="26"/>
    </row>
    <row r="707" customFormat="false" ht="14.25" hidden="false" customHeight="false" outlineLevel="0" collapsed="false">
      <c r="A707" s="16" t="s">
        <v>79</v>
      </c>
      <c r="B707" s="3"/>
      <c r="C707" s="63"/>
      <c r="AL707" s="26"/>
    </row>
    <row r="708" customFormat="false" ht="14.25" hidden="false" customHeight="false" outlineLevel="0" collapsed="false">
      <c r="A708" s="2"/>
      <c r="B708" s="3"/>
      <c r="C708" s="63"/>
      <c r="AL708" s="26"/>
    </row>
    <row r="709" customFormat="false" ht="14.25" hidden="false" customHeight="false" outlineLevel="0" collapsed="false">
      <c r="A709" s="21"/>
      <c r="B709" s="22"/>
      <c r="C709" s="17"/>
      <c r="D709" s="23"/>
      <c r="AL709" s="26"/>
    </row>
    <row r="710" customFormat="false" ht="14.25" hidden="false" customHeight="false" outlineLevel="0" collapsed="false">
      <c r="A710" s="9" t="s">
        <v>0</v>
      </c>
      <c r="B710" s="10" t="s">
        <v>1</v>
      </c>
      <c r="C710" s="19" t="s">
        <v>827</v>
      </c>
      <c r="AL710" s="26"/>
    </row>
    <row r="711" customFormat="false" ht="14.25" hidden="false" customHeight="false" outlineLevel="0" collapsed="false">
      <c r="A711" s="9"/>
      <c r="B711" s="10" t="s">
        <v>3</v>
      </c>
      <c r="AL711" s="26"/>
    </row>
    <row r="712" customFormat="false" ht="16.4" hidden="false" customHeight="false" outlineLevel="0" collapsed="false">
      <c r="A712" s="9"/>
      <c r="B712" s="10" t="s">
        <v>5</v>
      </c>
      <c r="C712" s="13" t="s">
        <v>828</v>
      </c>
      <c r="AL712" s="26"/>
    </row>
    <row r="713" customFormat="false" ht="14.25" hidden="false" customHeight="false" outlineLevel="0" collapsed="false">
      <c r="A713" s="9" t="s">
        <v>7</v>
      </c>
      <c r="B713" s="10" t="s">
        <v>8</v>
      </c>
      <c r="C713" s="1" t="s">
        <v>829</v>
      </c>
      <c r="AL713" s="26"/>
    </row>
    <row r="714" customFormat="false" ht="14.25" hidden="false" customHeight="false" outlineLevel="0" collapsed="false">
      <c r="A714" s="9"/>
      <c r="B714" s="10" t="s">
        <v>10</v>
      </c>
      <c r="C714" s="1" t="s">
        <v>84</v>
      </c>
      <c r="AL714" s="26"/>
    </row>
    <row r="715" customFormat="false" ht="14.25" hidden="false" customHeight="false" outlineLevel="0" collapsed="false">
      <c r="A715" s="9" t="s">
        <v>13</v>
      </c>
      <c r="B715" s="10" t="s">
        <v>14</v>
      </c>
      <c r="C715" s="1" t="n">
        <v>1881</v>
      </c>
      <c r="AL715" s="26"/>
    </row>
    <row r="716" customFormat="false" ht="14.25" hidden="false" customHeight="false" outlineLevel="0" collapsed="false">
      <c r="A716" s="9"/>
      <c r="B716" s="10" t="s">
        <v>15</v>
      </c>
      <c r="C716" s="1" t="s">
        <v>830</v>
      </c>
      <c r="AL716" s="26"/>
    </row>
    <row r="717" customFormat="false" ht="14.25" hidden="false" customHeight="false" outlineLevel="0" collapsed="false">
      <c r="A717" s="9"/>
      <c r="B717" s="10" t="s">
        <v>17</v>
      </c>
      <c r="C717" s="1" t="s">
        <v>831</v>
      </c>
      <c r="AL717" s="26"/>
    </row>
    <row r="718" customFormat="false" ht="14.25" hidden="false" customHeight="false" outlineLevel="0" collapsed="false">
      <c r="A718" s="9"/>
      <c r="B718" s="10" t="s">
        <v>19</v>
      </c>
      <c r="C718" s="1" t="s">
        <v>832</v>
      </c>
    </row>
    <row r="719" customFormat="false" ht="14.25" hidden="false" customHeight="false" outlineLevel="0" collapsed="false">
      <c r="A719" s="9" t="s">
        <v>22</v>
      </c>
      <c r="B719" s="10" t="s">
        <v>23</v>
      </c>
      <c r="C719" s="1" t="n">
        <v>1908</v>
      </c>
    </row>
    <row r="720" customFormat="false" ht="14.25" hidden="false" customHeight="false" outlineLevel="0" collapsed="false">
      <c r="A720" s="9"/>
      <c r="B720" s="10" t="s">
        <v>25</v>
      </c>
      <c r="C720" s="1" t="n">
        <v>1</v>
      </c>
    </row>
    <row r="721" customFormat="false" ht="14.25" hidden="false" customHeight="false" outlineLevel="0" collapsed="false">
      <c r="A721" s="9"/>
      <c r="B721" s="10" t="s">
        <v>27</v>
      </c>
      <c r="C721" s="1" t="s">
        <v>833</v>
      </c>
    </row>
    <row r="722" customFormat="false" ht="14.25" hidden="false" customHeight="false" outlineLevel="0" collapsed="false">
      <c r="A722" s="9"/>
      <c r="B722" s="10" t="s">
        <v>64</v>
      </c>
      <c r="C722" s="1" t="s">
        <v>833</v>
      </c>
    </row>
    <row r="723" customFormat="false" ht="14.25" hidden="false" customHeight="false" outlineLevel="0" collapsed="false">
      <c r="A723" s="9" t="s">
        <v>65</v>
      </c>
      <c r="B723" s="10" t="s">
        <v>66</v>
      </c>
      <c r="C723" s="1" t="s">
        <v>67</v>
      </c>
    </row>
    <row r="724" customFormat="false" ht="14.25" hidden="false" customHeight="false" outlineLevel="0" collapsed="false">
      <c r="A724" s="9"/>
      <c r="B724" s="10" t="s">
        <v>68</v>
      </c>
      <c r="C724" s="1" t="s">
        <v>834</v>
      </c>
    </row>
    <row r="725" customFormat="false" ht="14.25" hidden="false" customHeight="false" outlineLevel="0" collapsed="false">
      <c r="A725" s="9" t="s">
        <v>71</v>
      </c>
      <c r="B725" s="3"/>
      <c r="C725" s="1" t="s">
        <v>72</v>
      </c>
      <c r="D725" s="0" t="s">
        <v>103</v>
      </c>
    </row>
    <row r="726" customFormat="false" ht="14.25" hidden="false" customHeight="false" outlineLevel="0" collapsed="false">
      <c r="A726" s="9" t="s">
        <v>74</v>
      </c>
      <c r="B726" s="10" t="s">
        <v>75</v>
      </c>
    </row>
    <row r="727" customFormat="false" ht="14.25" hidden="false" customHeight="false" outlineLevel="0" collapsed="false">
      <c r="A727" s="9"/>
      <c r="B727" s="10" t="s">
        <v>76</v>
      </c>
    </row>
    <row r="728" customFormat="false" ht="16.4" hidden="false" customHeight="false" outlineLevel="0" collapsed="false">
      <c r="A728" s="9"/>
      <c r="B728" s="10" t="s">
        <v>77</v>
      </c>
      <c r="C728" s="20" t="s">
        <v>835</v>
      </c>
    </row>
    <row r="729" customFormat="false" ht="14.25" hidden="false" customHeight="false" outlineLevel="0" collapsed="false">
      <c r="A729" s="16" t="s">
        <v>79</v>
      </c>
      <c r="B729" s="3"/>
      <c r="C729" s="63"/>
    </row>
    <row r="730" customFormat="false" ht="14.25" hidden="false" customHeight="false" outlineLevel="0" collapsed="false">
      <c r="A730" s="2"/>
      <c r="B730" s="3"/>
      <c r="C730" s="63"/>
    </row>
    <row r="731" customFormat="false" ht="14.25" hidden="false" customHeight="false" outlineLevel="0" collapsed="false">
      <c r="A731" s="21"/>
      <c r="B731" s="22"/>
      <c r="C731" s="17"/>
      <c r="D731" s="23"/>
    </row>
    <row r="732" customFormat="false" ht="14.25" hidden="false" customHeight="false" outlineLevel="0" collapsed="false">
      <c r="A732" s="9" t="s">
        <v>0</v>
      </c>
      <c r="B732" s="10" t="s">
        <v>1</v>
      </c>
      <c r="C732" s="19" t="s">
        <v>836</v>
      </c>
    </row>
    <row r="733" customFormat="false" ht="14.25" hidden="false" customHeight="false" outlineLevel="0" collapsed="false">
      <c r="A733" s="9"/>
      <c r="B733" s="10" t="s">
        <v>3</v>
      </c>
      <c r="C733" s="63" t="n">
        <v>2007</v>
      </c>
    </row>
    <row r="734" customFormat="false" ht="16.4" hidden="false" customHeight="false" outlineLevel="0" collapsed="false">
      <c r="A734" s="9"/>
      <c r="B734" s="10" t="s">
        <v>5</v>
      </c>
      <c r="C734" s="52" t="s">
        <v>837</v>
      </c>
    </row>
    <row r="735" customFormat="false" ht="14.25" hidden="false" customHeight="false" outlineLevel="0" collapsed="false">
      <c r="A735" s="9" t="s">
        <v>7</v>
      </c>
      <c r="B735" s="10" t="s">
        <v>8</v>
      </c>
      <c r="C735" s="63" t="s">
        <v>838</v>
      </c>
    </row>
    <row r="736" customFormat="false" ht="14.25" hidden="false" customHeight="false" outlineLevel="0" collapsed="false">
      <c r="A736" s="9"/>
      <c r="B736" s="10" t="s">
        <v>10</v>
      </c>
      <c r="C736" s="63" t="s">
        <v>84</v>
      </c>
    </row>
    <row r="737" customFormat="false" ht="14.25" hidden="false" customHeight="false" outlineLevel="0" collapsed="false">
      <c r="A737" s="9" t="s">
        <v>13</v>
      </c>
      <c r="B737" s="10" t="s">
        <v>14</v>
      </c>
      <c r="C737" s="63" t="n">
        <v>25</v>
      </c>
    </row>
    <row r="738" customFormat="false" ht="14.25" hidden="false" customHeight="false" outlineLevel="0" collapsed="false">
      <c r="A738" s="9"/>
      <c r="B738" s="10" t="s">
        <v>15</v>
      </c>
      <c r="C738" s="63" t="s">
        <v>839</v>
      </c>
    </row>
    <row r="739" customFormat="false" ht="14.25" hidden="false" customHeight="false" outlineLevel="0" collapsed="false">
      <c r="A739" s="9"/>
      <c r="B739" s="10" t="s">
        <v>17</v>
      </c>
      <c r="C739" s="76" t="s">
        <v>840</v>
      </c>
    </row>
    <row r="740" customFormat="false" ht="14.25" hidden="false" customHeight="false" outlineLevel="0" collapsed="false">
      <c r="A740" s="9"/>
      <c r="B740" s="10" t="s">
        <v>19</v>
      </c>
      <c r="C740" s="63" t="s">
        <v>841</v>
      </c>
    </row>
    <row r="741" customFormat="false" ht="14.25" hidden="false" customHeight="false" outlineLevel="0" collapsed="false">
      <c r="A741" s="9" t="s">
        <v>22</v>
      </c>
      <c r="B741" s="10" t="s">
        <v>23</v>
      </c>
      <c r="C741" s="63" t="n">
        <v>25</v>
      </c>
    </row>
    <row r="742" customFormat="false" ht="14.25" hidden="false" customHeight="false" outlineLevel="0" collapsed="false">
      <c r="A742" s="9"/>
      <c r="B742" s="10" t="s">
        <v>25</v>
      </c>
      <c r="C742" s="63" t="n">
        <v>1</v>
      </c>
    </row>
    <row r="743" customFormat="false" ht="14.25" hidden="false" customHeight="false" outlineLevel="0" collapsed="false">
      <c r="A743" s="9"/>
      <c r="B743" s="10" t="s">
        <v>27</v>
      </c>
      <c r="C743" s="1" t="s">
        <v>842</v>
      </c>
      <c r="D743" s="1" t="s">
        <v>843</v>
      </c>
      <c r="E743" s="1" t="s">
        <v>844</v>
      </c>
      <c r="F743" s="1" t="s">
        <v>845</v>
      </c>
      <c r="G743" s="1" t="s">
        <v>134</v>
      </c>
      <c r="H743" s="1" t="s">
        <v>135</v>
      </c>
      <c r="I743" s="1" t="s">
        <v>846</v>
      </c>
      <c r="J743" s="1" t="s">
        <v>847</v>
      </c>
      <c r="K743" s="1" t="s">
        <v>848</v>
      </c>
      <c r="L743" s="1" t="s">
        <v>58</v>
      </c>
      <c r="M743" s="1" t="s">
        <v>849</v>
      </c>
      <c r="N743" s="1" t="s">
        <v>850</v>
      </c>
      <c r="O743" s="1" t="s">
        <v>851</v>
      </c>
      <c r="P743" s="1" t="s">
        <v>852</v>
      </c>
      <c r="Q743" s="1" t="s">
        <v>853</v>
      </c>
      <c r="R743" s="1" t="s">
        <v>61</v>
      </c>
      <c r="S743" s="1" t="s">
        <v>62</v>
      </c>
    </row>
    <row r="744" customFormat="false" ht="14.25" hidden="false" customHeight="false" outlineLevel="0" collapsed="false">
      <c r="A744" s="9"/>
      <c r="B744" s="10" t="s">
        <v>64</v>
      </c>
      <c r="C744" s="1" t="n">
        <v>8</v>
      </c>
      <c r="D744" s="1" t="n">
        <v>8</v>
      </c>
      <c r="E744" s="1" t="n">
        <v>128</v>
      </c>
      <c r="F744" s="1" t="n">
        <v>128</v>
      </c>
      <c r="G744" s="1" t="n">
        <v>128</v>
      </c>
      <c r="H744" s="1" t="n">
        <v>64</v>
      </c>
      <c r="I744" s="1" t="n">
        <v>8</v>
      </c>
      <c r="J744" s="1" t="n">
        <v>64</v>
      </c>
      <c r="K744" s="1" t="n">
        <v>64</v>
      </c>
      <c r="L744" s="1" t="n">
        <v>8</v>
      </c>
      <c r="M744" s="1" t="n">
        <v>8</v>
      </c>
      <c r="N744" s="1" t="n">
        <v>64</v>
      </c>
      <c r="O744" s="1" t="n">
        <v>64</v>
      </c>
      <c r="P744" s="1" t="n">
        <v>8</v>
      </c>
      <c r="Q744" s="1" t="n">
        <v>8</v>
      </c>
      <c r="R744" s="1" t="n">
        <v>8</v>
      </c>
      <c r="S744" s="1" t="n">
        <v>8</v>
      </c>
    </row>
    <row r="745" customFormat="false" ht="14.25" hidden="false" customHeight="false" outlineLevel="0" collapsed="false">
      <c r="A745" s="9" t="s">
        <v>65</v>
      </c>
      <c r="B745" s="10" t="s">
        <v>66</v>
      </c>
      <c r="C745" s="63" t="s">
        <v>114</v>
      </c>
    </row>
    <row r="746" customFormat="false" ht="14.25" hidden="false" customHeight="false" outlineLevel="0" collapsed="false">
      <c r="A746" s="9"/>
      <c r="B746" s="10" t="s">
        <v>68</v>
      </c>
      <c r="C746" s="63" t="s">
        <v>854</v>
      </c>
    </row>
    <row r="747" customFormat="false" ht="14.25" hidden="false" customHeight="false" outlineLevel="0" collapsed="false">
      <c r="A747" s="9" t="s">
        <v>71</v>
      </c>
      <c r="B747" s="3"/>
      <c r="C747" s="63" t="s">
        <v>72</v>
      </c>
      <c r="D747" s="0" t="s">
        <v>513</v>
      </c>
    </row>
    <row r="748" customFormat="false" ht="14.25" hidden="false" customHeight="false" outlineLevel="0" collapsed="false">
      <c r="A748" s="9" t="s">
        <v>74</v>
      </c>
      <c r="B748" s="10" t="s">
        <v>75</v>
      </c>
      <c r="C748" s="63"/>
    </row>
    <row r="749" customFormat="false" ht="14.25" hidden="false" customHeight="false" outlineLevel="0" collapsed="false">
      <c r="A749" s="9"/>
      <c r="B749" s="10" t="s">
        <v>76</v>
      </c>
      <c r="C749" s="63"/>
    </row>
    <row r="750" customFormat="false" ht="16.4" hidden="false" customHeight="false" outlineLevel="0" collapsed="false">
      <c r="A750" s="9"/>
      <c r="B750" s="10" t="s">
        <v>77</v>
      </c>
      <c r="C750" s="20" t="s">
        <v>855</v>
      </c>
    </row>
    <row r="751" customFormat="false" ht="14.25" hidden="false" customHeight="false" outlineLevel="0" collapsed="false">
      <c r="A751" s="16" t="s">
        <v>79</v>
      </c>
      <c r="B751" s="3"/>
      <c r="C751" s="63"/>
    </row>
    <row r="752" customFormat="false" ht="14.25" hidden="false" customHeight="false" outlineLevel="0" collapsed="false">
      <c r="A752" s="2"/>
      <c r="B752" s="3"/>
      <c r="C752" s="63"/>
    </row>
    <row r="753" customFormat="false" ht="14.25" hidden="false" customHeight="false" outlineLevel="0" collapsed="false">
      <c r="A753" s="21"/>
      <c r="B753" s="22"/>
      <c r="C753" s="17"/>
      <c r="D753" s="23"/>
    </row>
    <row r="754" customFormat="false" ht="14.25" hidden="false" customHeight="false" outlineLevel="0" collapsed="false">
      <c r="A754" s="9" t="s">
        <v>0</v>
      </c>
      <c r="B754" s="10" t="s">
        <v>1</v>
      </c>
      <c r="C754" s="19" t="s">
        <v>856</v>
      </c>
    </row>
    <row r="755" customFormat="false" ht="14.25" hidden="false" customHeight="false" outlineLevel="0" collapsed="false">
      <c r="A755" s="9"/>
      <c r="B755" s="10" t="s">
        <v>3</v>
      </c>
      <c r="C755" s="1" t="s">
        <v>857</v>
      </c>
    </row>
    <row r="756" customFormat="false" ht="16.4" hidden="false" customHeight="false" outlineLevel="0" collapsed="false">
      <c r="A756" s="9"/>
      <c r="B756" s="10" t="s">
        <v>5</v>
      </c>
      <c r="C756" s="13" t="s">
        <v>858</v>
      </c>
    </row>
    <row r="757" customFormat="false" ht="14.25" hidden="false" customHeight="false" outlineLevel="0" collapsed="false">
      <c r="A757" s="9" t="s">
        <v>7</v>
      </c>
      <c r="B757" s="10" t="s">
        <v>8</v>
      </c>
      <c r="C757" s="1" t="s">
        <v>859</v>
      </c>
    </row>
    <row r="758" customFormat="false" ht="14.25" hidden="false" customHeight="false" outlineLevel="0" collapsed="false">
      <c r="A758" s="9"/>
      <c r="B758" s="10" t="s">
        <v>10</v>
      </c>
      <c r="C758" s="1" t="s">
        <v>84</v>
      </c>
    </row>
    <row r="759" customFormat="false" ht="14.25" hidden="false" customHeight="false" outlineLevel="0" collapsed="false">
      <c r="A759" s="9" t="s">
        <v>13</v>
      </c>
      <c r="B759" s="10" t="s">
        <v>14</v>
      </c>
      <c r="C759" s="1" t="n">
        <v>1123</v>
      </c>
    </row>
    <row r="760" customFormat="false" ht="14.25" hidden="false" customHeight="false" outlineLevel="0" collapsed="false">
      <c r="A760" s="9"/>
      <c r="B760" s="10" t="s">
        <v>15</v>
      </c>
      <c r="C760" s="1" t="s">
        <v>860</v>
      </c>
      <c r="BD760" s="48"/>
    </row>
    <row r="761" customFormat="false" ht="14.25" hidden="false" customHeight="false" outlineLevel="0" collapsed="false">
      <c r="A761" s="9"/>
      <c r="B761" s="10" t="s">
        <v>17</v>
      </c>
      <c r="C761" s="1" t="s">
        <v>861</v>
      </c>
    </row>
    <row r="762" customFormat="false" ht="14.25" hidden="false" customHeight="false" outlineLevel="0" collapsed="false">
      <c r="A762" s="9"/>
      <c r="B762" s="10" t="s">
        <v>19</v>
      </c>
      <c r="C762" s="1" t="s">
        <v>862</v>
      </c>
    </row>
    <row r="763" customFormat="false" ht="14.25" hidden="false" customHeight="false" outlineLevel="0" collapsed="false">
      <c r="A763" s="9" t="s">
        <v>22</v>
      </c>
      <c r="B763" s="10" t="s">
        <v>23</v>
      </c>
      <c r="C763" s="1" t="n">
        <v>2570</v>
      </c>
    </row>
    <row r="764" customFormat="false" ht="14.25" hidden="false" customHeight="false" outlineLevel="0" collapsed="false">
      <c r="A764" s="9"/>
      <c r="B764" s="10" t="s">
        <v>25</v>
      </c>
      <c r="C764" s="1" t="s">
        <v>863</v>
      </c>
    </row>
    <row r="765" customFormat="false" ht="16.4" hidden="false" customHeight="false" outlineLevel="0" collapsed="false">
      <c r="A765" s="9"/>
      <c r="B765" s="10" t="s">
        <v>27</v>
      </c>
      <c r="C765" s="77" t="s">
        <v>131</v>
      </c>
      <c r="D765" s="77" t="s">
        <v>864</v>
      </c>
      <c r="E765" s="77" t="s">
        <v>865</v>
      </c>
      <c r="F765" s="77" t="s">
        <v>132</v>
      </c>
      <c r="G765" s="77" t="s">
        <v>866</v>
      </c>
      <c r="H765" s="77" t="s">
        <v>133</v>
      </c>
      <c r="I765" s="77" t="s">
        <v>867</v>
      </c>
      <c r="J765" s="77" t="s">
        <v>868</v>
      </c>
      <c r="K765" s="77" t="s">
        <v>869</v>
      </c>
      <c r="L765" s="77" t="s">
        <v>870</v>
      </c>
      <c r="M765" s="77" t="s">
        <v>871</v>
      </c>
      <c r="N765" s="77" t="s">
        <v>872</v>
      </c>
      <c r="O765" s="77" t="s">
        <v>873</v>
      </c>
      <c r="P765" s="77" t="s">
        <v>666</v>
      </c>
      <c r="Q765" s="77" t="s">
        <v>667</v>
      </c>
      <c r="R765" s="77" t="s">
        <v>134</v>
      </c>
      <c r="S765" s="77" t="s">
        <v>874</v>
      </c>
      <c r="T765" s="77" t="s">
        <v>875</v>
      </c>
      <c r="U765" s="77" t="s">
        <v>653</v>
      </c>
      <c r="V765" s="77" t="s">
        <v>876</v>
      </c>
      <c r="W765" s="77" t="s">
        <v>464</v>
      </c>
      <c r="X765" s="77" t="s">
        <v>877</v>
      </c>
      <c r="Y765" s="77" t="s">
        <v>878</v>
      </c>
      <c r="Z765" s="77" t="s">
        <v>879</v>
      </c>
      <c r="AA765" s="77" t="s">
        <v>880</v>
      </c>
      <c r="AB765" s="77" t="s">
        <v>881</v>
      </c>
      <c r="AC765" s="77" t="s">
        <v>882</v>
      </c>
      <c r="AD765" s="77" t="s">
        <v>883</v>
      </c>
      <c r="AE765" s="77" t="s">
        <v>884</v>
      </c>
      <c r="AF765" s="77" t="s">
        <v>885</v>
      </c>
      <c r="AG765" s="77" t="s">
        <v>886</v>
      </c>
      <c r="AH765" s="77" t="s">
        <v>887</v>
      </c>
      <c r="AI765" s="77" t="s">
        <v>139</v>
      </c>
      <c r="AJ765" s="77" t="s">
        <v>140</v>
      </c>
      <c r="AK765" s="77" t="s">
        <v>888</v>
      </c>
      <c r="AL765" s="77" t="s">
        <v>889</v>
      </c>
      <c r="AM765" s="77" t="s">
        <v>890</v>
      </c>
      <c r="AN765" s="77" t="s">
        <v>891</v>
      </c>
      <c r="AO765" s="77" t="s">
        <v>892</v>
      </c>
      <c r="AP765" s="77" t="s">
        <v>893</v>
      </c>
      <c r="AQ765" s="77" t="s">
        <v>894</v>
      </c>
      <c r="AR765" s="77" t="s">
        <v>895</v>
      </c>
      <c r="AS765" s="77" t="s">
        <v>896</v>
      </c>
      <c r="AT765" s="77" t="s">
        <v>897</v>
      </c>
      <c r="AU765" s="77" t="s">
        <v>143</v>
      </c>
      <c r="AV765" s="77" t="s">
        <v>898</v>
      </c>
      <c r="AW765" s="77" t="s">
        <v>899</v>
      </c>
      <c r="AX765" s="77" t="s">
        <v>145</v>
      </c>
      <c r="AY765" s="48"/>
    </row>
    <row r="766" customFormat="false" ht="14.25" hidden="false" customHeight="false" outlineLevel="0" collapsed="false">
      <c r="A766" s="9"/>
      <c r="B766" s="10" t="s">
        <v>64</v>
      </c>
      <c r="C766" s="1" t="s">
        <v>900</v>
      </c>
      <c r="D766" s="1" t="n">
        <v>200</v>
      </c>
      <c r="E766" s="1" t="n">
        <v>200</v>
      </c>
      <c r="F766" s="1" t="s">
        <v>900</v>
      </c>
      <c r="G766" s="1" t="n">
        <v>200</v>
      </c>
      <c r="H766" s="1" t="s">
        <v>901</v>
      </c>
      <c r="I766" s="1" t="n">
        <v>200</v>
      </c>
      <c r="J766" s="1" t="n">
        <v>200</v>
      </c>
      <c r="K766" s="1" t="n">
        <v>200</v>
      </c>
      <c r="L766" s="1" t="s">
        <v>902</v>
      </c>
      <c r="M766" s="1" t="n">
        <v>200</v>
      </c>
      <c r="N766" s="1" t="n">
        <v>200</v>
      </c>
      <c r="O766" s="1" t="n">
        <v>200</v>
      </c>
      <c r="P766" s="1" t="s">
        <v>900</v>
      </c>
      <c r="Q766" s="1" t="s">
        <v>900</v>
      </c>
      <c r="R766" s="1" t="s">
        <v>900</v>
      </c>
      <c r="S766" s="1" t="n">
        <v>200</v>
      </c>
      <c r="T766" s="1" t="n">
        <v>200</v>
      </c>
      <c r="U766" s="1" t="s">
        <v>901</v>
      </c>
      <c r="V766" s="1" t="n">
        <v>200</v>
      </c>
      <c r="W766" s="1" t="n">
        <v>200</v>
      </c>
      <c r="X766" s="1" t="n">
        <v>200</v>
      </c>
      <c r="Y766" s="1" t="s">
        <v>901</v>
      </c>
      <c r="Z766" s="1" t="n">
        <v>200</v>
      </c>
      <c r="AA766" s="1" t="n">
        <v>200</v>
      </c>
      <c r="AB766" s="1" t="n">
        <v>200</v>
      </c>
      <c r="AC766" s="1" t="s">
        <v>900</v>
      </c>
      <c r="AD766" s="1" t="n">
        <v>200</v>
      </c>
      <c r="AE766" s="1" t="s">
        <v>900</v>
      </c>
      <c r="AF766" s="1" t="s">
        <v>900</v>
      </c>
      <c r="AG766" s="1" t="n">
        <v>200</v>
      </c>
      <c r="AH766" s="1" t="n">
        <v>200</v>
      </c>
      <c r="AI766" s="1" t="s">
        <v>900</v>
      </c>
      <c r="AJ766" s="1" t="n">
        <v>200</v>
      </c>
      <c r="AK766" s="1" t="n">
        <v>200</v>
      </c>
      <c r="AL766" s="1" t="s">
        <v>900</v>
      </c>
      <c r="AM766" s="1" t="n">
        <v>200</v>
      </c>
      <c r="AN766" s="1" t="n">
        <v>200</v>
      </c>
      <c r="AO766" s="1" t="s">
        <v>900</v>
      </c>
      <c r="AP766" s="1" t="n">
        <v>200</v>
      </c>
      <c r="AQ766" s="1" t="n">
        <v>200</v>
      </c>
      <c r="AR766" s="1" t="n">
        <v>200</v>
      </c>
      <c r="AS766" s="1" t="n">
        <v>200</v>
      </c>
      <c r="AT766" s="1" t="n">
        <v>200</v>
      </c>
      <c r="AU766" s="1" t="s">
        <v>900</v>
      </c>
      <c r="AV766" s="1" t="s">
        <v>900</v>
      </c>
      <c r="AW766" s="1" t="s">
        <v>900</v>
      </c>
      <c r="AX766" s="1" t="s">
        <v>900</v>
      </c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</row>
    <row r="767" customFormat="false" ht="14.25" hidden="false" customHeight="false" outlineLevel="0" collapsed="false">
      <c r="A767" s="9" t="s">
        <v>65</v>
      </c>
      <c r="B767" s="10" t="s">
        <v>66</v>
      </c>
      <c r="C767" s="1" t="s">
        <v>114</v>
      </c>
    </row>
    <row r="768" customFormat="false" ht="14.25" hidden="false" customHeight="false" outlineLevel="0" collapsed="false">
      <c r="A768" s="9"/>
      <c r="B768" s="10" t="s">
        <v>68</v>
      </c>
      <c r="C768" s="1" t="s">
        <v>84</v>
      </c>
    </row>
    <row r="769" customFormat="false" ht="14.25" hidden="false" customHeight="false" outlineLevel="0" collapsed="false">
      <c r="A769" s="9" t="s">
        <v>71</v>
      </c>
      <c r="B769" s="3"/>
      <c r="C769" s="1" t="s">
        <v>72</v>
      </c>
      <c r="D769" s="0" t="s">
        <v>89</v>
      </c>
      <c r="G769" s="41"/>
    </row>
    <row r="770" customFormat="false" ht="14.25" hidden="false" customHeight="false" outlineLevel="0" collapsed="false">
      <c r="A770" s="9" t="s">
        <v>74</v>
      </c>
      <c r="B770" s="10" t="s">
        <v>75</v>
      </c>
    </row>
    <row r="771" customFormat="false" ht="14.25" hidden="false" customHeight="false" outlineLevel="0" collapsed="false">
      <c r="A771" s="9"/>
      <c r="B771" s="10" t="s">
        <v>76</v>
      </c>
    </row>
    <row r="772" customFormat="false" ht="16.4" hidden="false" customHeight="false" outlineLevel="0" collapsed="false">
      <c r="A772" s="9"/>
      <c r="B772" s="10" t="s">
        <v>77</v>
      </c>
      <c r="C772" s="20" t="s">
        <v>903</v>
      </c>
    </row>
    <row r="773" customFormat="false" ht="14.25" hidden="false" customHeight="false" outlineLevel="0" collapsed="false">
      <c r="A773" s="16" t="s">
        <v>79</v>
      </c>
      <c r="B773" s="3"/>
    </row>
    <row r="774" customFormat="false" ht="14.25" hidden="false" customHeight="false" outlineLevel="0" collapsed="false">
      <c r="A774" s="2"/>
      <c r="B774" s="3"/>
    </row>
    <row r="775" customFormat="false" ht="14.25" hidden="false" customHeight="false" outlineLevel="0" collapsed="false">
      <c r="A775" s="21"/>
      <c r="B775" s="22"/>
      <c r="C775" s="17"/>
      <c r="D775" s="23"/>
    </row>
    <row r="776" customFormat="false" ht="14.25" hidden="false" customHeight="false" outlineLevel="0" collapsed="false">
      <c r="A776" s="9"/>
      <c r="B776" s="39"/>
    </row>
    <row r="777" customFormat="false" ht="14.25" hidden="false" customHeight="false" outlineLevel="0" collapsed="false">
      <c r="A777" s="9"/>
      <c r="B777" s="10"/>
    </row>
    <row r="778" customFormat="false" ht="14.25" hidden="false" customHeight="false" outlineLevel="0" collapsed="false">
      <c r="A778" s="9"/>
      <c r="B778" s="10"/>
    </row>
    <row r="779" customFormat="false" ht="14.25" hidden="false" customHeight="false" outlineLevel="0" collapsed="false">
      <c r="A779" s="9"/>
      <c r="B779" s="10"/>
    </row>
    <row r="780" customFormat="false" ht="14.25" hidden="false" customHeight="false" outlineLevel="0" collapsed="false">
      <c r="A780" s="9"/>
      <c r="B780" s="10"/>
    </row>
    <row r="781" customFormat="false" ht="14.25" hidden="false" customHeight="false" outlineLevel="0" collapsed="false">
      <c r="A781" s="9"/>
      <c r="B781" s="10"/>
    </row>
    <row r="782" customFormat="false" ht="14.25" hidden="false" customHeight="false" outlineLevel="0" collapsed="false">
      <c r="A782" s="9"/>
      <c r="B782" s="10"/>
    </row>
    <row r="783" customFormat="false" ht="14.25" hidden="false" customHeight="false" outlineLevel="0" collapsed="false">
      <c r="A783" s="9"/>
      <c r="B783" s="10"/>
    </row>
    <row r="784" customFormat="false" ht="14.25" hidden="false" customHeight="false" outlineLevel="0" collapsed="false">
      <c r="A784" s="9"/>
      <c r="B784" s="10"/>
    </row>
    <row r="785" customFormat="false" ht="14.25" hidden="false" customHeight="false" outlineLevel="0" collapsed="false">
      <c r="A785" s="9"/>
      <c r="B785" s="10"/>
    </row>
    <row r="786" customFormat="false" ht="14.25" hidden="false" customHeight="false" outlineLevel="0" collapsed="false">
      <c r="A786" s="9"/>
      <c r="B786" s="10"/>
    </row>
    <row r="787" customFormat="false" ht="14.25" hidden="false" customHeight="false" outlineLevel="0" collapsed="false">
      <c r="A787" s="9"/>
      <c r="B787" s="10"/>
    </row>
    <row r="788" customFormat="false" ht="14.25" hidden="false" customHeight="false" outlineLevel="0" collapsed="false">
      <c r="A788" s="9"/>
      <c r="B788" s="10"/>
    </row>
    <row r="789" customFormat="false" ht="14.25" hidden="false" customHeight="false" outlineLevel="0" collapsed="false">
      <c r="A789" s="9"/>
      <c r="B789" s="10"/>
    </row>
    <row r="790" customFormat="false" ht="14.25" hidden="false" customHeight="false" outlineLevel="0" collapsed="false">
      <c r="A790" s="9"/>
      <c r="B790" s="10"/>
    </row>
    <row r="791" customFormat="false" ht="14.25" hidden="false" customHeight="false" outlineLevel="0" collapsed="false">
      <c r="A791" s="9"/>
      <c r="B791" s="3"/>
    </row>
    <row r="792" customFormat="false" ht="14.25" hidden="false" customHeight="false" outlineLevel="0" collapsed="false">
      <c r="A792" s="9"/>
      <c r="B792" s="10"/>
    </row>
    <row r="793" customFormat="false" ht="14.25" hidden="false" customHeight="false" outlineLevel="0" collapsed="false">
      <c r="A793" s="9"/>
      <c r="B793" s="10"/>
    </row>
    <row r="794" customFormat="false" ht="14.25" hidden="false" customHeight="false" outlineLevel="0" collapsed="false">
      <c r="A794" s="9"/>
      <c r="B794" s="10"/>
    </row>
    <row r="795" customFormat="false" ht="14.25" hidden="false" customHeight="false" outlineLevel="0" collapsed="false">
      <c r="A795" s="16"/>
      <c r="B795" s="3"/>
    </row>
    <row r="796" customFormat="false" ht="14.25" hidden="false" customHeight="false" outlineLevel="0" collapsed="false">
      <c r="A796" s="2"/>
      <c r="B796" s="3"/>
    </row>
    <row r="797" customFormat="false" ht="14.25" hidden="false" customHeight="false" outlineLevel="0" collapsed="false">
      <c r="A797" s="2"/>
      <c r="B797" s="3"/>
      <c r="J797" s="48"/>
    </row>
    <row r="798" customFormat="false" ht="14.25" hidden="false" customHeight="false" outlineLevel="0" collapsed="false">
      <c r="A798" s="59"/>
      <c r="B798" s="8"/>
    </row>
    <row r="799" customFormat="false" ht="14.25" hidden="false" customHeight="false" outlineLevel="0" collapsed="false">
      <c r="A799" s="59"/>
      <c r="B799" s="8"/>
    </row>
    <row r="800" customFormat="false" ht="14.25" hidden="false" customHeight="false" outlineLevel="0" collapsed="false">
      <c r="A800" s="59"/>
      <c r="B800" s="8"/>
    </row>
    <row r="801" customFormat="false" ht="14.25" hidden="false" customHeight="false" outlineLevel="0" collapsed="false">
      <c r="A801" s="59"/>
      <c r="B801" s="8"/>
    </row>
    <row r="802" customFormat="false" ht="14.25" hidden="false" customHeight="false" outlineLevel="0" collapsed="false">
      <c r="A802" s="59"/>
      <c r="B802" s="8"/>
    </row>
    <row r="803" customFormat="false" ht="14.25" hidden="false" customHeight="false" outlineLevel="0" collapsed="false">
      <c r="A803" s="59"/>
      <c r="B803" s="8"/>
    </row>
    <row r="804" customFormat="false" ht="14.25" hidden="false" customHeight="false" outlineLevel="0" collapsed="false">
      <c r="A804" s="59"/>
      <c r="B804" s="8"/>
    </row>
    <row r="805" customFormat="false" ht="14.25" hidden="false" customHeight="false" outlineLevel="0" collapsed="false">
      <c r="A805" s="59"/>
      <c r="B805" s="8"/>
    </row>
    <row r="806" customFormat="false" ht="14.25" hidden="false" customHeight="false" outlineLevel="0" collapsed="false">
      <c r="A806" s="59"/>
      <c r="B806" s="8"/>
    </row>
    <row r="807" customFormat="false" ht="14.25" hidden="false" customHeight="false" outlineLevel="0" collapsed="false">
      <c r="A807" s="59"/>
      <c r="B807" s="8"/>
    </row>
    <row r="808" customFormat="false" ht="14.25" hidden="false" customHeight="false" outlineLevel="0" collapsed="false">
      <c r="A808" s="59"/>
      <c r="B808" s="8"/>
    </row>
    <row r="809" customFormat="false" ht="14.25" hidden="false" customHeight="false" outlineLevel="0" collapsed="false">
      <c r="A809" s="59"/>
      <c r="B809" s="8"/>
    </row>
    <row r="810" customFormat="false" ht="14.25" hidden="false" customHeight="false" outlineLevel="0" collapsed="false">
      <c r="A810" s="59"/>
      <c r="B810" s="8"/>
    </row>
    <row r="811" customFormat="false" ht="14.25" hidden="false" customHeight="false" outlineLevel="0" collapsed="false">
      <c r="A811" s="59"/>
      <c r="B811" s="8"/>
    </row>
    <row r="812" customFormat="false" ht="14.25" hidden="false" customHeight="false" outlineLevel="0" collapsed="false">
      <c r="A812" s="59"/>
      <c r="B812" s="8"/>
    </row>
    <row r="813" customFormat="false" ht="14.25" hidden="false" customHeight="false" outlineLevel="0" collapsed="false">
      <c r="A813" s="59"/>
    </row>
    <row r="814" customFormat="false" ht="14.25" hidden="false" customHeight="false" outlineLevel="0" collapsed="false">
      <c r="A814" s="59"/>
      <c r="B814" s="8"/>
    </row>
    <row r="815" customFormat="false" ht="14.25" hidden="false" customHeight="false" outlineLevel="0" collapsed="false">
      <c r="A815" s="59"/>
      <c r="B815" s="8"/>
    </row>
    <row r="816" customFormat="false" ht="14.25" hidden="false" customHeight="false" outlineLevel="0" collapsed="false">
      <c r="A816" s="59"/>
      <c r="B816" s="8"/>
    </row>
    <row r="820" customFormat="false" ht="14.25" hidden="false" customHeight="false" outlineLevel="0" collapsed="false">
      <c r="A820" s="59"/>
      <c r="B820" s="8"/>
    </row>
    <row r="821" customFormat="false" ht="14.25" hidden="false" customHeight="false" outlineLevel="0" collapsed="false">
      <c r="A821" s="59"/>
      <c r="B821" s="8"/>
    </row>
    <row r="822" customFormat="false" ht="14.25" hidden="false" customHeight="false" outlineLevel="0" collapsed="false">
      <c r="A822" s="59"/>
      <c r="B822" s="8"/>
    </row>
    <row r="823" customFormat="false" ht="14.25" hidden="false" customHeight="false" outlineLevel="0" collapsed="false">
      <c r="A823" s="59"/>
      <c r="B823" s="8"/>
    </row>
    <row r="824" customFormat="false" ht="14.25" hidden="false" customHeight="false" outlineLevel="0" collapsed="false">
      <c r="A824" s="59"/>
      <c r="B824" s="8"/>
    </row>
    <row r="825" customFormat="false" ht="14.25" hidden="false" customHeight="false" outlineLevel="0" collapsed="false">
      <c r="A825" s="59"/>
      <c r="B825" s="8"/>
    </row>
    <row r="826" customFormat="false" ht="14.25" hidden="false" customHeight="false" outlineLevel="0" collapsed="false">
      <c r="A826" s="59"/>
      <c r="B826" s="8"/>
    </row>
    <row r="827" customFormat="false" ht="14.25" hidden="false" customHeight="false" outlineLevel="0" collapsed="false">
      <c r="A827" s="59"/>
      <c r="B827" s="8"/>
    </row>
    <row r="828" customFormat="false" ht="14.25" hidden="false" customHeight="false" outlineLevel="0" collapsed="false">
      <c r="A828" s="59"/>
      <c r="B828" s="8"/>
    </row>
    <row r="829" customFormat="false" ht="14.25" hidden="false" customHeight="false" outlineLevel="0" collapsed="false">
      <c r="A829" s="59"/>
      <c r="B829" s="8"/>
    </row>
    <row r="830" customFormat="false" ht="14.25" hidden="false" customHeight="false" outlineLevel="0" collapsed="false">
      <c r="A830" s="59"/>
      <c r="B830" s="8"/>
    </row>
    <row r="831" customFormat="false" ht="14.25" hidden="false" customHeight="false" outlineLevel="0" collapsed="false">
      <c r="A831" s="59"/>
      <c r="B831" s="8"/>
    </row>
    <row r="832" customFormat="false" ht="14.25" hidden="false" customHeight="false" outlineLevel="0" collapsed="false">
      <c r="A832" s="59"/>
      <c r="B832" s="8"/>
    </row>
    <row r="833" customFormat="false" ht="14.25" hidden="false" customHeight="false" outlineLevel="0" collapsed="false">
      <c r="A833" s="59"/>
      <c r="B833" s="8"/>
    </row>
    <row r="834" customFormat="false" ht="14.25" hidden="false" customHeight="false" outlineLevel="0" collapsed="false">
      <c r="A834" s="59"/>
      <c r="B834" s="8"/>
    </row>
    <row r="835" customFormat="false" ht="14.25" hidden="false" customHeight="false" outlineLevel="0" collapsed="false">
      <c r="A835" s="59"/>
    </row>
    <row r="836" customFormat="false" ht="14.25" hidden="false" customHeight="false" outlineLevel="0" collapsed="false">
      <c r="A836" s="59"/>
      <c r="B836" s="8"/>
    </row>
    <row r="837" customFormat="false" ht="14.25" hidden="false" customHeight="false" outlineLevel="0" collapsed="false">
      <c r="A837" s="59"/>
      <c r="B837" s="8"/>
    </row>
    <row r="838" customFormat="false" ht="14.25" hidden="false" customHeight="false" outlineLevel="0" collapsed="false">
      <c r="A838" s="59"/>
      <c r="B838" s="8"/>
    </row>
    <row r="842" customFormat="false" ht="14.25" hidden="false" customHeight="false" outlineLevel="0" collapsed="false">
      <c r="A842" s="59"/>
      <c r="B842" s="8"/>
    </row>
    <row r="843" customFormat="false" ht="14.25" hidden="false" customHeight="false" outlineLevel="0" collapsed="false">
      <c r="A843" s="59"/>
      <c r="B843" s="8"/>
    </row>
    <row r="844" customFormat="false" ht="14.25" hidden="false" customHeight="false" outlineLevel="0" collapsed="false">
      <c r="A844" s="59"/>
      <c r="B844" s="8"/>
    </row>
    <row r="845" customFormat="false" ht="14.25" hidden="false" customHeight="false" outlineLevel="0" collapsed="false">
      <c r="A845" s="59"/>
      <c r="B845" s="8"/>
    </row>
    <row r="846" customFormat="false" ht="14.25" hidden="false" customHeight="false" outlineLevel="0" collapsed="false">
      <c r="A846" s="59"/>
      <c r="B846" s="8"/>
    </row>
    <row r="847" customFormat="false" ht="14.25" hidden="false" customHeight="false" outlineLevel="0" collapsed="false">
      <c r="A847" s="59"/>
      <c r="B847" s="8"/>
    </row>
    <row r="848" customFormat="false" ht="14.25" hidden="false" customHeight="false" outlineLevel="0" collapsed="false">
      <c r="A848" s="59"/>
      <c r="B848" s="8"/>
    </row>
    <row r="849" customFormat="false" ht="14.25" hidden="false" customHeight="false" outlineLevel="0" collapsed="false">
      <c r="A849" s="59"/>
      <c r="B849" s="8"/>
    </row>
    <row r="850" customFormat="false" ht="14.25" hidden="false" customHeight="false" outlineLevel="0" collapsed="false">
      <c r="A850" s="59"/>
      <c r="B850" s="8"/>
    </row>
    <row r="851" customFormat="false" ht="14.25" hidden="false" customHeight="false" outlineLevel="0" collapsed="false">
      <c r="A851" s="59"/>
      <c r="B851" s="8"/>
    </row>
    <row r="852" customFormat="false" ht="14.25" hidden="false" customHeight="false" outlineLevel="0" collapsed="false">
      <c r="A852" s="59"/>
      <c r="B852" s="8"/>
    </row>
    <row r="853" customFormat="false" ht="14.25" hidden="false" customHeight="false" outlineLevel="0" collapsed="false">
      <c r="A853" s="59"/>
      <c r="B853" s="8"/>
    </row>
    <row r="854" customFormat="false" ht="14.25" hidden="false" customHeight="false" outlineLevel="0" collapsed="false">
      <c r="A854" s="59"/>
      <c r="B854" s="8"/>
    </row>
    <row r="855" customFormat="false" ht="14.25" hidden="false" customHeight="false" outlineLevel="0" collapsed="false">
      <c r="A855" s="59"/>
      <c r="B855" s="8"/>
    </row>
    <row r="856" customFormat="false" ht="14.25" hidden="false" customHeight="false" outlineLevel="0" collapsed="false">
      <c r="A856" s="59"/>
      <c r="B856" s="8"/>
    </row>
    <row r="857" customFormat="false" ht="14.25" hidden="false" customHeight="false" outlineLevel="0" collapsed="false">
      <c r="A857" s="59"/>
    </row>
    <row r="858" customFormat="false" ht="14.25" hidden="false" customHeight="false" outlineLevel="0" collapsed="false">
      <c r="A858" s="59"/>
      <c r="B858" s="8"/>
    </row>
    <row r="859" customFormat="false" ht="14.25" hidden="false" customHeight="false" outlineLevel="0" collapsed="false">
      <c r="A859" s="59"/>
      <c r="B859" s="8"/>
    </row>
    <row r="860" customFormat="false" ht="14.25" hidden="false" customHeight="false" outlineLevel="0" collapsed="false">
      <c r="A860" s="59"/>
      <c r="B860" s="8"/>
    </row>
    <row r="864" customFormat="false" ht="14.25" hidden="false" customHeight="false" outlineLevel="0" collapsed="false">
      <c r="A864" s="59"/>
      <c r="B864" s="8"/>
    </row>
    <row r="865" customFormat="false" ht="14.25" hidden="false" customHeight="false" outlineLevel="0" collapsed="false">
      <c r="A865" s="59"/>
      <c r="B865" s="8"/>
    </row>
    <row r="866" customFormat="false" ht="14.25" hidden="false" customHeight="false" outlineLevel="0" collapsed="false">
      <c r="A866" s="59"/>
      <c r="B866" s="8"/>
    </row>
    <row r="867" customFormat="false" ht="14.25" hidden="false" customHeight="false" outlineLevel="0" collapsed="false">
      <c r="A867" s="59"/>
      <c r="B867" s="8"/>
    </row>
    <row r="868" customFormat="false" ht="14.25" hidden="false" customHeight="false" outlineLevel="0" collapsed="false">
      <c r="A868" s="59"/>
      <c r="B868" s="8"/>
    </row>
    <row r="869" customFormat="false" ht="14.25" hidden="false" customHeight="false" outlineLevel="0" collapsed="false">
      <c r="A869" s="59"/>
      <c r="B869" s="8"/>
    </row>
    <row r="870" customFormat="false" ht="14.25" hidden="false" customHeight="false" outlineLevel="0" collapsed="false">
      <c r="A870" s="59"/>
      <c r="B870" s="8"/>
    </row>
    <row r="871" customFormat="false" ht="14.25" hidden="false" customHeight="false" outlineLevel="0" collapsed="false">
      <c r="A871" s="59"/>
      <c r="B871" s="8"/>
    </row>
    <row r="872" customFormat="false" ht="14.25" hidden="false" customHeight="false" outlineLevel="0" collapsed="false">
      <c r="A872" s="59"/>
      <c r="B872" s="8"/>
    </row>
    <row r="873" customFormat="false" ht="14.25" hidden="false" customHeight="false" outlineLevel="0" collapsed="false">
      <c r="A873" s="59"/>
      <c r="B873" s="8"/>
    </row>
    <row r="874" customFormat="false" ht="14.25" hidden="false" customHeight="false" outlineLevel="0" collapsed="false">
      <c r="A874" s="59"/>
      <c r="B874" s="8"/>
    </row>
    <row r="875" customFormat="false" ht="14.25" hidden="false" customHeight="false" outlineLevel="0" collapsed="false">
      <c r="A875" s="59"/>
      <c r="B875" s="8"/>
    </row>
    <row r="876" customFormat="false" ht="14.25" hidden="false" customHeight="false" outlineLevel="0" collapsed="false">
      <c r="A876" s="59"/>
      <c r="B876" s="8"/>
    </row>
    <row r="877" customFormat="false" ht="14.25" hidden="false" customHeight="false" outlineLevel="0" collapsed="false">
      <c r="A877" s="59"/>
      <c r="B877" s="8"/>
    </row>
    <row r="878" customFormat="false" ht="14.25" hidden="false" customHeight="false" outlineLevel="0" collapsed="false">
      <c r="A878" s="59"/>
      <c r="B878" s="8"/>
    </row>
    <row r="879" customFormat="false" ht="14.25" hidden="false" customHeight="false" outlineLevel="0" collapsed="false">
      <c r="A879" s="59"/>
    </row>
    <row r="880" customFormat="false" ht="14.25" hidden="false" customHeight="false" outlineLevel="0" collapsed="false">
      <c r="A880" s="59"/>
      <c r="B880" s="8"/>
    </row>
    <row r="881" customFormat="false" ht="14.25" hidden="false" customHeight="false" outlineLevel="0" collapsed="false">
      <c r="A881" s="59"/>
      <c r="B881" s="8"/>
    </row>
    <row r="882" customFormat="false" ht="14.25" hidden="false" customHeight="false" outlineLevel="0" collapsed="false">
      <c r="A882" s="59"/>
      <c r="B882" s="8"/>
    </row>
    <row r="886" customFormat="false" ht="14.25" hidden="false" customHeight="false" outlineLevel="0" collapsed="false">
      <c r="A886" s="59"/>
      <c r="B886" s="8"/>
    </row>
    <row r="887" customFormat="false" ht="14.25" hidden="false" customHeight="false" outlineLevel="0" collapsed="false">
      <c r="A887" s="59"/>
      <c r="B887" s="8"/>
    </row>
    <row r="888" customFormat="false" ht="14.25" hidden="false" customHeight="false" outlineLevel="0" collapsed="false">
      <c r="A888" s="59"/>
      <c r="B888" s="8"/>
    </row>
    <row r="889" customFormat="false" ht="14.25" hidden="false" customHeight="false" outlineLevel="0" collapsed="false">
      <c r="A889" s="59"/>
      <c r="B889" s="8"/>
    </row>
    <row r="890" customFormat="false" ht="14.25" hidden="false" customHeight="false" outlineLevel="0" collapsed="false">
      <c r="A890" s="59"/>
      <c r="B890" s="8"/>
    </row>
    <row r="891" customFormat="false" ht="14.25" hidden="false" customHeight="false" outlineLevel="0" collapsed="false">
      <c r="A891" s="59"/>
      <c r="B891" s="8"/>
    </row>
    <row r="892" customFormat="false" ht="14.25" hidden="false" customHeight="false" outlineLevel="0" collapsed="false">
      <c r="A892" s="59"/>
      <c r="B892" s="8"/>
    </row>
    <row r="893" customFormat="false" ht="14.25" hidden="false" customHeight="false" outlineLevel="0" collapsed="false">
      <c r="A893" s="59"/>
      <c r="B893" s="8"/>
    </row>
    <row r="894" customFormat="false" ht="14.25" hidden="false" customHeight="false" outlineLevel="0" collapsed="false">
      <c r="A894" s="59"/>
      <c r="B894" s="8"/>
    </row>
    <row r="895" customFormat="false" ht="14.25" hidden="false" customHeight="false" outlineLevel="0" collapsed="false">
      <c r="A895" s="59"/>
      <c r="B895" s="8"/>
    </row>
    <row r="896" customFormat="false" ht="14.25" hidden="false" customHeight="false" outlineLevel="0" collapsed="false">
      <c r="A896" s="59"/>
      <c r="B896" s="8"/>
    </row>
    <row r="897" customFormat="false" ht="14.25" hidden="false" customHeight="false" outlineLevel="0" collapsed="false">
      <c r="A897" s="59"/>
      <c r="B897" s="8"/>
    </row>
    <row r="898" customFormat="false" ht="14.25" hidden="false" customHeight="false" outlineLevel="0" collapsed="false">
      <c r="A898" s="59"/>
      <c r="B898" s="8"/>
    </row>
    <row r="899" customFormat="false" ht="14.25" hidden="false" customHeight="false" outlineLevel="0" collapsed="false">
      <c r="A899" s="59"/>
      <c r="B899" s="8"/>
    </row>
    <row r="900" customFormat="false" ht="14.25" hidden="false" customHeight="false" outlineLevel="0" collapsed="false">
      <c r="A900" s="59"/>
      <c r="B900" s="8"/>
    </row>
    <row r="901" customFormat="false" ht="14.25" hidden="false" customHeight="false" outlineLevel="0" collapsed="false">
      <c r="A901" s="59"/>
    </row>
    <row r="902" customFormat="false" ht="14.25" hidden="false" customHeight="false" outlineLevel="0" collapsed="false">
      <c r="A902" s="59"/>
      <c r="B902" s="8"/>
    </row>
    <row r="903" customFormat="false" ht="14.25" hidden="false" customHeight="false" outlineLevel="0" collapsed="false">
      <c r="A903" s="59"/>
      <c r="B903" s="8"/>
    </row>
    <row r="904" customFormat="false" ht="14.25" hidden="false" customHeight="false" outlineLevel="0" collapsed="false">
      <c r="A904" s="59"/>
      <c r="B904" s="8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904</v>
      </c>
      <c r="B1" s="26" t="s">
        <v>905</v>
      </c>
    </row>
    <row r="2" customFormat="false" ht="14.25" hidden="false" customHeight="false" outlineLevel="0" collapsed="false">
      <c r="A2" s="66" t="s">
        <v>906</v>
      </c>
      <c r="B2" s="0" t="n">
        <v>1000</v>
      </c>
    </row>
    <row r="3" customFormat="false" ht="14.25" hidden="false" customHeight="false" outlineLevel="0" collapsed="false">
      <c r="A3" s="0" t="s">
        <v>907</v>
      </c>
      <c r="B3" s="0" t="n">
        <v>1000</v>
      </c>
    </row>
    <row r="4" customFormat="false" ht="14.25" hidden="false" customHeight="false" outlineLevel="0" collapsed="false">
      <c r="A4" s="0" t="s">
        <v>908</v>
      </c>
      <c r="B4" s="0" t="n">
        <v>1000</v>
      </c>
    </row>
    <row r="5" customFormat="false" ht="14.25" hidden="false" customHeight="false" outlineLevel="0" collapsed="false">
      <c r="A5" s="0" t="s">
        <v>909</v>
      </c>
      <c r="B5" s="0" t="n">
        <v>1000</v>
      </c>
    </row>
    <row r="6" customFormat="false" ht="14.25" hidden="false" customHeight="false" outlineLevel="0" collapsed="false">
      <c r="A6" s="0" t="s">
        <v>910</v>
      </c>
      <c r="B6" s="0" t="n">
        <v>1000</v>
      </c>
    </row>
    <row r="7" customFormat="false" ht="14.25" hidden="false" customHeight="false" outlineLevel="0" collapsed="false">
      <c r="A7" s="0" t="s">
        <v>911</v>
      </c>
      <c r="B7" s="0" t="n">
        <v>1000</v>
      </c>
    </row>
    <row r="8" customFormat="false" ht="14.25" hidden="false" customHeight="false" outlineLevel="0" collapsed="false">
      <c r="A8" s="0" t="s">
        <v>912</v>
      </c>
      <c r="B8" s="0" t="n">
        <v>1000</v>
      </c>
    </row>
    <row r="9" customFormat="false" ht="14.25" hidden="false" customHeight="false" outlineLevel="0" collapsed="false">
      <c r="A9" s="0" t="s">
        <v>913</v>
      </c>
      <c r="B9" s="0" t="n">
        <v>1000</v>
      </c>
    </row>
    <row r="10" customFormat="false" ht="14.25" hidden="false" customHeight="false" outlineLevel="0" collapsed="false">
      <c r="A10" s="0" t="s">
        <v>914</v>
      </c>
      <c r="B10" s="0" t="n">
        <v>1000</v>
      </c>
    </row>
    <row r="11" customFormat="false" ht="14.25" hidden="false" customHeight="false" outlineLevel="0" collapsed="false">
      <c r="A11" s="0" t="s">
        <v>915</v>
      </c>
      <c r="B11" s="0" t="n">
        <v>1000</v>
      </c>
    </row>
    <row r="12" customFormat="false" ht="14.25" hidden="false" customHeight="false" outlineLevel="0" collapsed="false">
      <c r="A12" s="0" t="s">
        <v>916</v>
      </c>
      <c r="B12" s="0" t="n">
        <v>1000</v>
      </c>
    </row>
    <row r="13" customFormat="false" ht="14.25" hidden="false" customHeight="false" outlineLevel="0" collapsed="false">
      <c r="A13" s="0" t="s">
        <v>917</v>
      </c>
      <c r="B13" s="0" t="n">
        <v>1000</v>
      </c>
    </row>
    <row r="14" customFormat="false" ht="14.25" hidden="false" customHeight="false" outlineLevel="0" collapsed="false">
      <c r="A14" s="0" t="s">
        <v>918</v>
      </c>
      <c r="B14" s="0" t="n">
        <v>1000</v>
      </c>
    </row>
    <row r="15" customFormat="false" ht="14.25" hidden="false" customHeight="false" outlineLevel="0" collapsed="false">
      <c r="A15" s="0" t="s">
        <v>919</v>
      </c>
      <c r="B15" s="0" t="n">
        <v>1000</v>
      </c>
    </row>
    <row r="16" customFormat="false" ht="14.25" hidden="false" customHeight="false" outlineLevel="0" collapsed="false">
      <c r="A16" s="0" t="s">
        <v>211</v>
      </c>
      <c r="B16" s="0" t="n">
        <v>1000</v>
      </c>
    </row>
    <row r="17" customFormat="false" ht="14.25" hidden="false" customHeight="false" outlineLevel="0" collapsed="false">
      <c r="A17" s="0" t="s">
        <v>920</v>
      </c>
      <c r="B17" s="0" t="n">
        <v>1000</v>
      </c>
    </row>
    <row r="18" customFormat="false" ht="14.25" hidden="false" customHeight="false" outlineLevel="0" collapsed="false">
      <c r="A18" s="0" t="s">
        <v>212</v>
      </c>
      <c r="B18" s="0" t="n">
        <v>1000</v>
      </c>
    </row>
    <row r="19" customFormat="false" ht="14.25" hidden="false" customHeight="false" outlineLevel="0" collapsed="false">
      <c r="A19" s="0" t="s">
        <v>921</v>
      </c>
      <c r="B19" s="0" t="n">
        <v>1000</v>
      </c>
    </row>
    <row r="20" customFormat="false" ht="14.25" hidden="false" customHeight="false" outlineLevel="0" collapsed="false">
      <c r="A20" s="0" t="s">
        <v>922</v>
      </c>
      <c r="B20" s="0" t="n">
        <v>1000</v>
      </c>
    </row>
    <row r="21" customFormat="false" ht="14.25" hidden="false" customHeight="false" outlineLevel="0" collapsed="false">
      <c r="A21" s="0" t="s">
        <v>923</v>
      </c>
      <c r="B21" s="0" t="n">
        <v>1000</v>
      </c>
    </row>
    <row r="22" customFormat="false" ht="14.25" hidden="false" customHeight="false" outlineLevel="0" collapsed="false">
      <c r="A22" s="0" t="s">
        <v>924</v>
      </c>
      <c r="B22" s="0" t="n">
        <v>1000</v>
      </c>
    </row>
    <row r="23" customFormat="false" ht="14.25" hidden="false" customHeight="false" outlineLevel="0" collapsed="false">
      <c r="A23" s="0" t="s">
        <v>925</v>
      </c>
      <c r="B23" s="0" t="n">
        <v>1000</v>
      </c>
    </row>
    <row r="24" customFormat="false" ht="14.25" hidden="false" customHeight="false" outlineLevel="0" collapsed="false">
      <c r="A24" s="0" t="s">
        <v>926</v>
      </c>
      <c r="B24" s="0" t="n">
        <v>1000</v>
      </c>
    </row>
    <row r="25" customFormat="false" ht="14.25" hidden="false" customHeight="false" outlineLevel="0" collapsed="false">
      <c r="A25" s="0" t="s">
        <v>927</v>
      </c>
      <c r="B25" s="0" t="n">
        <v>1000</v>
      </c>
    </row>
    <row r="26" customFormat="false" ht="14.25" hidden="false" customHeight="false" outlineLevel="0" collapsed="false">
      <c r="A26" s="0" t="s">
        <v>928</v>
      </c>
      <c r="B26" s="0" t="n">
        <v>1000</v>
      </c>
    </row>
    <row r="27" customFormat="false" ht="14.25" hidden="false" customHeight="false" outlineLevel="0" collapsed="false">
      <c r="A27" s="0" t="s">
        <v>929</v>
      </c>
      <c r="B27" s="0" t="n">
        <v>1000</v>
      </c>
    </row>
    <row r="28" customFormat="false" ht="14.25" hidden="false" customHeight="false" outlineLevel="0" collapsed="false">
      <c r="A28" s="0" t="s">
        <v>930</v>
      </c>
      <c r="B28" s="0" t="n">
        <v>1000</v>
      </c>
    </row>
    <row r="29" customFormat="false" ht="14.25" hidden="false" customHeight="false" outlineLevel="0" collapsed="false">
      <c r="A29" s="0" t="s">
        <v>931</v>
      </c>
      <c r="B29" s="0" t="n">
        <v>1000</v>
      </c>
    </row>
    <row r="30" customFormat="false" ht="14.25" hidden="false" customHeight="false" outlineLevel="0" collapsed="false">
      <c r="A30" s="0" t="s">
        <v>932</v>
      </c>
      <c r="B30" s="0" t="n">
        <v>1000</v>
      </c>
    </row>
    <row r="31" customFormat="false" ht="14.25" hidden="false" customHeight="false" outlineLevel="0" collapsed="false">
      <c r="A31" s="0" t="s">
        <v>933</v>
      </c>
      <c r="B31" s="0" t="n">
        <v>1000</v>
      </c>
    </row>
    <row r="32" customFormat="false" ht="14.25" hidden="false" customHeight="false" outlineLevel="0" collapsed="false">
      <c r="A32" s="0" t="s">
        <v>934</v>
      </c>
      <c r="B32" s="0" t="n">
        <v>1000</v>
      </c>
    </row>
    <row r="33" customFormat="false" ht="14.25" hidden="false" customHeight="false" outlineLevel="0" collapsed="false">
      <c r="A33" s="0" t="s">
        <v>935</v>
      </c>
      <c r="B33" s="0" t="n">
        <v>1000</v>
      </c>
    </row>
    <row r="34" customFormat="false" ht="14.25" hidden="false" customHeight="false" outlineLevel="0" collapsed="false">
      <c r="A34" s="0" t="s">
        <v>936</v>
      </c>
      <c r="B34" s="0" t="n">
        <v>1000</v>
      </c>
    </row>
    <row r="35" customFormat="false" ht="14.25" hidden="false" customHeight="false" outlineLevel="0" collapsed="false">
      <c r="A35" s="0" t="s">
        <v>937</v>
      </c>
      <c r="B35" s="0" t="n">
        <v>1000</v>
      </c>
    </row>
    <row r="36" customFormat="false" ht="14.25" hidden="false" customHeight="false" outlineLevel="0" collapsed="false">
      <c r="A36" s="0" t="s">
        <v>938</v>
      </c>
      <c r="B36" s="0" t="n">
        <v>1000</v>
      </c>
    </row>
    <row r="37" customFormat="false" ht="14.25" hidden="false" customHeight="false" outlineLevel="0" collapsed="false">
      <c r="A37" s="0" t="s">
        <v>939</v>
      </c>
      <c r="B37" s="0" t="n">
        <v>1000</v>
      </c>
    </row>
    <row r="38" customFormat="false" ht="14.25" hidden="false" customHeight="false" outlineLevel="0" collapsed="false">
      <c r="A38" s="0" t="s">
        <v>940</v>
      </c>
      <c r="B38" s="0" t="n">
        <v>1000</v>
      </c>
    </row>
    <row r="39" customFormat="false" ht="14.25" hidden="false" customHeight="false" outlineLevel="0" collapsed="false">
      <c r="A39" s="0" t="s">
        <v>941</v>
      </c>
      <c r="B39" s="0" t="n">
        <v>1000</v>
      </c>
    </row>
    <row r="40" customFormat="false" ht="14.25" hidden="false" customHeight="false" outlineLevel="0" collapsed="false">
      <c r="A40" s="0" t="s">
        <v>213</v>
      </c>
      <c r="B40" s="0" t="n">
        <v>1000</v>
      </c>
    </row>
    <row r="41" customFormat="false" ht="14.25" hidden="false" customHeight="false" outlineLevel="0" collapsed="false">
      <c r="A41" s="0" t="s">
        <v>942</v>
      </c>
      <c r="B41" s="0" t="n">
        <v>1000</v>
      </c>
    </row>
    <row r="42" customFormat="false" ht="14.25" hidden="false" customHeight="false" outlineLevel="0" collapsed="false">
      <c r="A42" s="0" t="s">
        <v>943</v>
      </c>
      <c r="B42" s="0" t="n">
        <v>1000</v>
      </c>
    </row>
    <row r="43" customFormat="false" ht="14.25" hidden="false" customHeight="false" outlineLevel="0" collapsed="false">
      <c r="A43" s="0" t="s">
        <v>944</v>
      </c>
      <c r="B43" s="0" t="n">
        <v>1000</v>
      </c>
    </row>
    <row r="44" customFormat="false" ht="14.25" hidden="false" customHeight="false" outlineLevel="0" collapsed="false">
      <c r="A44" s="0" t="s">
        <v>945</v>
      </c>
      <c r="B44" s="0" t="n">
        <v>1000</v>
      </c>
    </row>
    <row r="45" customFormat="false" ht="14.25" hidden="false" customHeight="false" outlineLevel="0" collapsed="false">
      <c r="A45" s="0" t="s">
        <v>946</v>
      </c>
      <c r="B45" s="0" t="n">
        <v>1000</v>
      </c>
    </row>
    <row r="46" customFormat="false" ht="14.25" hidden="false" customHeight="false" outlineLevel="0" collapsed="false">
      <c r="A46" s="0" t="s">
        <v>947</v>
      </c>
      <c r="B46" s="0" t="n">
        <v>1000</v>
      </c>
    </row>
    <row r="47" customFormat="false" ht="14.25" hidden="false" customHeight="false" outlineLevel="0" collapsed="false">
      <c r="A47" s="0" t="s">
        <v>948</v>
      </c>
      <c r="B47" s="0" t="n">
        <v>1000</v>
      </c>
    </row>
    <row r="48" customFormat="false" ht="14.25" hidden="false" customHeight="false" outlineLevel="0" collapsed="false">
      <c r="A48" s="0" t="s">
        <v>949</v>
      </c>
      <c r="B48" s="0" t="n">
        <v>1000</v>
      </c>
    </row>
    <row r="49" customFormat="false" ht="14.25" hidden="false" customHeight="false" outlineLevel="0" collapsed="false">
      <c r="A49" s="0" t="s">
        <v>950</v>
      </c>
      <c r="B49" s="0" t="n">
        <v>1000</v>
      </c>
    </row>
    <row r="50" customFormat="false" ht="14.25" hidden="false" customHeight="false" outlineLevel="0" collapsed="false">
      <c r="A50" s="0" t="s">
        <v>951</v>
      </c>
      <c r="B50" s="0" t="n">
        <v>1000</v>
      </c>
    </row>
    <row r="51" customFormat="false" ht="14.25" hidden="false" customHeight="false" outlineLevel="0" collapsed="false">
      <c r="A51" s="0" t="s">
        <v>952</v>
      </c>
      <c r="B51" s="0" t="n">
        <v>1000</v>
      </c>
    </row>
    <row r="52" customFormat="false" ht="14.25" hidden="false" customHeight="false" outlineLevel="0" collapsed="false">
      <c r="A52" s="0" t="s">
        <v>953</v>
      </c>
      <c r="B52" s="0" t="n">
        <v>1000</v>
      </c>
    </row>
    <row r="53" customFormat="false" ht="14.25" hidden="false" customHeight="false" outlineLevel="0" collapsed="false">
      <c r="A53" s="0" t="s">
        <v>281</v>
      </c>
      <c r="B53" s="0" t="n">
        <v>1000</v>
      </c>
    </row>
    <row r="54" customFormat="false" ht="14.25" hidden="false" customHeight="false" outlineLevel="0" collapsed="false">
      <c r="A54" s="0" t="s">
        <v>954</v>
      </c>
      <c r="B54" s="0" t="n">
        <v>1000</v>
      </c>
    </row>
    <row r="55" customFormat="false" ht="14.25" hidden="false" customHeight="false" outlineLevel="0" collapsed="false">
      <c r="A55" s="0" t="s">
        <v>955</v>
      </c>
      <c r="B55" s="0" t="n">
        <v>1000</v>
      </c>
    </row>
    <row r="56" customFormat="false" ht="14.25" hidden="false" customHeight="false" outlineLevel="0" collapsed="false">
      <c r="A56" s="0" t="s">
        <v>956</v>
      </c>
      <c r="B56" s="0" t="n">
        <v>1000</v>
      </c>
    </row>
    <row r="57" customFormat="false" ht="14.25" hidden="false" customHeight="false" outlineLevel="0" collapsed="false">
      <c r="A57" s="0" t="s">
        <v>957</v>
      </c>
      <c r="B57" s="0" t="n">
        <v>1000</v>
      </c>
    </row>
    <row r="58" customFormat="false" ht="14.25" hidden="false" customHeight="false" outlineLevel="0" collapsed="false">
      <c r="A58" s="0" t="s">
        <v>958</v>
      </c>
      <c r="B58" s="0" t="n">
        <v>1000</v>
      </c>
    </row>
    <row r="59" customFormat="false" ht="14.25" hidden="false" customHeight="false" outlineLevel="0" collapsed="false">
      <c r="A59" s="0" t="s">
        <v>959</v>
      </c>
      <c r="B59" s="0" t="n">
        <v>1000</v>
      </c>
    </row>
    <row r="60" customFormat="false" ht="14.25" hidden="false" customHeight="false" outlineLevel="0" collapsed="false">
      <c r="A60" s="0" t="s">
        <v>960</v>
      </c>
      <c r="B60" s="0" t="n">
        <v>1000</v>
      </c>
    </row>
    <row r="61" customFormat="false" ht="14.25" hidden="false" customHeight="false" outlineLevel="0" collapsed="false">
      <c r="A61" s="0" t="s">
        <v>961</v>
      </c>
      <c r="B61" s="0" t="n">
        <v>1000</v>
      </c>
    </row>
    <row r="62" customFormat="false" ht="14.25" hidden="false" customHeight="false" outlineLevel="0" collapsed="false">
      <c r="A62" s="0" t="s">
        <v>962</v>
      </c>
      <c r="B62" s="0" t="n">
        <v>1000</v>
      </c>
    </row>
    <row r="63" customFormat="false" ht="14.25" hidden="false" customHeight="false" outlineLevel="0" collapsed="false">
      <c r="A63" s="0" t="s">
        <v>963</v>
      </c>
      <c r="B63" s="0" t="n">
        <v>1000</v>
      </c>
    </row>
    <row r="64" customFormat="false" ht="14.25" hidden="false" customHeight="false" outlineLevel="0" collapsed="false">
      <c r="A64" s="0" t="s">
        <v>964</v>
      </c>
      <c r="B64" s="0" t="n">
        <v>1000</v>
      </c>
    </row>
    <row r="65" customFormat="false" ht="14.25" hidden="false" customHeight="false" outlineLevel="0" collapsed="false">
      <c r="A65" s="0" t="s">
        <v>965</v>
      </c>
      <c r="B65" s="0" t="n">
        <v>1000</v>
      </c>
    </row>
    <row r="66" customFormat="false" ht="14.25" hidden="false" customHeight="false" outlineLevel="0" collapsed="false">
      <c r="A66" s="0" t="s">
        <v>966</v>
      </c>
      <c r="B66" s="0" t="n">
        <v>1000</v>
      </c>
    </row>
    <row r="67" customFormat="false" ht="14.25" hidden="false" customHeight="false" outlineLevel="0" collapsed="false">
      <c r="A67" s="0" t="s">
        <v>967</v>
      </c>
      <c r="B67" s="0" t="n">
        <v>1000</v>
      </c>
    </row>
    <row r="68" customFormat="false" ht="14.25" hidden="false" customHeight="false" outlineLevel="0" collapsed="false">
      <c r="A68" s="0" t="s">
        <v>968</v>
      </c>
      <c r="B68" s="0" t="n">
        <v>1000</v>
      </c>
    </row>
    <row r="69" customFormat="false" ht="14.25" hidden="false" customHeight="false" outlineLevel="0" collapsed="false">
      <c r="A69" s="0" t="s">
        <v>969</v>
      </c>
      <c r="B69" s="0" t="n">
        <v>1000</v>
      </c>
    </row>
    <row r="70" customFormat="false" ht="14.25" hidden="false" customHeight="false" outlineLevel="0" collapsed="false">
      <c r="A70" s="0" t="s">
        <v>970</v>
      </c>
      <c r="B70" s="0" t="n">
        <v>1000</v>
      </c>
    </row>
    <row r="71" customFormat="false" ht="14.25" hidden="false" customHeight="false" outlineLevel="0" collapsed="false">
      <c r="A71" s="0" t="s">
        <v>971</v>
      </c>
      <c r="B71" s="0" t="n">
        <v>1000</v>
      </c>
    </row>
    <row r="72" customFormat="false" ht="14.25" hidden="false" customHeight="false" outlineLevel="0" collapsed="false">
      <c r="A72" s="0" t="s">
        <v>972</v>
      </c>
      <c r="B72" s="0" t="n">
        <v>1000</v>
      </c>
    </row>
    <row r="73" customFormat="false" ht="14.25" hidden="false" customHeight="false" outlineLevel="0" collapsed="false">
      <c r="A73" s="0" t="s">
        <v>973</v>
      </c>
      <c r="B73" s="0" t="n">
        <v>1000</v>
      </c>
    </row>
    <row r="74" customFormat="false" ht="14.25" hidden="false" customHeight="false" outlineLevel="0" collapsed="false">
      <c r="A74" s="0" t="s">
        <v>974</v>
      </c>
      <c r="B74" s="0" t="n">
        <v>1000</v>
      </c>
    </row>
    <row r="75" customFormat="false" ht="14.25" hidden="false" customHeight="false" outlineLevel="0" collapsed="false">
      <c r="A75" s="0" t="s">
        <v>975</v>
      </c>
      <c r="B75" s="0" t="n">
        <v>1000</v>
      </c>
    </row>
    <row r="76" customFormat="false" ht="14.25" hidden="false" customHeight="false" outlineLevel="0" collapsed="false">
      <c r="A76" s="0" t="s">
        <v>976</v>
      </c>
      <c r="B76" s="0" t="n">
        <v>1000</v>
      </c>
    </row>
    <row r="77" customFormat="false" ht="14.25" hidden="false" customHeight="false" outlineLevel="0" collapsed="false">
      <c r="A77" s="0" t="s">
        <v>977</v>
      </c>
      <c r="B77" s="0" t="n">
        <v>1000</v>
      </c>
    </row>
    <row r="78" customFormat="false" ht="14.25" hidden="false" customHeight="false" outlineLevel="0" collapsed="false">
      <c r="A78" s="0" t="s">
        <v>978</v>
      </c>
      <c r="B78" s="0" t="n">
        <v>1000</v>
      </c>
    </row>
    <row r="79" customFormat="false" ht="14.25" hidden="false" customHeight="false" outlineLevel="0" collapsed="false">
      <c r="A79" s="0" t="s">
        <v>979</v>
      </c>
      <c r="B79" s="0" t="n">
        <v>1000</v>
      </c>
    </row>
    <row r="80" customFormat="false" ht="14.25" hidden="false" customHeight="false" outlineLevel="0" collapsed="false">
      <c r="A80" s="0" t="s">
        <v>980</v>
      </c>
      <c r="B80" s="0" t="n">
        <v>1000</v>
      </c>
    </row>
    <row r="81" customFormat="false" ht="14.25" hidden="false" customHeight="false" outlineLevel="0" collapsed="false">
      <c r="A81" s="0" t="s">
        <v>981</v>
      </c>
      <c r="B81" s="0" t="n">
        <v>1000</v>
      </c>
    </row>
    <row r="82" customFormat="false" ht="14.25" hidden="false" customHeight="false" outlineLevel="0" collapsed="false">
      <c r="A82" s="0" t="s">
        <v>982</v>
      </c>
      <c r="B82" s="0" t="n">
        <v>1000</v>
      </c>
    </row>
    <row r="83" customFormat="false" ht="14.25" hidden="false" customHeight="false" outlineLevel="0" collapsed="false">
      <c r="A83" s="0" t="s">
        <v>983</v>
      </c>
      <c r="B83" s="0" t="n">
        <v>1000</v>
      </c>
    </row>
    <row r="84" customFormat="false" ht="14.25" hidden="false" customHeight="false" outlineLevel="0" collapsed="false">
      <c r="A84" s="0" t="s">
        <v>984</v>
      </c>
      <c r="B84" s="0" t="n">
        <v>1000</v>
      </c>
    </row>
    <row r="85" customFormat="false" ht="14.25" hidden="false" customHeight="false" outlineLevel="0" collapsed="false">
      <c r="A85" s="0" t="s">
        <v>985</v>
      </c>
      <c r="B85" s="0" t="n">
        <v>1000</v>
      </c>
    </row>
    <row r="86" customFormat="false" ht="14.25" hidden="false" customHeight="false" outlineLevel="0" collapsed="false">
      <c r="A86" s="0" t="s">
        <v>986</v>
      </c>
      <c r="B86" s="0" t="n">
        <v>1000</v>
      </c>
    </row>
    <row r="87" customFormat="false" ht="14.25" hidden="false" customHeight="false" outlineLevel="0" collapsed="false">
      <c r="A87" s="0" t="s">
        <v>987</v>
      </c>
      <c r="B87" s="0" t="n">
        <v>1000</v>
      </c>
    </row>
    <row r="88" customFormat="false" ht="14.25" hidden="false" customHeight="false" outlineLevel="0" collapsed="false">
      <c r="A88" s="0" t="s">
        <v>988</v>
      </c>
      <c r="B88" s="0" t="n">
        <v>1000</v>
      </c>
    </row>
    <row r="89" customFormat="false" ht="14.25" hidden="false" customHeight="false" outlineLevel="0" collapsed="false">
      <c r="A89" s="0" t="s">
        <v>989</v>
      </c>
      <c r="B89" s="0" t="n">
        <v>1000</v>
      </c>
    </row>
    <row r="90" customFormat="false" ht="14.25" hidden="false" customHeight="false" outlineLevel="0" collapsed="false">
      <c r="A90" s="0" t="s">
        <v>990</v>
      </c>
      <c r="B90" s="0" t="n">
        <v>1000</v>
      </c>
    </row>
    <row r="91" customFormat="false" ht="14.25" hidden="false" customHeight="false" outlineLevel="0" collapsed="false">
      <c r="A91" s="0" t="s">
        <v>991</v>
      </c>
      <c r="B91" s="0" t="n">
        <v>1000</v>
      </c>
    </row>
    <row r="92" customFormat="false" ht="14.25" hidden="false" customHeight="false" outlineLevel="0" collapsed="false">
      <c r="A92" s="0" t="s">
        <v>992</v>
      </c>
      <c r="B92" s="0" t="n">
        <v>1000</v>
      </c>
    </row>
    <row r="93" customFormat="false" ht="14.25" hidden="false" customHeight="false" outlineLevel="0" collapsed="false">
      <c r="A93" s="0" t="s">
        <v>993</v>
      </c>
      <c r="B93" s="0" t="n">
        <v>1000</v>
      </c>
    </row>
    <row r="94" customFormat="false" ht="14.25" hidden="false" customHeight="false" outlineLevel="0" collapsed="false">
      <c r="A94" s="0" t="s">
        <v>994</v>
      </c>
      <c r="B94" s="0" t="n">
        <v>1000</v>
      </c>
    </row>
    <row r="95" customFormat="false" ht="14.25" hidden="false" customHeight="false" outlineLevel="0" collapsed="false">
      <c r="A95" s="0" t="s">
        <v>995</v>
      </c>
      <c r="B95" s="0" t="n">
        <v>1000</v>
      </c>
    </row>
    <row r="96" customFormat="false" ht="14.25" hidden="false" customHeight="false" outlineLevel="0" collapsed="false">
      <c r="A96" s="0" t="s">
        <v>818</v>
      </c>
      <c r="B96" s="0" t="n">
        <v>1000</v>
      </c>
    </row>
    <row r="97" customFormat="false" ht="14.25" hidden="false" customHeight="false" outlineLevel="0" collapsed="false">
      <c r="A97" s="0" t="s">
        <v>996</v>
      </c>
      <c r="B97" s="0" t="n">
        <v>1000</v>
      </c>
    </row>
    <row r="98" customFormat="false" ht="14.25" hidden="false" customHeight="false" outlineLevel="0" collapsed="false">
      <c r="A98" s="0" t="s">
        <v>283</v>
      </c>
      <c r="B98" s="0" t="n">
        <v>1000</v>
      </c>
    </row>
    <row r="99" customFormat="false" ht="14.25" hidden="false" customHeight="false" outlineLevel="0" collapsed="false">
      <c r="A99" s="0" t="s">
        <v>997</v>
      </c>
      <c r="B99" s="0" t="n">
        <v>1000</v>
      </c>
    </row>
    <row r="100" customFormat="false" ht="14.25" hidden="false" customHeight="false" outlineLevel="0" collapsed="false">
      <c r="A100" s="0" t="s">
        <v>998</v>
      </c>
      <c r="B100" s="0" t="n">
        <v>1000</v>
      </c>
    </row>
    <row r="101" customFormat="false" ht="14.25" hidden="false" customHeight="false" outlineLevel="0" collapsed="false">
      <c r="A101" s="0" t="s">
        <v>999</v>
      </c>
      <c r="B101" s="0" t="n">
        <v>1000</v>
      </c>
    </row>
    <row r="102" customFormat="false" ht="14.25" hidden="false" customHeight="false" outlineLevel="0" collapsed="false">
      <c r="A102" s="0" t="s">
        <v>1000</v>
      </c>
      <c r="B102" s="0" t="n">
        <v>1000</v>
      </c>
    </row>
    <row r="103" customFormat="false" ht="14.25" hidden="false" customHeight="false" outlineLevel="0" collapsed="false">
      <c r="A103" s="0" t="s">
        <v>1001</v>
      </c>
      <c r="B103" s="0" t="n">
        <v>1000</v>
      </c>
    </row>
    <row r="104" customFormat="false" ht="14.25" hidden="false" customHeight="false" outlineLevel="0" collapsed="false">
      <c r="A104" s="0" t="s">
        <v>1002</v>
      </c>
      <c r="B104" s="0" t="n">
        <v>1000</v>
      </c>
    </row>
    <row r="105" customFormat="false" ht="14.25" hidden="false" customHeight="false" outlineLevel="0" collapsed="false">
      <c r="A105" s="0" t="s">
        <v>1003</v>
      </c>
      <c r="B105" s="0" t="n">
        <v>1000</v>
      </c>
    </row>
    <row r="106" customFormat="false" ht="14.25" hidden="false" customHeight="false" outlineLevel="0" collapsed="false">
      <c r="A106" s="0" t="s">
        <v>1004</v>
      </c>
      <c r="B106" s="0" t="n">
        <v>1000</v>
      </c>
    </row>
    <row r="107" customFormat="false" ht="14.25" hidden="false" customHeight="false" outlineLevel="0" collapsed="false">
      <c r="A107" s="0" t="s">
        <v>1005</v>
      </c>
      <c r="B107" s="0" t="n">
        <v>1000</v>
      </c>
    </row>
    <row r="108" customFormat="false" ht="14.25" hidden="false" customHeight="false" outlineLevel="0" collapsed="false">
      <c r="A108" s="0" t="s">
        <v>1006</v>
      </c>
      <c r="B108" s="0" t="n">
        <v>1000</v>
      </c>
    </row>
    <row r="109" customFormat="false" ht="14.25" hidden="false" customHeight="false" outlineLevel="0" collapsed="false">
      <c r="A109" s="0" t="s">
        <v>1007</v>
      </c>
      <c r="B109" s="0" t="n">
        <v>1000</v>
      </c>
    </row>
    <row r="110" customFormat="false" ht="14.25" hidden="false" customHeight="false" outlineLevel="0" collapsed="false">
      <c r="A110" s="0" t="s">
        <v>1008</v>
      </c>
      <c r="B110" s="0" t="n">
        <v>1000</v>
      </c>
    </row>
    <row r="111" customFormat="false" ht="14.25" hidden="false" customHeight="false" outlineLevel="0" collapsed="false">
      <c r="A111" s="0" t="s">
        <v>1009</v>
      </c>
      <c r="B111" s="0" t="n">
        <v>1000</v>
      </c>
    </row>
    <row r="112" customFormat="false" ht="14.25" hidden="false" customHeight="false" outlineLevel="0" collapsed="false">
      <c r="A112" s="0" t="s">
        <v>1010</v>
      </c>
      <c r="B112" s="0" t="n">
        <v>1000</v>
      </c>
    </row>
    <row r="113" customFormat="false" ht="14.25" hidden="false" customHeight="false" outlineLevel="0" collapsed="false">
      <c r="A113" s="0" t="s">
        <v>1011</v>
      </c>
      <c r="B113" s="0" t="n">
        <v>1000</v>
      </c>
    </row>
    <row r="114" customFormat="false" ht="14.25" hidden="false" customHeight="false" outlineLevel="0" collapsed="false">
      <c r="A114" s="0" t="s">
        <v>1012</v>
      </c>
      <c r="B114" s="0" t="n">
        <v>1000</v>
      </c>
    </row>
    <row r="115" customFormat="false" ht="14.25" hidden="false" customHeight="false" outlineLevel="0" collapsed="false">
      <c r="A115" s="0" t="s">
        <v>1013</v>
      </c>
      <c r="B115" s="0" t="n">
        <v>1000</v>
      </c>
    </row>
    <row r="116" customFormat="false" ht="14.25" hidden="false" customHeight="false" outlineLevel="0" collapsed="false">
      <c r="A116" s="0" t="s">
        <v>1014</v>
      </c>
      <c r="B116" s="0" t="n">
        <v>1000</v>
      </c>
    </row>
    <row r="117" customFormat="false" ht="14.25" hidden="false" customHeight="false" outlineLevel="0" collapsed="false">
      <c r="A117" s="0" t="s">
        <v>1015</v>
      </c>
      <c r="B117" s="0" t="n">
        <v>1000</v>
      </c>
    </row>
    <row r="118" customFormat="false" ht="14.25" hidden="false" customHeight="false" outlineLevel="0" collapsed="false">
      <c r="A118" s="0" t="s">
        <v>1016</v>
      </c>
      <c r="B118" s="0" t="n">
        <v>1000</v>
      </c>
    </row>
    <row r="119" customFormat="false" ht="14.25" hidden="false" customHeight="false" outlineLevel="0" collapsed="false">
      <c r="A119" s="0" t="s">
        <v>1017</v>
      </c>
      <c r="B119" s="0" t="n">
        <v>1000</v>
      </c>
    </row>
    <row r="120" customFormat="false" ht="14.25" hidden="false" customHeight="false" outlineLevel="0" collapsed="false">
      <c r="A120" s="0" t="s">
        <v>1018</v>
      </c>
      <c r="B120" s="0" t="n">
        <v>1000</v>
      </c>
    </row>
    <row r="121" customFormat="false" ht="14.25" hidden="false" customHeight="false" outlineLevel="0" collapsed="false">
      <c r="A121" s="0" t="s">
        <v>1019</v>
      </c>
      <c r="B121" s="0" t="n">
        <v>1000</v>
      </c>
    </row>
    <row r="122" customFormat="false" ht="14.25" hidden="false" customHeight="false" outlineLevel="0" collapsed="false">
      <c r="A122" s="0" t="s">
        <v>1020</v>
      </c>
      <c r="B122" s="0" t="n">
        <v>1000</v>
      </c>
    </row>
    <row r="123" customFormat="false" ht="14.25" hidden="false" customHeight="false" outlineLevel="0" collapsed="false">
      <c r="A123" s="0" t="s">
        <v>1021</v>
      </c>
      <c r="B123" s="0" t="n">
        <v>1000</v>
      </c>
    </row>
    <row r="124" customFormat="false" ht="14.25" hidden="false" customHeight="false" outlineLevel="0" collapsed="false">
      <c r="A124" s="0" t="s">
        <v>1022</v>
      </c>
      <c r="B124" s="0" t="n">
        <v>1000</v>
      </c>
    </row>
    <row r="125" customFormat="false" ht="14.25" hidden="false" customHeight="false" outlineLevel="0" collapsed="false">
      <c r="A125" s="0" t="s">
        <v>1023</v>
      </c>
      <c r="B125" s="0" t="n">
        <v>1000</v>
      </c>
    </row>
    <row r="126" customFormat="false" ht="14.25" hidden="false" customHeight="false" outlineLevel="0" collapsed="false">
      <c r="A126" s="0" t="s">
        <v>1024</v>
      </c>
      <c r="B126" s="0" t="n">
        <v>1000</v>
      </c>
    </row>
    <row r="127" customFormat="false" ht="14.25" hidden="false" customHeight="false" outlineLevel="0" collapsed="false">
      <c r="A127" s="0" t="s">
        <v>1025</v>
      </c>
      <c r="B127" s="0" t="n">
        <v>1000</v>
      </c>
    </row>
    <row r="128" customFormat="false" ht="14.25" hidden="false" customHeight="false" outlineLevel="0" collapsed="false">
      <c r="A128" s="0" t="s">
        <v>1026</v>
      </c>
      <c r="B128" s="0" t="n">
        <v>1000</v>
      </c>
    </row>
    <row r="129" customFormat="false" ht="14.25" hidden="false" customHeight="false" outlineLevel="0" collapsed="false">
      <c r="A129" s="0" t="s">
        <v>1027</v>
      </c>
      <c r="B129" s="0" t="n">
        <v>1000</v>
      </c>
    </row>
    <row r="130" customFormat="false" ht="14.25" hidden="false" customHeight="false" outlineLevel="0" collapsed="false">
      <c r="A130" s="0" t="s">
        <v>1028</v>
      </c>
      <c r="B130" s="0" t="n">
        <v>1000</v>
      </c>
    </row>
    <row r="131" customFormat="false" ht="14.25" hidden="false" customHeight="false" outlineLevel="0" collapsed="false">
      <c r="A131" s="0" t="s">
        <v>1029</v>
      </c>
      <c r="B131" s="0" t="n">
        <v>1000</v>
      </c>
    </row>
    <row r="132" customFormat="false" ht="14.25" hidden="false" customHeight="false" outlineLevel="0" collapsed="false">
      <c r="A132" s="0" t="s">
        <v>1030</v>
      </c>
      <c r="B132" s="0" t="n">
        <v>1000</v>
      </c>
    </row>
    <row r="133" customFormat="false" ht="14.25" hidden="false" customHeight="false" outlineLevel="0" collapsed="false">
      <c r="A133" s="0" t="s">
        <v>565</v>
      </c>
      <c r="B133" s="0" t="n">
        <v>1000</v>
      </c>
    </row>
    <row r="134" customFormat="false" ht="14.25" hidden="false" customHeight="false" outlineLevel="0" collapsed="false">
      <c r="A134" s="0" t="s">
        <v>1031</v>
      </c>
      <c r="B134" s="0" t="n">
        <v>1000</v>
      </c>
    </row>
    <row r="135" customFormat="false" ht="14.25" hidden="false" customHeight="false" outlineLevel="0" collapsed="false">
      <c r="A135" s="0" t="s">
        <v>1032</v>
      </c>
      <c r="B135" s="0" t="n">
        <v>1000</v>
      </c>
    </row>
    <row r="136" customFormat="false" ht="14.25" hidden="false" customHeight="false" outlineLevel="0" collapsed="false">
      <c r="A136" s="0" t="s">
        <v>1033</v>
      </c>
      <c r="B136" s="0" t="n">
        <v>1000</v>
      </c>
    </row>
    <row r="137" customFormat="false" ht="14.25" hidden="false" customHeight="false" outlineLevel="0" collapsed="false">
      <c r="A137" s="0" t="s">
        <v>1034</v>
      </c>
      <c r="B137" s="0" t="n">
        <v>1000</v>
      </c>
    </row>
    <row r="138" customFormat="false" ht="14.25" hidden="false" customHeight="false" outlineLevel="0" collapsed="false">
      <c r="A138" s="0" t="s">
        <v>1035</v>
      </c>
      <c r="B138" s="0" t="n">
        <v>1000</v>
      </c>
    </row>
    <row r="139" customFormat="false" ht="14.25" hidden="false" customHeight="false" outlineLevel="0" collapsed="false">
      <c r="A139" s="0" t="s">
        <v>1036</v>
      </c>
      <c r="B139" s="0" t="n">
        <v>1000</v>
      </c>
    </row>
    <row r="140" customFormat="false" ht="14.25" hidden="false" customHeight="false" outlineLevel="0" collapsed="false">
      <c r="A140" s="0" t="s">
        <v>1037</v>
      </c>
      <c r="B140" s="0" t="n">
        <v>1000</v>
      </c>
    </row>
    <row r="141" customFormat="false" ht="14.25" hidden="false" customHeight="false" outlineLevel="0" collapsed="false">
      <c r="A141" s="0" t="s">
        <v>1038</v>
      </c>
      <c r="B141" s="0" t="n">
        <v>1000</v>
      </c>
    </row>
    <row r="142" customFormat="false" ht="14.25" hidden="false" customHeight="false" outlineLevel="0" collapsed="false">
      <c r="A142" s="0" t="s">
        <v>1039</v>
      </c>
      <c r="B142" s="0" t="n">
        <v>1000</v>
      </c>
    </row>
    <row r="143" customFormat="false" ht="14.25" hidden="false" customHeight="false" outlineLevel="0" collapsed="false">
      <c r="A143" s="0" t="s">
        <v>1040</v>
      </c>
      <c r="B143" s="0" t="n">
        <v>1000</v>
      </c>
    </row>
    <row r="144" customFormat="false" ht="14.25" hidden="false" customHeight="false" outlineLevel="0" collapsed="false">
      <c r="A144" s="0" t="s">
        <v>1041</v>
      </c>
      <c r="B144" s="0" t="n">
        <v>1000</v>
      </c>
    </row>
    <row r="145" customFormat="false" ht="14.25" hidden="false" customHeight="false" outlineLevel="0" collapsed="false">
      <c r="A145" s="0" t="s">
        <v>1042</v>
      </c>
      <c r="B145" s="0" t="n">
        <v>1000</v>
      </c>
    </row>
    <row r="146" customFormat="false" ht="14.25" hidden="false" customHeight="false" outlineLevel="0" collapsed="false">
      <c r="A146" s="0" t="s">
        <v>1043</v>
      </c>
      <c r="B146" s="0" t="n">
        <v>1000</v>
      </c>
    </row>
    <row r="147" customFormat="false" ht="14.25" hidden="false" customHeight="false" outlineLevel="0" collapsed="false">
      <c r="A147" s="0" t="s">
        <v>1044</v>
      </c>
      <c r="B147" s="0" t="n">
        <v>1000</v>
      </c>
    </row>
    <row r="148" customFormat="false" ht="14.25" hidden="false" customHeight="false" outlineLevel="0" collapsed="false">
      <c r="A148" s="0" t="s">
        <v>1045</v>
      </c>
      <c r="B148" s="0" t="n">
        <v>1000</v>
      </c>
    </row>
    <row r="149" customFormat="false" ht="14.25" hidden="false" customHeight="false" outlineLevel="0" collapsed="false">
      <c r="A149" s="0" t="s">
        <v>1046</v>
      </c>
      <c r="B149" s="0" t="n">
        <v>1000</v>
      </c>
    </row>
    <row r="150" customFormat="false" ht="14.25" hidden="false" customHeight="false" outlineLevel="0" collapsed="false">
      <c r="A150" s="0" t="s">
        <v>1047</v>
      </c>
      <c r="B150" s="0" t="n">
        <v>1000</v>
      </c>
    </row>
    <row r="151" customFormat="false" ht="14.25" hidden="false" customHeight="false" outlineLevel="0" collapsed="false">
      <c r="A151" s="0" t="s">
        <v>1048</v>
      </c>
      <c r="B151" s="0" t="n">
        <v>1000</v>
      </c>
    </row>
    <row r="152" customFormat="false" ht="14.25" hidden="false" customHeight="false" outlineLevel="0" collapsed="false">
      <c r="A152" s="0" t="s">
        <v>1049</v>
      </c>
      <c r="B152" s="0" t="n">
        <v>1000</v>
      </c>
    </row>
    <row r="153" customFormat="false" ht="14.25" hidden="false" customHeight="false" outlineLevel="0" collapsed="false">
      <c r="A153" s="0" t="s">
        <v>1050</v>
      </c>
      <c r="B153" s="0" t="n">
        <v>1000</v>
      </c>
    </row>
    <row r="154" customFormat="false" ht="14.25" hidden="false" customHeight="false" outlineLevel="0" collapsed="false">
      <c r="A154" s="0" t="s">
        <v>1051</v>
      </c>
      <c r="B154" s="0" t="n">
        <v>1000</v>
      </c>
    </row>
    <row r="155" customFormat="false" ht="14.25" hidden="false" customHeight="false" outlineLevel="0" collapsed="false">
      <c r="A155" s="0" t="s">
        <v>1052</v>
      </c>
      <c r="B155" s="0" t="n">
        <v>1000</v>
      </c>
    </row>
    <row r="156" customFormat="false" ht="14.25" hidden="false" customHeight="false" outlineLevel="0" collapsed="false">
      <c r="A156" s="0" t="s">
        <v>1053</v>
      </c>
      <c r="B156" s="0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17.09"/>
    <col collapsed="false" customWidth="true" hidden="false" outlineLevel="0" max="2" min="2" style="26" width="10.91"/>
  </cols>
  <sheetData>
    <row r="1" customFormat="false" ht="14.25" hidden="false" customHeight="false" outlineLevel="0" collapsed="false">
      <c r="A1" s="0" t="s">
        <v>1054</v>
      </c>
      <c r="B1" s="26" t="s">
        <v>905</v>
      </c>
    </row>
    <row r="2" customFormat="false" ht="14.25" hidden="false" customHeight="false" outlineLevel="0" collapsed="false">
      <c r="A2" s="0" t="s">
        <v>1055</v>
      </c>
      <c r="B2" s="26" t="n">
        <v>128</v>
      </c>
    </row>
    <row r="3" customFormat="false" ht="14.25" hidden="false" customHeight="false" outlineLevel="0" collapsed="false">
      <c r="A3" s="0" t="s">
        <v>1056</v>
      </c>
      <c r="B3" s="26" t="s">
        <v>1057</v>
      </c>
    </row>
    <row r="4" customFormat="false" ht="14.25" hidden="false" customHeight="false" outlineLevel="0" collapsed="false">
      <c r="A4" s="0" t="s">
        <v>1058</v>
      </c>
      <c r="B4" s="26" t="n">
        <v>16</v>
      </c>
    </row>
    <row r="5" customFormat="false" ht="14.25" hidden="false" customHeight="false" outlineLevel="0" collapsed="false">
      <c r="A5" s="0" t="s">
        <v>28</v>
      </c>
      <c r="B5" s="26" t="s">
        <v>1059</v>
      </c>
    </row>
    <row r="6" customFormat="false" ht="14.25" hidden="false" customHeight="false" outlineLevel="0" collapsed="false">
      <c r="A6" s="0" t="s">
        <v>808</v>
      </c>
      <c r="B6" s="26" t="n">
        <v>16</v>
      </c>
    </row>
    <row r="7" customFormat="false" ht="14.25" hidden="false" customHeight="false" outlineLevel="0" collapsed="false">
      <c r="A7" s="0" t="s">
        <v>29</v>
      </c>
      <c r="B7" s="78" t="n">
        <v>16256</v>
      </c>
    </row>
    <row r="8" customFormat="false" ht="14.25" hidden="false" customHeight="false" outlineLevel="0" collapsed="false">
      <c r="A8" s="0" t="s">
        <v>1060</v>
      </c>
      <c r="B8" s="26" t="n">
        <v>128</v>
      </c>
    </row>
    <row r="9" customFormat="false" ht="14.25" hidden="false" customHeight="false" outlineLevel="0" collapsed="false">
      <c r="A9" s="0" t="s">
        <v>1061</v>
      </c>
      <c r="B9" s="26" t="n">
        <v>128</v>
      </c>
    </row>
    <row r="10" customFormat="false" ht="14.25" hidden="false" customHeight="false" outlineLevel="0" collapsed="false">
      <c r="A10" s="0" t="s">
        <v>1062</v>
      </c>
      <c r="B10" s="78" t="n">
        <v>128256</v>
      </c>
    </row>
    <row r="11" customFormat="false" ht="14.25" hidden="false" customHeight="false" outlineLevel="0" collapsed="false">
      <c r="A11" s="0" t="s">
        <v>1063</v>
      </c>
      <c r="B11" s="26" t="n">
        <v>256</v>
      </c>
    </row>
    <row r="12" customFormat="false" ht="14.25" hidden="false" customHeight="false" outlineLevel="0" collapsed="false">
      <c r="A12" s="0" t="s">
        <v>1064</v>
      </c>
      <c r="B12" s="26" t="n">
        <v>32</v>
      </c>
    </row>
    <row r="13" customFormat="false" ht="14.25" hidden="false" customHeight="false" outlineLevel="0" collapsed="false">
      <c r="A13" s="0" t="s">
        <v>1065</v>
      </c>
      <c r="B13" s="26" t="n">
        <v>128</v>
      </c>
    </row>
    <row r="14" customFormat="false" ht="14.25" hidden="false" customHeight="false" outlineLevel="0" collapsed="false">
      <c r="A14" s="0" t="s">
        <v>1066</v>
      </c>
      <c r="B14" s="26" t="s">
        <v>1067</v>
      </c>
    </row>
    <row r="15" customFormat="false" ht="14.25" hidden="false" customHeight="false" outlineLevel="0" collapsed="false">
      <c r="A15" s="0" t="s">
        <v>494</v>
      </c>
      <c r="B15" s="26" t="s">
        <v>1067</v>
      </c>
    </row>
    <row r="16" customFormat="false" ht="14.25" hidden="false" customHeight="false" outlineLevel="0" collapsed="false">
      <c r="A16" s="0" t="s">
        <v>1068</v>
      </c>
      <c r="B16" s="26" t="n">
        <v>128</v>
      </c>
    </row>
    <row r="17" customFormat="false" ht="14.25" hidden="false" customHeight="false" outlineLevel="0" collapsed="false">
      <c r="A17" s="0" t="s">
        <v>1069</v>
      </c>
      <c r="B17" s="26" t="n">
        <v>128</v>
      </c>
    </row>
    <row r="18" customFormat="false" ht="14.25" hidden="false" customHeight="false" outlineLevel="0" collapsed="false">
      <c r="A18" s="0" t="s">
        <v>495</v>
      </c>
      <c r="B18" s="26" t="s">
        <v>1067</v>
      </c>
    </row>
    <row r="19" customFormat="false" ht="14.25" hidden="false" customHeight="false" outlineLevel="0" collapsed="false">
      <c r="A19" s="0" t="s">
        <v>1070</v>
      </c>
      <c r="B19" s="26" t="s">
        <v>1071</v>
      </c>
    </row>
    <row r="20" customFormat="false" ht="14.25" hidden="false" customHeight="false" outlineLevel="0" collapsed="false">
      <c r="A20" s="0" t="s">
        <v>1072</v>
      </c>
      <c r="B20" s="26" t="s">
        <v>1073</v>
      </c>
    </row>
    <row r="21" customFormat="false" ht="14.25" hidden="false" customHeight="false" outlineLevel="0" collapsed="false">
      <c r="A21" s="0" t="s">
        <v>1074</v>
      </c>
      <c r="B21" s="26" t="n">
        <v>16</v>
      </c>
    </row>
    <row r="22" customFormat="false" ht="14.25" hidden="false" customHeight="false" outlineLevel="0" collapsed="false">
      <c r="A22" s="0" t="s">
        <v>1075</v>
      </c>
      <c r="B22" s="26" t="s">
        <v>1076</v>
      </c>
    </row>
    <row r="23" customFormat="false" ht="14.25" hidden="false" customHeight="false" outlineLevel="0" collapsed="false">
      <c r="A23" s="0" t="s">
        <v>1077</v>
      </c>
      <c r="B23" s="26" t="n">
        <v>16</v>
      </c>
    </row>
    <row r="24" customFormat="false" ht="14.25" hidden="false" customHeight="false" outlineLevel="0" collapsed="false">
      <c r="A24" s="0" t="s">
        <v>1078</v>
      </c>
      <c r="B24" s="78" t="n">
        <v>128256</v>
      </c>
    </row>
    <row r="25" customFormat="false" ht="14.25" hidden="false" customHeight="false" outlineLevel="0" collapsed="false">
      <c r="A25" s="0" t="s">
        <v>1079</v>
      </c>
      <c r="B25" s="26" t="n">
        <v>256</v>
      </c>
    </row>
    <row r="26" customFormat="false" ht="14.25" hidden="false" customHeight="false" outlineLevel="0" collapsed="false">
      <c r="A26" s="0" t="s">
        <v>1080</v>
      </c>
      <c r="B26" s="26" t="n">
        <v>512</v>
      </c>
    </row>
    <row r="27" customFormat="false" ht="14.25" hidden="false" customHeight="false" outlineLevel="0" collapsed="false">
      <c r="A27" s="0" t="s">
        <v>1081</v>
      </c>
      <c r="B27" s="26" t="n">
        <v>512</v>
      </c>
    </row>
    <row r="28" customFormat="false" ht="14.25" hidden="false" customHeight="false" outlineLevel="0" collapsed="false">
      <c r="A28" s="0" t="s">
        <v>1082</v>
      </c>
      <c r="B28" s="26" t="n">
        <v>512</v>
      </c>
    </row>
    <row r="29" customFormat="false" ht="14.25" hidden="false" customHeight="false" outlineLevel="0" collapsed="false">
      <c r="A29" s="0" t="s">
        <v>1083</v>
      </c>
      <c r="B29" s="26" t="s">
        <v>1084</v>
      </c>
    </row>
    <row r="30" customFormat="false" ht="14.25" hidden="false" customHeight="false" outlineLevel="0" collapsed="false">
      <c r="A30" s="0" t="s">
        <v>1085</v>
      </c>
      <c r="B30" s="26" t="s">
        <v>1086</v>
      </c>
    </row>
    <row r="31" customFormat="false" ht="14.25" hidden="false" customHeight="false" outlineLevel="0" collapsed="false">
      <c r="A31" s="0" t="s">
        <v>1087</v>
      </c>
      <c r="B31" s="26" t="s">
        <v>1088</v>
      </c>
    </row>
    <row r="32" customFormat="false" ht="14.25" hidden="false" customHeight="false" outlineLevel="0" collapsed="false">
      <c r="A32" s="0" t="s">
        <v>1089</v>
      </c>
      <c r="B32" s="26" t="s">
        <v>1067</v>
      </c>
    </row>
    <row r="33" customFormat="false" ht="14.25" hidden="false" customHeight="false" outlineLevel="0" collapsed="false">
      <c r="A33" s="0" t="s">
        <v>1090</v>
      </c>
      <c r="B33" s="26" t="s">
        <v>1067</v>
      </c>
    </row>
    <row r="34" customFormat="false" ht="14.25" hidden="false" customHeight="false" outlineLevel="0" collapsed="false">
      <c r="A34" s="0" t="s">
        <v>1091</v>
      </c>
      <c r="B34" s="26" t="n">
        <v>128</v>
      </c>
    </row>
    <row r="35" customFormat="false" ht="14.25" hidden="false" customHeight="false" outlineLevel="0" collapsed="false">
      <c r="A35" s="0" t="s">
        <v>1092</v>
      </c>
      <c r="B35" s="26" t="n">
        <v>128</v>
      </c>
    </row>
    <row r="36" customFormat="false" ht="14.25" hidden="false" customHeight="false" outlineLevel="0" collapsed="false">
      <c r="A36" s="0" t="s">
        <v>498</v>
      </c>
      <c r="B36" s="26" t="n">
        <v>128</v>
      </c>
    </row>
    <row r="37" customFormat="false" ht="14.25" hidden="false" customHeight="false" outlineLevel="0" collapsed="false">
      <c r="A37" s="0" t="s">
        <v>1093</v>
      </c>
      <c r="B37" s="26" t="n">
        <v>128</v>
      </c>
    </row>
    <row r="38" customFormat="false" ht="14.25" hidden="false" customHeight="false" outlineLevel="0" collapsed="false">
      <c r="A38" s="0" t="s">
        <v>499</v>
      </c>
      <c r="B38" s="26" t="n">
        <v>128</v>
      </c>
    </row>
    <row r="39" customFormat="false" ht="14.25" hidden="false" customHeight="false" outlineLevel="0" collapsed="false">
      <c r="A39" s="0" t="s">
        <v>1094</v>
      </c>
      <c r="B39" s="26" t="n">
        <v>16</v>
      </c>
    </row>
    <row r="40" customFormat="false" ht="14.25" hidden="false" customHeight="false" outlineLevel="0" collapsed="false">
      <c r="A40" s="0" t="s">
        <v>1095</v>
      </c>
      <c r="B40" s="26" t="n">
        <v>16</v>
      </c>
    </row>
    <row r="41" customFormat="false" ht="14.25" hidden="false" customHeight="false" outlineLevel="0" collapsed="false">
      <c r="A41" s="0" t="s">
        <v>1096</v>
      </c>
      <c r="B41" s="26" t="n">
        <v>128</v>
      </c>
    </row>
    <row r="42" customFormat="false" ht="14.25" hidden="false" customHeight="false" outlineLevel="0" collapsed="false">
      <c r="A42" s="0" t="s">
        <v>1097</v>
      </c>
      <c r="B42" s="26" t="n">
        <v>128</v>
      </c>
    </row>
    <row r="43" customFormat="false" ht="14.25" hidden="false" customHeight="false" outlineLevel="0" collapsed="false">
      <c r="A43" s="0" t="s">
        <v>1098</v>
      </c>
      <c r="B43" s="26" t="n">
        <v>128</v>
      </c>
    </row>
    <row r="44" customFormat="false" ht="14.25" hidden="false" customHeight="false" outlineLevel="0" collapsed="false">
      <c r="A44" s="0" t="s">
        <v>1099</v>
      </c>
      <c r="B44" s="26" t="n">
        <v>128</v>
      </c>
    </row>
    <row r="45" customFormat="false" ht="14.25" hidden="false" customHeight="false" outlineLevel="0" collapsed="false">
      <c r="A45" s="0" t="s">
        <v>1100</v>
      </c>
      <c r="B45" s="26" t="n">
        <v>128</v>
      </c>
    </row>
    <row r="46" customFormat="false" ht="14.25" hidden="false" customHeight="false" outlineLevel="0" collapsed="false">
      <c r="A46" s="0" t="s">
        <v>1101</v>
      </c>
      <c r="B46" s="26" t="n">
        <v>128</v>
      </c>
    </row>
    <row r="47" customFormat="false" ht="14.25" hidden="false" customHeight="false" outlineLevel="0" collapsed="false">
      <c r="A47" s="0" t="s">
        <v>1102</v>
      </c>
      <c r="B47" s="26" t="s">
        <v>1103</v>
      </c>
    </row>
    <row r="48" customFormat="false" ht="14.25" hidden="false" customHeight="false" outlineLevel="0" collapsed="false">
      <c r="A48" s="0" t="s">
        <v>1104</v>
      </c>
      <c r="B48" s="26" t="s">
        <v>1067</v>
      </c>
    </row>
    <row r="49" customFormat="false" ht="14.25" hidden="false" customHeight="false" outlineLevel="0" collapsed="false">
      <c r="A49" s="0" t="s">
        <v>1105</v>
      </c>
      <c r="B49" s="26" t="n">
        <v>64</v>
      </c>
    </row>
    <row r="50" customFormat="false" ht="14.25" hidden="false" customHeight="false" outlineLevel="0" collapsed="false">
      <c r="A50" s="0" t="s">
        <v>1106</v>
      </c>
      <c r="B50" s="78" t="n">
        <v>128256</v>
      </c>
    </row>
    <row r="51" customFormat="false" ht="14.25" hidden="false" customHeight="false" outlineLevel="0" collapsed="false">
      <c r="A51" s="0" t="s">
        <v>1107</v>
      </c>
      <c r="B51" s="26" t="n">
        <v>256</v>
      </c>
    </row>
    <row r="52" customFormat="false" ht="14.25" hidden="false" customHeight="false" outlineLevel="0" collapsed="false">
      <c r="A52" s="0" t="s">
        <v>1108</v>
      </c>
      <c r="B52" s="26" t="n">
        <v>256</v>
      </c>
    </row>
    <row r="53" customFormat="false" ht="14.25" hidden="false" customHeight="false" outlineLevel="0" collapsed="false">
      <c r="A53" s="0" t="s">
        <v>1109</v>
      </c>
      <c r="B53" s="26" t="n">
        <v>64</v>
      </c>
    </row>
    <row r="54" customFormat="false" ht="14.25" hidden="false" customHeight="false" outlineLevel="0" collapsed="false">
      <c r="A54" s="0" t="s">
        <v>1110</v>
      </c>
      <c r="B54" s="26" t="n">
        <v>64</v>
      </c>
    </row>
    <row r="55" customFormat="false" ht="14.25" hidden="false" customHeight="false" outlineLevel="0" collapsed="false">
      <c r="A55" s="0" t="s">
        <v>137</v>
      </c>
      <c r="B55" s="78" t="n">
        <v>64128</v>
      </c>
    </row>
    <row r="56" customFormat="false" ht="14.25" hidden="false" customHeight="false" outlineLevel="0" collapsed="false">
      <c r="A56" s="0" t="s">
        <v>1111</v>
      </c>
      <c r="B56" s="26" t="n">
        <v>128</v>
      </c>
    </row>
    <row r="57" customFormat="false" ht="14.25" hidden="false" customHeight="false" outlineLevel="0" collapsed="false">
      <c r="A57" s="0" t="s">
        <v>500</v>
      </c>
      <c r="B57" s="78" t="n">
        <v>64128</v>
      </c>
    </row>
    <row r="58" customFormat="false" ht="14.25" hidden="false" customHeight="false" outlineLevel="0" collapsed="false">
      <c r="A58" s="0" t="s">
        <v>1112</v>
      </c>
      <c r="B58" s="78" t="n">
        <v>128256</v>
      </c>
    </row>
    <row r="59" customFormat="false" ht="14.25" hidden="false" customHeight="false" outlineLevel="0" collapsed="false">
      <c r="A59" s="0" t="s">
        <v>1113</v>
      </c>
      <c r="B59" s="26" t="n">
        <v>256</v>
      </c>
    </row>
    <row r="60" customFormat="false" ht="14.25" hidden="false" customHeight="false" outlineLevel="0" collapsed="false">
      <c r="A60" s="0" t="s">
        <v>1114</v>
      </c>
      <c r="B60" s="26" t="n">
        <v>256</v>
      </c>
    </row>
    <row r="61" customFormat="false" ht="14.25" hidden="false" customHeight="false" outlineLevel="0" collapsed="false">
      <c r="A61" s="0" t="s">
        <v>54</v>
      </c>
      <c r="B61" s="26" t="s">
        <v>1115</v>
      </c>
    </row>
    <row r="62" customFormat="false" ht="14.25" hidden="false" customHeight="false" outlineLevel="0" collapsed="false">
      <c r="A62" s="0" t="s">
        <v>1116</v>
      </c>
      <c r="B62" s="78" t="n">
        <v>64256</v>
      </c>
    </row>
    <row r="63" customFormat="false" ht="14.25" hidden="false" customHeight="false" outlineLevel="0" collapsed="false">
      <c r="A63" s="0" t="s">
        <v>1117</v>
      </c>
      <c r="B63" s="78" t="n">
        <v>64256</v>
      </c>
    </row>
    <row r="64" customFormat="false" ht="14.25" hidden="false" customHeight="false" outlineLevel="0" collapsed="false">
      <c r="A64" s="0" t="s">
        <v>1118</v>
      </c>
      <c r="B64" s="78" t="n">
        <v>64256</v>
      </c>
    </row>
    <row r="65" customFormat="false" ht="14.25" hidden="false" customHeight="false" outlineLevel="0" collapsed="false">
      <c r="A65" s="0" t="s">
        <v>1119</v>
      </c>
      <c r="B65" s="26" t="n">
        <v>128</v>
      </c>
    </row>
    <row r="66" customFormat="false" ht="14.25" hidden="false" customHeight="false" outlineLevel="0" collapsed="false">
      <c r="A66" s="0" t="s">
        <v>1120</v>
      </c>
      <c r="B66" s="26" t="s">
        <v>1067</v>
      </c>
    </row>
    <row r="67" customFormat="false" ht="14.25" hidden="false" customHeight="false" outlineLevel="0" collapsed="false">
      <c r="A67" s="0" t="s">
        <v>1121</v>
      </c>
      <c r="B67" s="26" t="n">
        <v>128</v>
      </c>
    </row>
    <row r="68" customFormat="false" ht="14.25" hidden="false" customHeight="false" outlineLevel="0" collapsed="false">
      <c r="A68" s="0" t="s">
        <v>1122</v>
      </c>
      <c r="B68" s="26" t="s">
        <v>1103</v>
      </c>
    </row>
    <row r="69" customFormat="false" ht="14.25" hidden="false" customHeight="false" outlineLevel="0" collapsed="false">
      <c r="A69" s="0" t="s">
        <v>1123</v>
      </c>
      <c r="B69" s="26" t="s">
        <v>1115</v>
      </c>
    </row>
    <row r="70" customFormat="false" ht="14.25" hidden="false" customHeight="false" outlineLevel="0" collapsed="false">
      <c r="A70" s="0" t="s">
        <v>1124</v>
      </c>
      <c r="B70" s="78" t="n">
        <v>64256</v>
      </c>
    </row>
    <row r="71" customFormat="false" ht="14.25" hidden="false" customHeight="false" outlineLevel="0" collapsed="false">
      <c r="A71" s="0" t="s">
        <v>1125</v>
      </c>
      <c r="B71" s="26" t="n">
        <v>64</v>
      </c>
    </row>
    <row r="72" customFormat="false" ht="14.25" hidden="false" customHeight="false" outlineLevel="0" collapsed="false">
      <c r="A72" s="0" t="s">
        <v>1126</v>
      </c>
      <c r="B72" s="26" t="s">
        <v>1127</v>
      </c>
    </row>
    <row r="73" customFormat="false" ht="14.25" hidden="false" customHeight="false" outlineLevel="0" collapsed="false">
      <c r="A73" s="0" t="s">
        <v>1128</v>
      </c>
      <c r="B73" s="26" t="n">
        <v>64</v>
      </c>
    </row>
    <row r="74" customFormat="false" ht="14.25" hidden="false" customHeight="false" outlineLevel="0" collapsed="false">
      <c r="A74" s="0" t="s">
        <v>1129</v>
      </c>
      <c r="B74" s="26" t="s">
        <v>1130</v>
      </c>
    </row>
    <row r="75" customFormat="false" ht="14.25" hidden="false" customHeight="false" outlineLevel="0" collapsed="false">
      <c r="A75" s="0" t="s">
        <v>1131</v>
      </c>
      <c r="B75" s="26" t="s">
        <v>1130</v>
      </c>
    </row>
    <row r="76" customFormat="false" ht="14.25" hidden="false" customHeight="false" outlineLevel="0" collapsed="false">
      <c r="A76" s="0" t="s">
        <v>1132</v>
      </c>
      <c r="B76" s="26" t="n">
        <v>16</v>
      </c>
    </row>
    <row r="77" customFormat="false" ht="14.25" hidden="false" customHeight="false" outlineLevel="0" collapsed="false">
      <c r="A77" s="0" t="s">
        <v>57</v>
      </c>
      <c r="B77" s="26" t="n">
        <v>4</v>
      </c>
    </row>
    <row r="78" customFormat="false" ht="14.25" hidden="false" customHeight="false" outlineLevel="0" collapsed="false">
      <c r="A78" s="0" t="s">
        <v>1133</v>
      </c>
      <c r="B78" s="26" t="n">
        <v>16</v>
      </c>
    </row>
    <row r="79" customFormat="false" ht="14.25" hidden="false" customHeight="false" outlineLevel="0" collapsed="false">
      <c r="A79" s="0" t="s">
        <v>1134</v>
      </c>
      <c r="B79" s="26" t="n">
        <v>4</v>
      </c>
    </row>
    <row r="80" customFormat="false" ht="14.25" hidden="false" customHeight="false" outlineLevel="0" collapsed="false">
      <c r="A80" s="0" t="s">
        <v>1135</v>
      </c>
      <c r="B80" s="26" t="n">
        <v>32</v>
      </c>
    </row>
    <row r="81" customFormat="false" ht="14.25" hidden="false" customHeight="false" outlineLevel="0" collapsed="false">
      <c r="A81" s="0" t="s">
        <v>1136</v>
      </c>
      <c r="B81" s="26" t="n">
        <v>256</v>
      </c>
    </row>
    <row r="82" customFormat="false" ht="14.25" hidden="false" customHeight="false" outlineLevel="0" collapsed="false">
      <c r="A82" s="0" t="s">
        <v>1137</v>
      </c>
      <c r="B82" s="26" t="n">
        <v>256</v>
      </c>
    </row>
    <row r="83" customFormat="false" ht="14.25" hidden="false" customHeight="false" outlineLevel="0" collapsed="false">
      <c r="A83" s="0" t="s">
        <v>1138</v>
      </c>
      <c r="B83" s="26" t="n">
        <v>64</v>
      </c>
    </row>
    <row r="84" customFormat="false" ht="14.25" hidden="false" customHeight="false" outlineLevel="0" collapsed="false">
      <c r="A84" s="0" t="s">
        <v>1139</v>
      </c>
      <c r="B84" s="78" t="n">
        <v>128256</v>
      </c>
    </row>
    <row r="85" customFormat="false" ht="14.25" hidden="false" customHeight="false" outlineLevel="0" collapsed="false">
      <c r="A85" s="0" t="s">
        <v>1140</v>
      </c>
      <c r="B85" s="26" t="n">
        <v>256</v>
      </c>
    </row>
    <row r="86" customFormat="false" ht="14.25" hidden="false" customHeight="false" outlineLevel="0" collapsed="false">
      <c r="A86" s="0" t="s">
        <v>1141</v>
      </c>
      <c r="B86" s="26" t="n">
        <v>256</v>
      </c>
    </row>
    <row r="87" customFormat="false" ht="14.25" hidden="false" customHeight="false" outlineLevel="0" collapsed="false">
      <c r="A87" s="0" t="s">
        <v>142</v>
      </c>
      <c r="B87" s="78" t="n">
        <v>64128</v>
      </c>
    </row>
    <row r="88" customFormat="false" ht="14.25" hidden="false" customHeight="false" outlineLevel="0" collapsed="false">
      <c r="A88" s="0" t="s">
        <v>1142</v>
      </c>
      <c r="B88" s="26" t="n">
        <v>128</v>
      </c>
    </row>
    <row r="89" customFormat="false" ht="14.25" hidden="false" customHeight="false" outlineLevel="0" collapsed="false">
      <c r="A89" s="0" t="s">
        <v>503</v>
      </c>
      <c r="B89" s="78" t="n">
        <v>64128</v>
      </c>
    </row>
    <row r="90" customFormat="false" ht="14.25" hidden="false" customHeight="false" outlineLevel="0" collapsed="false">
      <c r="A90" s="0" t="s">
        <v>60</v>
      </c>
      <c r="B90" s="26" t="n">
        <v>256</v>
      </c>
    </row>
    <row r="91" customFormat="false" ht="14.25" hidden="false" customHeight="false" outlineLevel="0" collapsed="false">
      <c r="A91" s="0" t="s">
        <v>1143</v>
      </c>
      <c r="B91" s="26" t="n">
        <v>256</v>
      </c>
    </row>
    <row r="92" customFormat="false" ht="14.25" hidden="false" customHeight="false" outlineLevel="0" collapsed="false">
      <c r="A92" s="0" t="s">
        <v>61</v>
      </c>
      <c r="B92" s="26" t="n">
        <v>4</v>
      </c>
    </row>
    <row r="93" customFormat="false" ht="14.25" hidden="false" customHeight="false" outlineLevel="0" collapsed="false">
      <c r="A93" s="0" t="s">
        <v>1034</v>
      </c>
      <c r="B93" s="26" t="n">
        <v>128</v>
      </c>
    </row>
    <row r="94" customFormat="false" ht="14.25" hidden="false" customHeight="false" outlineLevel="0" collapsed="false">
      <c r="A94" s="0" t="s">
        <v>1144</v>
      </c>
      <c r="B94" s="26" t="n">
        <v>128</v>
      </c>
    </row>
    <row r="95" customFormat="false" ht="14.25" hidden="false" customHeight="false" outlineLevel="0" collapsed="false">
      <c r="A95" s="0" t="s">
        <v>1145</v>
      </c>
      <c r="B95" s="26" t="n">
        <v>128</v>
      </c>
    </row>
    <row r="96" customFormat="false" ht="14.25" hidden="false" customHeight="false" outlineLevel="0" collapsed="false">
      <c r="A96" s="0" t="s">
        <v>1146</v>
      </c>
      <c r="B96" s="26" t="n">
        <v>4</v>
      </c>
    </row>
    <row r="97" customFormat="false" ht="14.25" hidden="false" customHeight="false" outlineLevel="0" collapsed="false">
      <c r="A97" s="0" t="s">
        <v>1147</v>
      </c>
      <c r="B97" s="26" t="n">
        <v>4</v>
      </c>
    </row>
    <row r="98" customFormat="false" ht="14.25" hidden="false" customHeight="false" outlineLevel="0" collapsed="false">
      <c r="A98" s="0" t="s">
        <v>1148</v>
      </c>
      <c r="B98" s="26" t="n">
        <v>16</v>
      </c>
    </row>
    <row r="99" customFormat="false" ht="14.25" hidden="false" customHeight="false" outlineLevel="0" collapsed="false">
      <c r="A99" s="0" t="s">
        <v>1149</v>
      </c>
      <c r="B99" s="26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23.91"/>
    <col collapsed="false" customWidth="true" hidden="false" outlineLevel="0" max="2" min="2" style="26" width="10.91"/>
  </cols>
  <sheetData>
    <row r="1" customFormat="false" ht="14.25" hidden="false" customHeight="false" outlineLevel="0" collapsed="false">
      <c r="A1" s="0" t="s">
        <v>1150</v>
      </c>
      <c r="B1" s="26" t="s">
        <v>905</v>
      </c>
    </row>
    <row r="2" customFormat="false" ht="14.25" hidden="false" customHeight="false" outlineLevel="0" collapsed="false">
      <c r="A2" s="0" t="s">
        <v>1151</v>
      </c>
      <c r="B2" s="26" t="n">
        <v>200</v>
      </c>
    </row>
    <row r="3" customFormat="false" ht="14.25" hidden="false" customHeight="false" outlineLevel="0" collapsed="false">
      <c r="A3" s="0" t="s">
        <v>28</v>
      </c>
      <c r="B3" s="26" t="n">
        <v>25</v>
      </c>
    </row>
    <row r="4" customFormat="false" ht="14.25" hidden="false" customHeight="false" outlineLevel="0" collapsed="false">
      <c r="A4" s="0" t="s">
        <v>1152</v>
      </c>
      <c r="B4" s="26" t="n">
        <v>1</v>
      </c>
    </row>
    <row r="5" customFormat="false" ht="14.25" hidden="false" customHeight="false" outlineLevel="0" collapsed="false">
      <c r="A5" s="0" t="s">
        <v>1153</v>
      </c>
      <c r="B5" s="26" t="n">
        <v>50</v>
      </c>
    </row>
    <row r="6" customFormat="false" ht="14.25" hidden="false" customHeight="false" outlineLevel="0" collapsed="false">
      <c r="A6" s="0" t="s">
        <v>1154</v>
      </c>
      <c r="B6" s="26" t="n">
        <v>100</v>
      </c>
    </row>
    <row r="7" customFormat="false" ht="14.25" hidden="false" customHeight="false" outlineLevel="0" collapsed="false">
      <c r="A7" s="0" t="s">
        <v>1155</v>
      </c>
      <c r="B7" s="26" t="n">
        <v>200</v>
      </c>
    </row>
    <row r="8" customFormat="false" ht="14.25" hidden="false" customHeight="false" outlineLevel="0" collapsed="false">
      <c r="A8" s="0" t="s">
        <v>691</v>
      </c>
      <c r="B8" s="26" t="n">
        <v>50</v>
      </c>
    </row>
    <row r="9" customFormat="false" ht="14.25" hidden="false" customHeight="false" outlineLevel="0" collapsed="false">
      <c r="A9" s="0" t="s">
        <v>692</v>
      </c>
      <c r="B9" s="26" t="n">
        <v>1</v>
      </c>
    </row>
    <row r="10" customFormat="false" ht="14.25" hidden="false" customHeight="false" outlineLevel="0" collapsed="false">
      <c r="A10" s="0" t="s">
        <v>1156</v>
      </c>
      <c r="B10" s="26" t="n">
        <v>200</v>
      </c>
    </row>
    <row r="11" customFormat="false" ht="14.25" hidden="false" customHeight="false" outlineLevel="0" collapsed="false">
      <c r="A11" s="0" t="s">
        <v>1157</v>
      </c>
      <c r="B11" s="26" t="n">
        <v>200</v>
      </c>
    </row>
    <row r="12" customFormat="false" ht="14.25" hidden="false" customHeight="false" outlineLevel="0" collapsed="false">
      <c r="A12" s="0" t="s">
        <v>1158</v>
      </c>
      <c r="B12" s="26" t="n">
        <v>50</v>
      </c>
    </row>
    <row r="13" customFormat="false" ht="14.25" hidden="false" customHeight="false" outlineLevel="0" collapsed="false">
      <c r="A13" s="0" t="s">
        <v>1159</v>
      </c>
      <c r="B13" s="26" t="n">
        <v>200</v>
      </c>
    </row>
    <row r="14" customFormat="false" ht="14.25" hidden="false" customHeight="false" outlineLevel="0" collapsed="false">
      <c r="A14" s="0" t="s">
        <v>1160</v>
      </c>
      <c r="B14" s="26" t="n">
        <v>3</v>
      </c>
    </row>
    <row r="15" customFormat="false" ht="14.25" hidden="false" customHeight="false" outlineLevel="0" collapsed="false">
      <c r="A15" s="0" t="s">
        <v>1161</v>
      </c>
      <c r="B15" s="26" t="n">
        <v>50</v>
      </c>
    </row>
    <row r="16" customFormat="false" ht="14.25" hidden="false" customHeight="false" outlineLevel="0" collapsed="false">
      <c r="A16" s="0" t="s">
        <v>471</v>
      </c>
      <c r="B16" s="26" t="n">
        <v>100</v>
      </c>
    </row>
    <row r="17" customFormat="false" ht="14.25" hidden="false" customHeight="false" outlineLevel="0" collapsed="false">
      <c r="A17" s="0" t="s">
        <v>1162</v>
      </c>
      <c r="B17" s="26" t="n">
        <v>2</v>
      </c>
    </row>
    <row r="18" customFormat="false" ht="14.25" hidden="false" customHeight="false" outlineLevel="0" collapsed="false">
      <c r="A18" s="0" t="s">
        <v>1163</v>
      </c>
      <c r="B18" s="26" t="n">
        <v>25</v>
      </c>
    </row>
    <row r="19" customFormat="false" ht="14.25" hidden="false" customHeight="false" outlineLevel="0" collapsed="false">
      <c r="A19" s="0" t="s">
        <v>1164</v>
      </c>
      <c r="B19" s="26" t="n">
        <v>25</v>
      </c>
    </row>
    <row r="20" customFormat="false" ht="14.25" hidden="false" customHeight="false" outlineLevel="0" collapsed="false">
      <c r="A20" s="0" t="s">
        <v>1165</v>
      </c>
      <c r="B20" s="26" t="n">
        <v>200</v>
      </c>
    </row>
    <row r="21" customFormat="false" ht="14.25" hidden="false" customHeight="false" outlineLevel="0" collapsed="false">
      <c r="A21" s="0" t="s">
        <v>1166</v>
      </c>
      <c r="B21" s="26" t="n">
        <v>200</v>
      </c>
    </row>
    <row r="22" customFormat="false" ht="14.25" hidden="false" customHeight="false" outlineLevel="0" collapsed="false">
      <c r="A22" s="0" t="s">
        <v>1167</v>
      </c>
      <c r="B22" s="26" t="s">
        <v>1168</v>
      </c>
    </row>
    <row r="23" customFormat="false" ht="14.25" hidden="false" customHeight="false" outlineLevel="0" collapsed="false">
      <c r="A23" s="0" t="s">
        <v>811</v>
      </c>
      <c r="B23" s="26" t="n">
        <v>100</v>
      </c>
    </row>
    <row r="24" customFormat="false" ht="14.25" hidden="false" customHeight="false" outlineLevel="0" collapsed="false">
      <c r="A24" s="0" t="s">
        <v>1169</v>
      </c>
      <c r="B24" s="26" t="n">
        <v>200</v>
      </c>
    </row>
    <row r="25" customFormat="false" ht="14.25" hidden="false" customHeight="false" outlineLevel="0" collapsed="false">
      <c r="A25" s="0" t="s">
        <v>312</v>
      </c>
      <c r="B25" s="26" t="s">
        <v>146</v>
      </c>
    </row>
    <row r="26" customFormat="false" ht="14.25" hidden="false" customHeight="false" outlineLevel="0" collapsed="false">
      <c r="A26" s="0" t="s">
        <v>462</v>
      </c>
      <c r="B26" s="26" t="s">
        <v>1170</v>
      </c>
    </row>
    <row r="27" customFormat="false" ht="14.25" hidden="false" customHeight="false" outlineLevel="0" collapsed="false">
      <c r="A27" s="0" t="s">
        <v>134</v>
      </c>
      <c r="B27" s="26" t="n">
        <v>100</v>
      </c>
    </row>
    <row r="28" customFormat="false" ht="14.25" hidden="false" customHeight="false" outlineLevel="0" collapsed="false">
      <c r="A28" s="0" t="s">
        <v>1171</v>
      </c>
      <c r="B28" s="26" t="n">
        <v>200</v>
      </c>
    </row>
    <row r="29" customFormat="false" ht="14.25" hidden="false" customHeight="false" outlineLevel="0" collapsed="false">
      <c r="A29" s="0" t="s">
        <v>1172</v>
      </c>
      <c r="B29" s="26" t="n">
        <v>50</v>
      </c>
    </row>
    <row r="30" customFormat="false" ht="14.25" hidden="false" customHeight="false" outlineLevel="0" collapsed="false">
      <c r="A30" s="0" t="s">
        <v>1173</v>
      </c>
      <c r="B30" s="26" t="n">
        <v>1</v>
      </c>
    </row>
    <row r="31" customFormat="false" ht="14.25" hidden="false" customHeight="false" outlineLevel="0" collapsed="false">
      <c r="A31" s="0" t="s">
        <v>1174</v>
      </c>
      <c r="B31" s="26" t="n">
        <v>100</v>
      </c>
    </row>
    <row r="32" customFormat="false" ht="14.25" hidden="false" customHeight="false" outlineLevel="0" collapsed="false">
      <c r="A32" s="0" t="s">
        <v>1175</v>
      </c>
      <c r="B32" s="26" t="n">
        <v>25</v>
      </c>
    </row>
    <row r="33" customFormat="false" ht="14.25" hidden="false" customHeight="false" outlineLevel="0" collapsed="false">
      <c r="A33" s="0" t="s">
        <v>1176</v>
      </c>
      <c r="B33" s="26" t="n">
        <v>200</v>
      </c>
    </row>
    <row r="34" customFormat="false" ht="14.25" hidden="false" customHeight="false" outlineLevel="0" collapsed="false">
      <c r="A34" s="0" t="s">
        <v>1177</v>
      </c>
      <c r="B34" s="26" t="n">
        <v>200</v>
      </c>
    </row>
    <row r="35" customFormat="false" ht="14.25" hidden="false" customHeight="false" outlineLevel="0" collapsed="false">
      <c r="A35" s="0" t="s">
        <v>1178</v>
      </c>
      <c r="B35" s="26" t="n">
        <v>200</v>
      </c>
    </row>
    <row r="36" customFormat="false" ht="14.25" hidden="false" customHeight="false" outlineLevel="0" collapsed="false">
      <c r="A36" s="0" t="s">
        <v>1179</v>
      </c>
      <c r="B36" s="26" t="n">
        <v>25</v>
      </c>
    </row>
    <row r="37" customFormat="false" ht="14.25" hidden="false" customHeight="false" outlineLevel="0" collapsed="false">
      <c r="A37" s="0" t="s">
        <v>1083</v>
      </c>
      <c r="B37" s="26" t="n">
        <v>200</v>
      </c>
    </row>
    <row r="38" customFormat="false" ht="14.25" hidden="false" customHeight="false" outlineLevel="0" collapsed="false">
      <c r="A38" s="0" t="s">
        <v>1180</v>
      </c>
      <c r="B38" s="26" t="n">
        <v>100</v>
      </c>
    </row>
    <row r="39" customFormat="false" ht="14.25" hidden="false" customHeight="false" outlineLevel="0" collapsed="false">
      <c r="A39" s="0" t="s">
        <v>463</v>
      </c>
      <c r="B39" s="26" t="n">
        <v>200</v>
      </c>
    </row>
    <row r="40" customFormat="false" ht="14.25" hidden="false" customHeight="false" outlineLevel="0" collapsed="false">
      <c r="A40" s="0" t="s">
        <v>1181</v>
      </c>
      <c r="B40" s="26" t="n">
        <v>25</v>
      </c>
    </row>
    <row r="41" customFormat="false" ht="14.25" hidden="false" customHeight="false" outlineLevel="0" collapsed="false">
      <c r="A41" s="0" t="s">
        <v>1182</v>
      </c>
      <c r="B41" s="26" t="n">
        <v>100</v>
      </c>
    </row>
    <row r="42" customFormat="false" ht="14.25" hidden="false" customHeight="false" outlineLevel="0" collapsed="false">
      <c r="A42" s="0" t="s">
        <v>335</v>
      </c>
      <c r="B42" s="26" t="n">
        <v>200</v>
      </c>
    </row>
    <row r="43" customFormat="false" ht="14.25" hidden="false" customHeight="false" outlineLevel="0" collapsed="false">
      <c r="A43" s="0" t="s">
        <v>336</v>
      </c>
      <c r="B43" s="26" t="n">
        <v>200</v>
      </c>
    </row>
    <row r="44" customFormat="false" ht="14.25" hidden="false" customHeight="false" outlineLevel="0" collapsed="false">
      <c r="A44" s="0" t="s">
        <v>695</v>
      </c>
      <c r="B44" s="26" t="n">
        <v>100</v>
      </c>
    </row>
    <row r="45" customFormat="false" ht="14.25" hidden="false" customHeight="false" outlineLevel="0" collapsed="false">
      <c r="A45" s="0" t="s">
        <v>696</v>
      </c>
      <c r="B45" s="26" t="n">
        <v>75</v>
      </c>
    </row>
    <row r="46" customFormat="false" ht="14.25" hidden="false" customHeight="false" outlineLevel="0" collapsed="false">
      <c r="A46" s="0" t="s">
        <v>1094</v>
      </c>
      <c r="B46" s="26" t="n">
        <v>200</v>
      </c>
    </row>
    <row r="47" customFormat="false" ht="14.25" hidden="false" customHeight="false" outlineLevel="0" collapsed="false">
      <c r="A47" s="0" t="s">
        <v>846</v>
      </c>
      <c r="B47" s="26" t="n">
        <v>10</v>
      </c>
    </row>
    <row r="48" customFormat="false" ht="14.25" hidden="false" customHeight="false" outlineLevel="0" collapsed="false">
      <c r="A48" s="0" t="s">
        <v>1183</v>
      </c>
      <c r="B48" s="26" t="n">
        <v>200</v>
      </c>
    </row>
    <row r="49" customFormat="false" ht="14.25" hidden="false" customHeight="false" outlineLevel="0" collapsed="false">
      <c r="A49" s="0" t="s">
        <v>1184</v>
      </c>
      <c r="B49" s="26" t="n">
        <v>200</v>
      </c>
    </row>
    <row r="50" customFormat="false" ht="14.25" hidden="false" customHeight="false" outlineLevel="0" collapsed="false">
      <c r="A50" s="0" t="s">
        <v>1185</v>
      </c>
      <c r="B50" s="26" t="s">
        <v>1186</v>
      </c>
    </row>
    <row r="51" customFormat="false" ht="14.25" hidden="false" customHeight="false" outlineLevel="0" collapsed="false">
      <c r="A51" s="0" t="s">
        <v>1187</v>
      </c>
      <c r="B51" s="26" t="n">
        <v>10</v>
      </c>
    </row>
    <row r="52" customFormat="false" ht="14.25" hidden="false" customHeight="false" outlineLevel="0" collapsed="false">
      <c r="A52" s="0" t="s">
        <v>1188</v>
      </c>
      <c r="B52" s="26" t="n">
        <v>25</v>
      </c>
    </row>
    <row r="53" customFormat="false" ht="14.25" hidden="false" customHeight="false" outlineLevel="0" collapsed="false">
      <c r="A53" s="0" t="s">
        <v>1189</v>
      </c>
      <c r="B53" s="26" t="n">
        <v>200</v>
      </c>
    </row>
    <row r="54" customFormat="false" ht="14.25" hidden="false" customHeight="false" outlineLevel="0" collapsed="false">
      <c r="A54" s="0" t="s">
        <v>1190</v>
      </c>
      <c r="B54" s="26" t="n">
        <v>25</v>
      </c>
    </row>
    <row r="55" customFormat="false" ht="14.25" hidden="false" customHeight="false" outlineLevel="0" collapsed="false">
      <c r="A55" s="0" t="s">
        <v>1191</v>
      </c>
      <c r="B55" s="26" t="n">
        <v>100</v>
      </c>
    </row>
    <row r="56" customFormat="false" ht="14.25" hidden="false" customHeight="false" outlineLevel="0" collapsed="false">
      <c r="A56" s="0" t="s">
        <v>1192</v>
      </c>
      <c r="B56" s="26" t="n">
        <v>200</v>
      </c>
    </row>
    <row r="57" customFormat="false" ht="14.25" hidden="false" customHeight="false" outlineLevel="0" collapsed="false">
      <c r="A57" s="27" t="s">
        <v>137</v>
      </c>
      <c r="B57" s="26" t="n">
        <v>200</v>
      </c>
    </row>
    <row r="58" customFormat="false" ht="14.25" hidden="false" customHeight="false" outlineLevel="0" collapsed="false">
      <c r="A58" s="0" t="s">
        <v>1193</v>
      </c>
      <c r="B58" s="26" t="n">
        <v>200</v>
      </c>
    </row>
    <row r="59" customFormat="false" ht="14.25" hidden="false" customHeight="false" outlineLevel="0" collapsed="false">
      <c r="A59" s="0" t="s">
        <v>1194</v>
      </c>
      <c r="B59" s="26" t="n">
        <v>50</v>
      </c>
    </row>
    <row r="60" customFormat="false" ht="14.25" hidden="false" customHeight="false" outlineLevel="0" collapsed="false">
      <c r="A60" s="27" t="s">
        <v>1195</v>
      </c>
      <c r="B60" s="26" t="n">
        <v>100</v>
      </c>
    </row>
    <row r="61" customFormat="false" ht="14.25" hidden="false" customHeight="false" outlineLevel="0" collapsed="false">
      <c r="A61" s="0" t="s">
        <v>1196</v>
      </c>
      <c r="B61" s="26" t="n">
        <v>200</v>
      </c>
    </row>
    <row r="62" customFormat="false" ht="14.25" hidden="false" customHeight="false" outlineLevel="0" collapsed="false">
      <c r="A62" s="0" t="s">
        <v>1197</v>
      </c>
      <c r="B62" s="26" t="n">
        <v>3</v>
      </c>
    </row>
    <row r="63" customFormat="false" ht="14.25" hidden="false" customHeight="false" outlineLevel="0" collapsed="false">
      <c r="A63" s="0" t="s">
        <v>1198</v>
      </c>
      <c r="B63" s="26" t="n">
        <v>200</v>
      </c>
    </row>
    <row r="64" customFormat="false" ht="14.25" hidden="false" customHeight="false" outlineLevel="0" collapsed="false">
      <c r="A64" s="0" t="s">
        <v>1199</v>
      </c>
      <c r="B64" s="26" t="n">
        <v>10</v>
      </c>
    </row>
    <row r="65" customFormat="false" ht="14.25" hidden="false" customHeight="false" outlineLevel="0" collapsed="false">
      <c r="A65" s="0" t="s">
        <v>1200</v>
      </c>
      <c r="B65" s="26" t="n">
        <v>200</v>
      </c>
    </row>
    <row r="66" customFormat="false" ht="14.25" hidden="false" customHeight="false" outlineLevel="0" collapsed="false">
      <c r="A66" s="0" t="s">
        <v>1201</v>
      </c>
      <c r="B66" s="26" t="n">
        <v>200</v>
      </c>
    </row>
    <row r="67" customFormat="false" ht="14.25" hidden="false" customHeight="false" outlineLevel="0" collapsed="false">
      <c r="A67" s="0" t="s">
        <v>1202</v>
      </c>
      <c r="B67" s="26" t="n">
        <v>200</v>
      </c>
    </row>
    <row r="68" customFormat="false" ht="14.25" hidden="false" customHeight="false" outlineLevel="0" collapsed="false">
      <c r="A68" s="0" t="s">
        <v>1203</v>
      </c>
      <c r="B68" s="26" t="n">
        <v>200</v>
      </c>
    </row>
    <row r="69" customFormat="false" ht="14.25" hidden="false" customHeight="false" outlineLevel="0" collapsed="false">
      <c r="A69" s="0" t="s">
        <v>1204</v>
      </c>
      <c r="B69" s="26" t="n">
        <v>200</v>
      </c>
    </row>
    <row r="70" customFormat="false" ht="14.25" hidden="false" customHeight="false" outlineLevel="0" collapsed="false">
      <c r="A70" s="0" t="s">
        <v>1205</v>
      </c>
      <c r="B70" s="26" t="s">
        <v>1206</v>
      </c>
    </row>
    <row r="71" customFormat="false" ht="14.25" hidden="false" customHeight="false" outlineLevel="0" collapsed="false">
      <c r="A71" s="0" t="s">
        <v>1207</v>
      </c>
      <c r="B71" s="26" t="n">
        <v>20</v>
      </c>
    </row>
    <row r="72" customFormat="false" ht="14.25" hidden="false" customHeight="false" outlineLevel="0" collapsed="false">
      <c r="A72" s="0" t="s">
        <v>697</v>
      </c>
      <c r="B72" s="26" t="n">
        <v>200</v>
      </c>
    </row>
    <row r="73" customFormat="false" ht="14.25" hidden="false" customHeight="false" outlineLevel="0" collapsed="false">
      <c r="A73" s="0" t="s">
        <v>698</v>
      </c>
      <c r="B73" s="26" t="n">
        <v>10</v>
      </c>
    </row>
    <row r="74" customFormat="false" ht="14.25" hidden="false" customHeight="false" outlineLevel="0" collapsed="false">
      <c r="A74" s="0" t="s">
        <v>1208</v>
      </c>
      <c r="B74" s="26" t="n">
        <v>200</v>
      </c>
    </row>
    <row r="75" customFormat="false" ht="14.25" hidden="false" customHeight="false" outlineLevel="0" collapsed="false">
      <c r="A75" s="0" t="s">
        <v>57</v>
      </c>
      <c r="B75" s="26" t="s">
        <v>1206</v>
      </c>
    </row>
    <row r="76" customFormat="false" ht="14.25" hidden="false" customHeight="false" outlineLevel="0" collapsed="false">
      <c r="A76" s="0" t="s">
        <v>58</v>
      </c>
      <c r="B76" s="26" t="n">
        <v>200</v>
      </c>
    </row>
    <row r="77" customFormat="false" ht="14.25" hidden="false" customHeight="false" outlineLevel="0" collapsed="false">
      <c r="A77" s="0" t="s">
        <v>1209</v>
      </c>
      <c r="B77" s="26" t="n">
        <v>10</v>
      </c>
    </row>
    <row r="78" customFormat="false" ht="14.25" hidden="false" customHeight="false" outlineLevel="0" collapsed="false">
      <c r="A78" s="0" t="s">
        <v>1210</v>
      </c>
      <c r="B78" s="26" t="n">
        <v>100</v>
      </c>
    </row>
    <row r="79" customFormat="false" ht="14.25" hidden="false" customHeight="false" outlineLevel="0" collapsed="false">
      <c r="A79" s="0" t="s">
        <v>1211</v>
      </c>
      <c r="B79" s="26" t="n">
        <v>100</v>
      </c>
    </row>
    <row r="80" customFormat="false" ht="14.25" hidden="false" customHeight="false" outlineLevel="0" collapsed="false">
      <c r="A80" s="0" t="s">
        <v>1212</v>
      </c>
      <c r="B80" s="26" t="n">
        <v>200</v>
      </c>
    </row>
    <row r="81" customFormat="false" ht="14.25" hidden="false" customHeight="false" outlineLevel="0" collapsed="false">
      <c r="A81" s="0" t="s">
        <v>1213</v>
      </c>
      <c r="B81" s="26" t="n">
        <v>200</v>
      </c>
    </row>
    <row r="82" customFormat="false" ht="14.25" hidden="false" customHeight="false" outlineLevel="0" collapsed="false">
      <c r="A82" s="0" t="s">
        <v>142</v>
      </c>
      <c r="B82" s="26" t="n">
        <v>200</v>
      </c>
    </row>
    <row r="83" customFormat="false" ht="14.25" hidden="false" customHeight="false" outlineLevel="0" collapsed="false">
      <c r="A83" s="0" t="s">
        <v>1214</v>
      </c>
      <c r="B83" s="26" t="n">
        <v>10</v>
      </c>
    </row>
    <row r="84" customFormat="false" ht="14.25" hidden="false" customHeight="false" outlineLevel="0" collapsed="false">
      <c r="A84" s="0" t="s">
        <v>1215</v>
      </c>
      <c r="B84" s="26" t="n">
        <v>1</v>
      </c>
    </row>
    <row r="85" customFormat="false" ht="14.25" hidden="false" customHeight="false" outlineLevel="0" collapsed="false">
      <c r="A85" s="0" t="s">
        <v>820</v>
      </c>
      <c r="B85" s="26" t="n">
        <v>200</v>
      </c>
    </row>
    <row r="86" customFormat="false" ht="14.25" hidden="false" customHeight="false" outlineLevel="0" collapsed="false">
      <c r="A86" s="0" t="s">
        <v>230</v>
      </c>
      <c r="B86" s="26" t="n">
        <v>200</v>
      </c>
    </row>
    <row r="87" customFormat="false" ht="14.25" hidden="false" customHeight="false" outlineLevel="0" collapsed="false">
      <c r="A87" s="0" t="s">
        <v>1216</v>
      </c>
      <c r="B87" s="26" t="n">
        <v>1</v>
      </c>
    </row>
    <row r="88" customFormat="false" ht="14.25" hidden="false" customHeight="false" outlineLevel="0" collapsed="false">
      <c r="A88" s="0" t="s">
        <v>231</v>
      </c>
      <c r="B88" s="26" t="n">
        <v>200</v>
      </c>
    </row>
    <row r="89" customFormat="false" ht="14.25" hidden="false" customHeight="false" outlineLevel="0" collapsed="false">
      <c r="A89" s="0" t="s">
        <v>60</v>
      </c>
      <c r="B89" s="26" t="n">
        <v>100</v>
      </c>
    </row>
    <row r="90" customFormat="false" ht="14.25" hidden="false" customHeight="false" outlineLevel="0" collapsed="false">
      <c r="A90" s="0" t="s">
        <v>61</v>
      </c>
      <c r="B90" s="26" t="n">
        <v>200</v>
      </c>
    </row>
    <row r="91" customFormat="false" ht="14.25" hidden="false" customHeight="false" outlineLevel="0" collapsed="false">
      <c r="A91" s="0" t="s">
        <v>1217</v>
      </c>
      <c r="B91" s="26" t="s">
        <v>147</v>
      </c>
    </row>
    <row r="92" customFormat="false" ht="14.25" hidden="false" customHeight="false" outlineLevel="0" collapsed="false">
      <c r="A92" s="0" t="s">
        <v>1218</v>
      </c>
      <c r="B92" s="26" t="s">
        <v>146</v>
      </c>
    </row>
    <row r="93" customFormat="false" ht="14.25" hidden="false" customHeight="false" outlineLevel="0" collapsed="false">
      <c r="A93" s="0" t="s">
        <v>62</v>
      </c>
      <c r="B93" s="26" t="n">
        <v>200</v>
      </c>
    </row>
    <row r="94" customFormat="false" ht="14.25" hidden="false" customHeight="false" outlineLevel="0" collapsed="false">
      <c r="A94" s="0" t="s">
        <v>1219</v>
      </c>
      <c r="B94" s="26" t="n">
        <v>200</v>
      </c>
    </row>
    <row r="95" customFormat="false" ht="14.25" hidden="false" customHeight="false" outlineLevel="0" collapsed="false">
      <c r="A95" s="0" t="s">
        <v>1220</v>
      </c>
      <c r="B95" s="26" t="n">
        <v>200</v>
      </c>
    </row>
    <row r="96" customFormat="false" ht="14.25" hidden="false" customHeight="false" outlineLevel="0" collapsed="false">
      <c r="A96" s="0" t="s">
        <v>1221</v>
      </c>
      <c r="B96" s="26" t="n">
        <v>200</v>
      </c>
    </row>
    <row r="97" customFormat="false" ht="14.25" hidden="false" customHeight="false" outlineLevel="0" collapsed="false">
      <c r="A97" s="0" t="s">
        <v>1222</v>
      </c>
      <c r="B97" s="26" t="n">
        <v>200</v>
      </c>
    </row>
    <row r="98" customFormat="false" ht="14.25" hidden="false" customHeight="false" outlineLevel="0" collapsed="false">
      <c r="A98" s="0" t="s">
        <v>63</v>
      </c>
      <c r="B98" s="26" t="n">
        <v>10</v>
      </c>
    </row>
    <row r="99" customFormat="false" ht="14.25" hidden="false" customHeight="false" outlineLevel="0" collapsed="false">
      <c r="A99" s="0" t="s">
        <v>450</v>
      </c>
      <c r="B99" s="26" t="n">
        <v>200</v>
      </c>
    </row>
    <row r="100" customFormat="false" ht="14.25" hidden="false" customHeight="false" outlineLevel="0" collapsed="false">
      <c r="A100" s="0" t="s">
        <v>1223</v>
      </c>
      <c r="B100" s="26" t="n">
        <v>200</v>
      </c>
    </row>
    <row r="101" customFormat="false" ht="14.25" hidden="false" customHeight="false" outlineLevel="0" collapsed="false">
      <c r="A101" s="0" t="s">
        <v>1224</v>
      </c>
      <c r="B101" s="26" t="n">
        <v>200</v>
      </c>
    </row>
    <row r="102" customFormat="false" ht="14.25" hidden="false" customHeight="false" outlineLevel="0" collapsed="false">
      <c r="A102" s="0" t="s">
        <v>1225</v>
      </c>
      <c r="B102" s="26" t="n">
        <v>100</v>
      </c>
    </row>
    <row r="103" customFormat="false" ht="14.25" hidden="false" customHeight="false" outlineLevel="0" collapsed="false">
      <c r="A103" s="0" t="s">
        <v>1226</v>
      </c>
      <c r="B103" s="26" t="s">
        <v>147</v>
      </c>
    </row>
    <row r="104" customFormat="false" ht="14.25" hidden="false" customHeight="false" outlineLevel="0" collapsed="false">
      <c r="A104" s="0" t="s">
        <v>1227</v>
      </c>
      <c r="B104" s="26" t="n">
        <v>3</v>
      </c>
    </row>
    <row r="105" customFormat="false" ht="14.25" hidden="false" customHeight="false" outlineLevel="0" collapsed="false">
      <c r="A105" s="0" t="s">
        <v>1228</v>
      </c>
      <c r="B105" s="26" t="n">
        <v>100</v>
      </c>
    </row>
    <row r="106" customFormat="false" ht="14.25" hidden="false" customHeight="false" outlineLevel="0" collapsed="false">
      <c r="A106" s="0" t="s">
        <v>1229</v>
      </c>
      <c r="B106" s="26" t="n">
        <v>75</v>
      </c>
    </row>
    <row r="107" customFormat="false" ht="14.25" hidden="false" customHeight="false" outlineLevel="0" collapsed="false">
      <c r="A107" s="0" t="s">
        <v>1230</v>
      </c>
      <c r="B107" s="26" t="n">
        <v>25</v>
      </c>
    </row>
    <row r="108" customFormat="false" ht="14.25" hidden="false" customHeight="false" outlineLevel="0" collapsed="false">
      <c r="A108" s="0" t="s">
        <v>1231</v>
      </c>
      <c r="B108" s="26" t="s">
        <v>1168</v>
      </c>
    </row>
    <row r="109" customFormat="false" ht="14.25" hidden="false" customHeight="false" outlineLevel="0" collapsed="false">
      <c r="A109" s="0" t="s">
        <v>1232</v>
      </c>
      <c r="B109" s="26" t="n">
        <v>200</v>
      </c>
    </row>
    <row r="110" customFormat="false" ht="14.25" hidden="false" customHeight="false" outlineLevel="0" collapsed="false">
      <c r="A110" s="0" t="s">
        <v>1233</v>
      </c>
      <c r="B110" s="26" t="s">
        <v>1206</v>
      </c>
    </row>
    <row r="111" customFormat="false" ht="14.25" hidden="false" customHeight="false" outlineLevel="0" collapsed="false">
      <c r="A111" s="0" t="s">
        <v>1234</v>
      </c>
      <c r="B111" s="26" t="n">
        <v>10</v>
      </c>
    </row>
    <row r="112" customFormat="false" ht="14.25" hidden="false" customHeight="false" outlineLevel="0" collapsed="false">
      <c r="A112" s="0" t="s">
        <v>1235</v>
      </c>
      <c r="B112" s="26" t="n">
        <v>200</v>
      </c>
    </row>
    <row r="113" customFormat="false" ht="14.25" hidden="false" customHeight="false" outlineLevel="0" collapsed="false">
      <c r="A113" s="0" t="s">
        <v>1236</v>
      </c>
      <c r="B113" s="26" t="s">
        <v>1237</v>
      </c>
    </row>
    <row r="114" customFormat="false" ht="14.25" hidden="false" customHeight="false" outlineLevel="0" collapsed="false">
      <c r="A114" s="0" t="s">
        <v>1238</v>
      </c>
      <c r="B114" s="26" t="n">
        <v>200</v>
      </c>
    </row>
    <row r="115" customFormat="false" ht="14.25" hidden="false" customHeight="false" outlineLevel="0" collapsed="false">
      <c r="A115" s="0" t="s">
        <v>1239</v>
      </c>
      <c r="B115" s="26" t="n">
        <v>200</v>
      </c>
    </row>
    <row r="116" customFormat="false" ht="14.25" hidden="false" customHeight="false" outlineLevel="0" collapsed="false">
      <c r="A116" s="0" t="s">
        <v>1240</v>
      </c>
      <c r="B116" s="26" t="n">
        <v>200</v>
      </c>
    </row>
    <row r="117" customFormat="false" ht="14.25" hidden="false" customHeight="false" outlineLevel="0" collapsed="false">
      <c r="A117" s="0" t="s">
        <v>1241</v>
      </c>
      <c r="B117" s="26" t="n">
        <v>200</v>
      </c>
    </row>
    <row r="118" customFormat="false" ht="14.25" hidden="false" customHeight="false" outlineLevel="0" collapsed="false">
      <c r="A118" s="0" t="s">
        <v>1242</v>
      </c>
      <c r="B118" s="26" t="n">
        <v>50</v>
      </c>
    </row>
    <row r="119" customFormat="false" ht="14.25" hidden="false" customHeight="false" outlineLevel="0" collapsed="false">
      <c r="A119" s="0" t="s">
        <v>1243</v>
      </c>
      <c r="B119" s="26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22.54"/>
    <col collapsed="false" customWidth="true" hidden="false" outlineLevel="0" max="2" min="2" style="26" width="18.45"/>
  </cols>
  <sheetData>
    <row r="1" customFormat="false" ht="14.25" hidden="false" customHeight="false" outlineLevel="0" collapsed="false">
      <c r="A1" s="0" t="s">
        <v>1244</v>
      </c>
      <c r="B1" s="26" t="s">
        <v>905</v>
      </c>
    </row>
    <row r="2" customFormat="false" ht="14.25" hidden="false" customHeight="false" outlineLevel="0" collapsed="false">
      <c r="A2" s="0" t="s">
        <v>806</v>
      </c>
      <c r="B2" s="26" t="s">
        <v>1245</v>
      </c>
    </row>
    <row r="3" customFormat="false" ht="14.25" hidden="false" customHeight="false" outlineLevel="0" collapsed="false">
      <c r="A3" s="0" t="s">
        <v>807</v>
      </c>
      <c r="B3" s="26" t="s">
        <v>1245</v>
      </c>
    </row>
    <row r="4" customFormat="false" ht="14.25" hidden="false" customHeight="false" outlineLevel="0" collapsed="false">
      <c r="A4" s="0" t="s">
        <v>1246</v>
      </c>
      <c r="B4" s="26" t="n">
        <v>16</v>
      </c>
    </row>
    <row r="5" customFormat="false" ht="14.25" hidden="false" customHeight="false" outlineLevel="0" collapsed="false">
      <c r="A5" s="0" t="s">
        <v>131</v>
      </c>
      <c r="B5" s="26" t="n">
        <v>10</v>
      </c>
    </row>
    <row r="6" customFormat="false" ht="14.25" hidden="false" customHeight="false" outlineLevel="0" collapsed="false">
      <c r="A6" s="0" t="s">
        <v>1247</v>
      </c>
      <c r="B6" s="26" t="n">
        <v>64</v>
      </c>
    </row>
    <row r="7" customFormat="false" ht="14.25" hidden="false" customHeight="false" outlineLevel="0" collapsed="false">
      <c r="A7" s="0" t="s">
        <v>1248</v>
      </c>
      <c r="B7" s="26" t="n">
        <v>64</v>
      </c>
    </row>
    <row r="8" customFormat="false" ht="14.25" hidden="false" customHeight="false" outlineLevel="0" collapsed="false">
      <c r="A8" s="0" t="s">
        <v>211</v>
      </c>
      <c r="B8" s="26" t="s">
        <v>1245</v>
      </c>
    </row>
    <row r="9" customFormat="false" ht="14.25" hidden="false" customHeight="false" outlineLevel="0" collapsed="false">
      <c r="A9" s="0" t="s">
        <v>494</v>
      </c>
      <c r="B9" s="26" t="s">
        <v>902</v>
      </c>
    </row>
    <row r="10" customFormat="false" ht="14.25" hidden="false" customHeight="false" outlineLevel="0" collapsed="false">
      <c r="A10" s="0" t="s">
        <v>1249</v>
      </c>
      <c r="B10" s="26" t="s">
        <v>237</v>
      </c>
    </row>
    <row r="11" customFormat="false" ht="14.25" hidden="false" customHeight="false" outlineLevel="0" collapsed="false">
      <c r="A11" s="0" t="s">
        <v>844</v>
      </c>
      <c r="B11" s="26" t="n">
        <v>200</v>
      </c>
    </row>
    <row r="12" customFormat="false" ht="14.25" hidden="false" customHeight="false" outlineLevel="0" collapsed="false">
      <c r="A12" s="0" t="s">
        <v>212</v>
      </c>
      <c r="B12" s="26" t="s">
        <v>1245</v>
      </c>
    </row>
    <row r="13" customFormat="false" ht="14.25" hidden="false" customHeight="false" outlineLevel="0" collapsed="false">
      <c r="A13" s="0" t="s">
        <v>495</v>
      </c>
      <c r="B13" s="26" t="s">
        <v>1250</v>
      </c>
    </row>
    <row r="14" customFormat="false" ht="14.25" hidden="false" customHeight="false" outlineLevel="0" collapsed="false">
      <c r="A14" s="0" t="s">
        <v>1251</v>
      </c>
      <c r="B14" s="26" t="s">
        <v>1250</v>
      </c>
    </row>
    <row r="15" customFormat="false" ht="14.25" hidden="false" customHeight="false" outlineLevel="0" collapsed="false">
      <c r="A15" s="0" t="s">
        <v>845</v>
      </c>
      <c r="B15" s="26" t="n">
        <v>200</v>
      </c>
    </row>
    <row r="16" customFormat="false" ht="14.25" hidden="false" customHeight="false" outlineLevel="0" collapsed="false">
      <c r="A16" s="0" t="s">
        <v>1252</v>
      </c>
      <c r="B16" s="26" t="n">
        <v>20</v>
      </c>
    </row>
    <row r="17" customFormat="false" ht="14.25" hidden="false" customHeight="false" outlineLevel="0" collapsed="false">
      <c r="A17" s="0" t="s">
        <v>1253</v>
      </c>
      <c r="B17" s="26" t="n">
        <v>16</v>
      </c>
    </row>
    <row r="18" customFormat="false" ht="14.25" hidden="false" customHeight="false" outlineLevel="0" collapsed="false">
      <c r="A18" s="0" t="s">
        <v>1254</v>
      </c>
      <c r="B18" s="26" t="n">
        <v>200</v>
      </c>
    </row>
    <row r="19" customFormat="false" ht="14.25" hidden="false" customHeight="false" outlineLevel="0" collapsed="false">
      <c r="A19" s="0" t="s">
        <v>1161</v>
      </c>
      <c r="B19" s="26" t="n">
        <v>200</v>
      </c>
    </row>
    <row r="20" customFormat="false" ht="14.25" hidden="false" customHeight="false" outlineLevel="0" collapsed="false">
      <c r="A20" s="0" t="s">
        <v>1255</v>
      </c>
      <c r="B20" s="26" t="n">
        <v>200</v>
      </c>
    </row>
    <row r="21" customFormat="false" ht="14.25" hidden="false" customHeight="false" outlineLevel="0" collapsed="false">
      <c r="A21" s="0" t="s">
        <v>1256</v>
      </c>
      <c r="B21" s="26" t="n">
        <v>128</v>
      </c>
    </row>
    <row r="22" customFormat="false" ht="14.25" hidden="false" customHeight="false" outlineLevel="0" collapsed="false">
      <c r="A22" s="0" t="s">
        <v>1257</v>
      </c>
      <c r="B22" s="26" t="s">
        <v>237</v>
      </c>
    </row>
    <row r="23" customFormat="false" ht="14.25" hidden="false" customHeight="false" outlineLevel="0" collapsed="false">
      <c r="A23" s="0" t="s">
        <v>1258</v>
      </c>
      <c r="B23" s="26" t="n">
        <v>256</v>
      </c>
    </row>
    <row r="24" customFormat="false" ht="14.25" hidden="false" customHeight="false" outlineLevel="0" collapsed="false">
      <c r="A24" s="0" t="s">
        <v>1259</v>
      </c>
      <c r="B24" s="26" t="n">
        <v>128</v>
      </c>
    </row>
    <row r="25" customFormat="false" ht="14.25" hidden="false" customHeight="false" outlineLevel="0" collapsed="false">
      <c r="A25" s="0" t="s">
        <v>134</v>
      </c>
      <c r="B25" s="26" t="n">
        <v>128</v>
      </c>
    </row>
    <row r="26" customFormat="false" ht="14.25" hidden="false" customHeight="false" outlineLevel="0" collapsed="false">
      <c r="A26" s="0" t="s">
        <v>213</v>
      </c>
      <c r="B26" s="26" t="s">
        <v>1245</v>
      </c>
    </row>
    <row r="27" customFormat="false" ht="14.25" hidden="false" customHeight="false" outlineLevel="0" collapsed="false">
      <c r="A27" s="0" t="s">
        <v>1260</v>
      </c>
      <c r="B27" s="26" t="s">
        <v>237</v>
      </c>
    </row>
    <row r="28" customFormat="false" ht="14.25" hidden="false" customHeight="false" outlineLevel="0" collapsed="false">
      <c r="A28" s="0" t="s">
        <v>214</v>
      </c>
      <c r="B28" s="26" t="s">
        <v>1245</v>
      </c>
    </row>
    <row r="29" customFormat="false" ht="14.25" hidden="false" customHeight="false" outlineLevel="0" collapsed="false">
      <c r="A29" s="0" t="s">
        <v>1261</v>
      </c>
      <c r="B29" s="26" t="n">
        <v>200</v>
      </c>
    </row>
    <row r="30" customFormat="false" ht="14.25" hidden="false" customHeight="false" outlineLevel="0" collapsed="false">
      <c r="A30" s="0" t="s">
        <v>1083</v>
      </c>
      <c r="B30" s="26" t="n">
        <v>200</v>
      </c>
    </row>
    <row r="31" customFormat="false" ht="14.25" hidden="false" customHeight="false" outlineLevel="0" collapsed="false">
      <c r="A31" s="0" t="s">
        <v>135</v>
      </c>
      <c r="B31" s="26" t="n">
        <v>128</v>
      </c>
    </row>
    <row r="32" customFormat="false" ht="14.25" hidden="false" customHeight="false" outlineLevel="0" collapsed="false">
      <c r="A32" s="0" t="s">
        <v>1262</v>
      </c>
      <c r="B32" s="26" t="n">
        <v>128</v>
      </c>
    </row>
    <row r="33" customFormat="false" ht="14.25" hidden="false" customHeight="false" outlineLevel="0" collapsed="false">
      <c r="A33" s="0" t="s">
        <v>215</v>
      </c>
      <c r="B33" s="26" t="s">
        <v>1245</v>
      </c>
    </row>
    <row r="34" customFormat="false" ht="14.25" hidden="false" customHeight="false" outlineLevel="0" collapsed="false">
      <c r="A34" s="0" t="s">
        <v>1263</v>
      </c>
      <c r="B34" s="26" t="s">
        <v>237</v>
      </c>
    </row>
    <row r="35" customFormat="false" ht="14.25" hidden="false" customHeight="false" outlineLevel="0" collapsed="false">
      <c r="A35" s="0" t="s">
        <v>216</v>
      </c>
      <c r="B35" s="26" t="s">
        <v>1245</v>
      </c>
    </row>
    <row r="36" customFormat="false" ht="14.25" hidden="false" customHeight="false" outlineLevel="0" collapsed="false">
      <c r="A36" s="0" t="s">
        <v>1264</v>
      </c>
      <c r="B36" s="26" t="n">
        <v>100</v>
      </c>
    </row>
    <row r="37" customFormat="false" ht="14.25" hidden="false" customHeight="false" outlineLevel="0" collapsed="false">
      <c r="A37" s="0" t="s">
        <v>1265</v>
      </c>
      <c r="B37" s="26" t="n">
        <v>100</v>
      </c>
    </row>
    <row r="38" customFormat="false" ht="14.25" hidden="false" customHeight="false" outlineLevel="0" collapsed="false">
      <c r="A38" s="0" t="s">
        <v>550</v>
      </c>
      <c r="B38" s="26" t="s">
        <v>901</v>
      </c>
    </row>
    <row r="39" customFormat="false" ht="14.25" hidden="false" customHeight="false" outlineLevel="0" collapsed="false">
      <c r="A39" s="0" t="s">
        <v>1266</v>
      </c>
      <c r="B39" s="26" t="s">
        <v>901</v>
      </c>
    </row>
    <row r="40" customFormat="false" ht="14.25" hidden="false" customHeight="false" outlineLevel="0" collapsed="false">
      <c r="A40" s="0" t="s">
        <v>1267</v>
      </c>
      <c r="B40" s="26" t="n">
        <v>512</v>
      </c>
    </row>
    <row r="41" customFormat="false" ht="14.25" hidden="false" customHeight="false" outlineLevel="0" collapsed="false">
      <c r="A41" s="0" t="s">
        <v>1268</v>
      </c>
      <c r="B41" s="26" t="n">
        <v>512</v>
      </c>
    </row>
    <row r="42" customFormat="false" ht="14.25" hidden="false" customHeight="false" outlineLevel="0" collapsed="false">
      <c r="A42" s="0" t="s">
        <v>952</v>
      </c>
      <c r="B42" s="26" t="s">
        <v>1245</v>
      </c>
    </row>
    <row r="43" customFormat="false" ht="14.25" hidden="false" customHeight="false" outlineLevel="0" collapsed="false">
      <c r="A43" s="0" t="s">
        <v>1269</v>
      </c>
      <c r="B43" s="26" t="s">
        <v>237</v>
      </c>
    </row>
    <row r="44" customFormat="false" ht="14.25" hidden="false" customHeight="false" outlineLevel="0" collapsed="false">
      <c r="A44" s="0" t="s">
        <v>1270</v>
      </c>
      <c r="B44" s="26" t="n">
        <v>200</v>
      </c>
    </row>
    <row r="45" customFormat="false" ht="14.25" hidden="false" customHeight="false" outlineLevel="0" collapsed="false">
      <c r="A45" s="0" t="s">
        <v>281</v>
      </c>
      <c r="B45" s="26" t="s">
        <v>1245</v>
      </c>
    </row>
    <row r="46" customFormat="false" ht="14.25" hidden="false" customHeight="false" outlineLevel="0" collapsed="false">
      <c r="A46" s="0" t="s">
        <v>1271</v>
      </c>
      <c r="B46" s="26" t="s">
        <v>1250</v>
      </c>
    </row>
    <row r="47" customFormat="false" ht="14.25" hidden="false" customHeight="false" outlineLevel="0" collapsed="false">
      <c r="A47" s="0" t="s">
        <v>1272</v>
      </c>
      <c r="B47" s="26" t="n">
        <v>200</v>
      </c>
    </row>
    <row r="48" customFormat="false" ht="14.25" hidden="false" customHeight="false" outlineLevel="0" collapsed="false">
      <c r="A48" s="0" t="s">
        <v>959</v>
      </c>
      <c r="B48" s="26" t="s">
        <v>1245</v>
      </c>
    </row>
    <row r="49" customFormat="false" ht="14.25" hidden="false" customHeight="false" outlineLevel="0" collapsed="false">
      <c r="A49" s="0" t="s">
        <v>1273</v>
      </c>
      <c r="B49" s="26" t="s">
        <v>237</v>
      </c>
    </row>
    <row r="50" customFormat="false" ht="14.25" hidden="false" customHeight="false" outlineLevel="0" collapsed="false">
      <c r="A50" s="0" t="s">
        <v>961</v>
      </c>
      <c r="B50" s="26" t="s">
        <v>1245</v>
      </c>
    </row>
    <row r="51" customFormat="false" ht="14.25" hidden="false" customHeight="false" outlineLevel="0" collapsed="false">
      <c r="A51" s="0" t="s">
        <v>1274</v>
      </c>
      <c r="B51" s="26" t="s">
        <v>237</v>
      </c>
    </row>
    <row r="52" customFormat="false" ht="14.25" hidden="false" customHeight="false" outlineLevel="0" collapsed="false">
      <c r="A52" s="0" t="s">
        <v>1275</v>
      </c>
      <c r="B52" s="26" t="n">
        <v>50</v>
      </c>
    </row>
    <row r="53" customFormat="false" ht="14.25" hidden="false" customHeight="false" outlineLevel="0" collapsed="false">
      <c r="A53" s="0" t="s">
        <v>878</v>
      </c>
      <c r="B53" s="26" t="n">
        <v>20</v>
      </c>
    </row>
    <row r="54" customFormat="false" ht="14.25" hidden="false" customHeight="false" outlineLevel="0" collapsed="false">
      <c r="A54" s="0" t="s">
        <v>846</v>
      </c>
      <c r="B54" s="26" t="n">
        <v>20</v>
      </c>
    </row>
    <row r="55" customFormat="false" ht="14.25" hidden="false" customHeight="false" outlineLevel="0" collapsed="false">
      <c r="A55" s="0" t="s">
        <v>1276</v>
      </c>
      <c r="B55" s="26" t="n">
        <v>8</v>
      </c>
    </row>
    <row r="56" customFormat="false" ht="14.25" hidden="false" customHeight="false" outlineLevel="0" collapsed="false">
      <c r="A56" s="0" t="s">
        <v>1277</v>
      </c>
      <c r="B56" s="26" t="s">
        <v>1245</v>
      </c>
    </row>
    <row r="57" customFormat="false" ht="14.25" hidden="false" customHeight="false" outlineLevel="0" collapsed="false">
      <c r="A57" s="0" t="s">
        <v>1278</v>
      </c>
      <c r="B57" s="26" t="s">
        <v>237</v>
      </c>
    </row>
    <row r="58" customFormat="false" ht="14.25" hidden="false" customHeight="false" outlineLevel="0" collapsed="false">
      <c r="A58" s="0" t="s">
        <v>979</v>
      </c>
      <c r="B58" s="26" t="s">
        <v>1245</v>
      </c>
    </row>
    <row r="59" customFormat="false" ht="14.25" hidden="false" customHeight="false" outlineLevel="0" collapsed="false">
      <c r="A59" s="0" t="s">
        <v>1279</v>
      </c>
      <c r="B59" s="26" t="s">
        <v>1280</v>
      </c>
    </row>
    <row r="60" customFormat="false" ht="14.25" hidden="false" customHeight="false" outlineLevel="0" collapsed="false">
      <c r="A60" s="0" t="s">
        <v>1281</v>
      </c>
      <c r="B60" s="26" t="n">
        <v>128</v>
      </c>
    </row>
    <row r="61" customFormat="false" ht="14.25" hidden="false" customHeight="false" outlineLevel="0" collapsed="false">
      <c r="A61" s="0" t="s">
        <v>1282</v>
      </c>
      <c r="B61" s="26" t="n">
        <v>1</v>
      </c>
    </row>
    <row r="62" customFormat="false" ht="14.25" hidden="false" customHeight="false" outlineLevel="0" collapsed="false">
      <c r="A62" s="0" t="s">
        <v>361</v>
      </c>
      <c r="B62" s="26" t="s">
        <v>396</v>
      </c>
    </row>
    <row r="63" customFormat="false" ht="14.25" hidden="false" customHeight="false" outlineLevel="0" collapsed="false">
      <c r="A63" s="0" t="s">
        <v>137</v>
      </c>
      <c r="B63" s="26" t="n">
        <v>128</v>
      </c>
    </row>
    <row r="64" customFormat="false" ht="14.25" hidden="false" customHeight="false" outlineLevel="0" collapsed="false">
      <c r="A64" s="0" t="s">
        <v>1283</v>
      </c>
      <c r="B64" s="26" t="n">
        <v>128</v>
      </c>
    </row>
    <row r="65" customFormat="false" ht="14.25" hidden="false" customHeight="false" outlineLevel="0" collapsed="false">
      <c r="A65" s="0" t="s">
        <v>1284</v>
      </c>
      <c r="B65" s="26" t="n">
        <v>512</v>
      </c>
    </row>
    <row r="66" customFormat="false" ht="14.25" hidden="false" customHeight="false" outlineLevel="0" collapsed="false">
      <c r="A66" s="0" t="s">
        <v>1285</v>
      </c>
      <c r="B66" s="26" t="s">
        <v>236</v>
      </c>
    </row>
    <row r="67" customFormat="false" ht="14.25" hidden="false" customHeight="false" outlineLevel="0" collapsed="false">
      <c r="A67" s="0" t="s">
        <v>1286</v>
      </c>
      <c r="B67" s="26" t="n">
        <v>200</v>
      </c>
    </row>
    <row r="68" customFormat="false" ht="14.25" hidden="false" customHeight="false" outlineLevel="0" collapsed="false">
      <c r="A68" s="0" t="s">
        <v>818</v>
      </c>
      <c r="B68" s="26" t="s">
        <v>1245</v>
      </c>
    </row>
    <row r="69" customFormat="false" ht="14.25" hidden="false" customHeight="false" outlineLevel="0" collapsed="false">
      <c r="A69" s="0" t="s">
        <v>1287</v>
      </c>
      <c r="B69" s="26" t="n">
        <v>200</v>
      </c>
    </row>
    <row r="70" customFormat="false" ht="14.25" hidden="false" customHeight="false" outlineLevel="0" collapsed="false">
      <c r="A70" s="0" t="s">
        <v>283</v>
      </c>
      <c r="B70" s="26" t="s">
        <v>1245</v>
      </c>
    </row>
    <row r="71" customFormat="false" ht="14.25" hidden="false" customHeight="false" outlineLevel="0" collapsed="false">
      <c r="A71" s="0" t="s">
        <v>502</v>
      </c>
      <c r="B71" s="26" t="n">
        <v>128</v>
      </c>
    </row>
    <row r="72" customFormat="false" ht="14.25" hidden="false" customHeight="false" outlineLevel="0" collapsed="false">
      <c r="A72" s="0" t="s">
        <v>1288</v>
      </c>
      <c r="B72" s="26" t="n">
        <v>200</v>
      </c>
    </row>
    <row r="73" customFormat="false" ht="14.25" hidden="false" customHeight="false" outlineLevel="0" collapsed="false">
      <c r="A73" s="0" t="s">
        <v>55</v>
      </c>
      <c r="B73" s="26" t="s">
        <v>396</v>
      </c>
    </row>
    <row r="74" customFormat="false" ht="14.25" hidden="false" customHeight="false" outlineLevel="0" collapsed="false">
      <c r="A74" s="0" t="s">
        <v>1007</v>
      </c>
      <c r="B74" s="26" t="s">
        <v>1245</v>
      </c>
    </row>
    <row r="75" customFormat="false" ht="14.25" hidden="false" customHeight="false" outlineLevel="0" collapsed="false">
      <c r="A75" s="0" t="s">
        <v>1289</v>
      </c>
      <c r="B75" s="26" t="s">
        <v>237</v>
      </c>
    </row>
    <row r="76" customFormat="false" ht="14.25" hidden="false" customHeight="false" outlineLevel="0" collapsed="false">
      <c r="A76" s="0" t="s">
        <v>1009</v>
      </c>
      <c r="B76" s="26" t="s">
        <v>1245</v>
      </c>
    </row>
    <row r="77" customFormat="false" ht="14.25" hidden="false" customHeight="false" outlineLevel="0" collapsed="false">
      <c r="A77" s="0" t="s">
        <v>1290</v>
      </c>
      <c r="B77" s="26" t="s">
        <v>1250</v>
      </c>
    </row>
    <row r="78" customFormat="false" ht="14.25" hidden="false" customHeight="false" outlineLevel="0" collapsed="false">
      <c r="A78" s="0" t="s">
        <v>1291</v>
      </c>
      <c r="B78" s="26" t="n">
        <v>128</v>
      </c>
    </row>
    <row r="79" customFormat="false" ht="14.25" hidden="false" customHeight="false" outlineLevel="0" collapsed="false">
      <c r="A79" s="0" t="s">
        <v>1292</v>
      </c>
      <c r="B79" s="26" t="n">
        <v>128</v>
      </c>
    </row>
    <row r="80" customFormat="false" ht="14.25" hidden="false" customHeight="false" outlineLevel="0" collapsed="false">
      <c r="A80" s="0" t="s">
        <v>57</v>
      </c>
      <c r="B80" s="26" t="s">
        <v>823</v>
      </c>
    </row>
    <row r="81" customFormat="false" ht="14.25" hidden="false" customHeight="false" outlineLevel="0" collapsed="false">
      <c r="A81" s="0" t="s">
        <v>1293</v>
      </c>
      <c r="B81" s="26" t="n">
        <v>64</v>
      </c>
    </row>
    <row r="82" customFormat="false" ht="14.25" hidden="false" customHeight="false" outlineLevel="0" collapsed="false">
      <c r="A82" s="0" t="s">
        <v>142</v>
      </c>
      <c r="B82" s="26" t="n">
        <v>128</v>
      </c>
    </row>
    <row r="83" customFormat="false" ht="14.25" hidden="false" customHeight="false" outlineLevel="0" collapsed="false">
      <c r="A83" s="0" t="s">
        <v>1294</v>
      </c>
      <c r="B83" s="26" t="n">
        <v>128</v>
      </c>
    </row>
    <row r="84" customFormat="false" ht="14.25" hidden="false" customHeight="false" outlineLevel="0" collapsed="false">
      <c r="A84" s="0" t="s">
        <v>1295</v>
      </c>
      <c r="B84" s="26" t="s">
        <v>1245</v>
      </c>
    </row>
    <row r="85" customFormat="false" ht="14.25" hidden="false" customHeight="false" outlineLevel="0" collapsed="false">
      <c r="A85" s="0" t="s">
        <v>820</v>
      </c>
      <c r="B85" s="26" t="s">
        <v>396</v>
      </c>
    </row>
    <row r="86" customFormat="false" ht="14.25" hidden="false" customHeight="false" outlineLevel="0" collapsed="false">
      <c r="A86" s="0" t="s">
        <v>853</v>
      </c>
      <c r="B86" s="26" t="n">
        <v>128</v>
      </c>
    </row>
    <row r="87" customFormat="false" ht="14.25" hidden="false" customHeight="false" outlineLevel="0" collapsed="false">
      <c r="A87" s="0" t="s">
        <v>61</v>
      </c>
      <c r="B87" s="26" t="n">
        <v>1</v>
      </c>
    </row>
    <row r="88" customFormat="false" ht="14.25" hidden="false" customHeight="false" outlineLevel="0" collapsed="false">
      <c r="A88" s="0" t="s">
        <v>821</v>
      </c>
      <c r="B88" s="26" t="n">
        <v>1</v>
      </c>
    </row>
    <row r="89" customFormat="false" ht="14.25" hidden="false" customHeight="false" outlineLevel="0" collapsed="false">
      <c r="A89" s="0" t="s">
        <v>1296</v>
      </c>
      <c r="B89" s="26" t="n">
        <v>128</v>
      </c>
    </row>
    <row r="90" customFormat="false" ht="14.25" hidden="false" customHeight="false" outlineLevel="0" collapsed="false">
      <c r="A90" s="0" t="s">
        <v>1297</v>
      </c>
      <c r="B90" s="26" t="s">
        <v>237</v>
      </c>
    </row>
    <row r="91" customFormat="false" ht="14.25" hidden="false" customHeight="false" outlineLevel="0" collapsed="false">
      <c r="A91" s="0" t="s">
        <v>1298</v>
      </c>
      <c r="B91" s="26" t="n">
        <v>128</v>
      </c>
    </row>
    <row r="92" customFormat="false" ht="14.25" hidden="false" customHeight="false" outlineLevel="0" collapsed="false">
      <c r="A92" s="0" t="s">
        <v>1034</v>
      </c>
      <c r="B92" s="26" t="s">
        <v>1245</v>
      </c>
    </row>
    <row r="93" customFormat="false" ht="14.25" hidden="false" customHeight="false" outlineLevel="0" collapsed="false">
      <c r="A93" s="0" t="s">
        <v>1299</v>
      </c>
      <c r="B93" s="26" t="s">
        <v>237</v>
      </c>
    </row>
    <row r="94" customFormat="false" ht="14.25" hidden="false" customHeight="false" outlineLevel="0" collapsed="false">
      <c r="A94" s="0" t="s">
        <v>1036</v>
      </c>
      <c r="B94" s="26" t="s">
        <v>237</v>
      </c>
    </row>
    <row r="95" customFormat="false" ht="14.25" hidden="false" customHeight="false" outlineLevel="0" collapsed="false">
      <c r="A95" s="0" t="s">
        <v>1300</v>
      </c>
      <c r="B95" s="26" t="s">
        <v>237</v>
      </c>
    </row>
    <row r="96" customFormat="false" ht="14.25" hidden="false" customHeight="false" outlineLevel="0" collapsed="false">
      <c r="A96" s="0" t="s">
        <v>1038</v>
      </c>
      <c r="B96" s="26" t="s">
        <v>1245</v>
      </c>
    </row>
    <row r="97" customFormat="false" ht="14.25" hidden="false" customHeight="false" outlineLevel="0" collapsed="false">
      <c r="A97" s="0" t="s">
        <v>1040</v>
      </c>
      <c r="B97" s="26" t="s">
        <v>1245</v>
      </c>
    </row>
    <row r="98" customFormat="false" ht="14.25" hidden="false" customHeight="false" outlineLevel="0" collapsed="false">
      <c r="A98" s="0" t="s">
        <v>1301</v>
      </c>
      <c r="B98" s="26" t="n">
        <v>128</v>
      </c>
    </row>
    <row r="99" customFormat="false" ht="14.25" hidden="false" customHeight="false" outlineLevel="0" collapsed="false">
      <c r="A99" s="0" t="s">
        <v>1302</v>
      </c>
      <c r="B99" s="26" t="n">
        <v>64</v>
      </c>
    </row>
    <row r="100" customFormat="false" ht="14.25" hidden="false" customHeight="false" outlineLevel="0" collapsed="false">
      <c r="A100" s="0" t="s">
        <v>1303</v>
      </c>
      <c r="B100" s="26" t="n">
        <v>128</v>
      </c>
    </row>
    <row r="101" customFormat="false" ht="14.25" hidden="false" customHeight="false" outlineLevel="0" collapsed="false">
      <c r="A101" s="0" t="s">
        <v>145</v>
      </c>
      <c r="B101" s="26" t="n">
        <v>10</v>
      </c>
    </row>
    <row r="102" customFormat="false" ht="14.25" hidden="false" customHeight="false" outlineLevel="0" collapsed="false">
      <c r="A102" s="0" t="s">
        <v>1304</v>
      </c>
      <c r="B102" s="26" t="n">
        <v>200</v>
      </c>
    </row>
    <row r="103" customFormat="false" ht="14.25" hidden="false" customHeight="false" outlineLevel="0" collapsed="false">
      <c r="A103" s="0" t="s">
        <v>1305</v>
      </c>
      <c r="B103" s="26" t="n">
        <v>200</v>
      </c>
    </row>
    <row r="104" customFormat="false" ht="14.25" hidden="false" customHeight="false" outlineLevel="0" collapsed="false">
      <c r="A104" s="0" t="s">
        <v>1306</v>
      </c>
      <c r="B104" s="26" t="n">
        <v>64</v>
      </c>
    </row>
    <row r="105" customFormat="false" ht="14.25" hidden="false" customHeight="false" outlineLevel="0" collapsed="false">
      <c r="A105" s="0" t="s">
        <v>1307</v>
      </c>
      <c r="B105" s="26" t="n">
        <v>200</v>
      </c>
    </row>
    <row r="106" customFormat="false" ht="14.25" hidden="false" customHeight="false" outlineLevel="0" collapsed="false">
      <c r="A106" s="0" t="s">
        <v>1308</v>
      </c>
      <c r="B106" s="26" t="n">
        <v>64</v>
      </c>
    </row>
    <row r="107" customFormat="false" ht="14.25" hidden="false" customHeight="false" outlineLevel="0" collapsed="false">
      <c r="A107" s="0" t="s">
        <v>1309</v>
      </c>
      <c r="B107" s="26" t="n">
        <v>200</v>
      </c>
    </row>
    <row r="108" customFormat="false" ht="14.25" hidden="false" customHeight="false" outlineLevel="0" collapsed="false">
      <c r="A108" s="0" t="s">
        <v>1310</v>
      </c>
      <c r="B108" s="26" t="n">
        <v>64</v>
      </c>
    </row>
    <row r="109" customFormat="false" ht="14.25" hidden="false" customHeight="false" outlineLevel="0" collapsed="false">
      <c r="A109" s="0" t="s">
        <v>1311</v>
      </c>
      <c r="B109" s="26" t="n">
        <v>16</v>
      </c>
    </row>
    <row r="110" customFormat="false" ht="14.25" hidden="false" customHeight="false" outlineLevel="0" collapsed="false">
      <c r="A110" s="0" t="s">
        <v>1312</v>
      </c>
      <c r="B110" s="26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26" width="28.36"/>
  </cols>
  <sheetData>
    <row r="1" customFormat="false" ht="14.25" hidden="false" customHeight="false" outlineLevel="0" collapsed="false">
      <c r="A1" s="0" t="s">
        <v>1313</v>
      </c>
      <c r="B1" s="26" t="s">
        <v>905</v>
      </c>
    </row>
    <row r="2" customFormat="false" ht="14.25" hidden="false" customHeight="false" outlineLevel="0" collapsed="false">
      <c r="A2" s="0" t="s">
        <v>806</v>
      </c>
      <c r="B2" s="26" t="n">
        <v>200</v>
      </c>
    </row>
    <row r="3" customFormat="false" ht="14.25" hidden="false" customHeight="false" outlineLevel="0" collapsed="false">
      <c r="A3" s="0" t="s">
        <v>807</v>
      </c>
      <c r="B3" s="26" t="n">
        <v>200</v>
      </c>
    </row>
    <row r="4" customFormat="false" ht="14.25" hidden="false" customHeight="false" outlineLevel="0" collapsed="false">
      <c r="A4" s="0" t="s">
        <v>690</v>
      </c>
      <c r="B4" s="26" t="s">
        <v>1314</v>
      </c>
    </row>
    <row r="5" customFormat="false" ht="14.25" hidden="false" customHeight="false" outlineLevel="0" collapsed="false">
      <c r="A5" s="0" t="s">
        <v>1315</v>
      </c>
      <c r="B5" s="26" t="s">
        <v>1316</v>
      </c>
    </row>
    <row r="6" customFormat="false" ht="14.25" hidden="false" customHeight="false" outlineLevel="0" collapsed="false">
      <c r="A6" s="0" t="s">
        <v>1317</v>
      </c>
      <c r="B6" s="26" t="s">
        <v>901</v>
      </c>
    </row>
    <row r="7" customFormat="false" ht="14.25" hidden="false" customHeight="false" outlineLevel="0" collapsed="false">
      <c r="A7" s="0" t="s">
        <v>1151</v>
      </c>
      <c r="B7" s="26" t="n">
        <v>32</v>
      </c>
    </row>
    <row r="8" customFormat="false" ht="14.25" hidden="false" customHeight="false" outlineLevel="0" collapsed="false">
      <c r="A8" s="0" t="s">
        <v>28</v>
      </c>
      <c r="B8" s="26" t="n">
        <v>32</v>
      </c>
    </row>
    <row r="9" customFormat="false" ht="14.25" hidden="false" customHeight="false" outlineLevel="0" collapsed="false">
      <c r="A9" s="0" t="s">
        <v>210</v>
      </c>
      <c r="B9" s="26" t="n">
        <v>64</v>
      </c>
    </row>
    <row r="10" customFormat="false" ht="14.25" hidden="false" customHeight="false" outlineLevel="0" collapsed="false">
      <c r="A10" s="0" t="s">
        <v>1318</v>
      </c>
      <c r="B10" s="26" t="n">
        <v>200</v>
      </c>
    </row>
    <row r="11" customFormat="false" ht="14.25" hidden="false" customHeight="false" outlineLevel="0" collapsed="false">
      <c r="A11" s="0" t="s">
        <v>29</v>
      </c>
      <c r="B11" s="26" t="s">
        <v>1319</v>
      </c>
    </row>
    <row r="12" customFormat="false" ht="14.25" hidden="false" customHeight="false" outlineLevel="0" collapsed="false">
      <c r="A12" s="0" t="s">
        <v>1320</v>
      </c>
      <c r="B12" s="26" t="n">
        <v>200</v>
      </c>
    </row>
    <row r="13" customFormat="false" ht="14.25" hidden="false" customHeight="false" outlineLevel="0" collapsed="false">
      <c r="A13" s="0" t="s">
        <v>1060</v>
      </c>
      <c r="B13" s="26" t="n">
        <v>256</v>
      </c>
    </row>
    <row r="14" customFormat="false" ht="14.25" hidden="false" customHeight="false" outlineLevel="0" collapsed="false">
      <c r="A14" s="0" t="s">
        <v>1154</v>
      </c>
      <c r="B14" s="26" t="n">
        <v>64</v>
      </c>
    </row>
    <row r="15" customFormat="false" ht="14.25" hidden="false" customHeight="false" outlineLevel="0" collapsed="false">
      <c r="A15" s="0" t="s">
        <v>1321</v>
      </c>
      <c r="B15" s="26" t="n">
        <v>64</v>
      </c>
    </row>
    <row r="16" customFormat="false" ht="14.25" hidden="false" customHeight="false" outlineLevel="0" collapsed="false">
      <c r="A16" s="0" t="s">
        <v>1322</v>
      </c>
      <c r="B16" s="26" t="n">
        <v>64</v>
      </c>
    </row>
    <row r="17" customFormat="false" ht="14.25" hidden="false" customHeight="false" outlineLevel="0" collapsed="false">
      <c r="A17" s="0" t="s">
        <v>1323</v>
      </c>
      <c r="B17" s="26" t="n">
        <v>16</v>
      </c>
    </row>
    <row r="18" customFormat="false" ht="14.25" hidden="false" customHeight="false" outlineLevel="0" collapsed="false">
      <c r="A18" s="0" t="s">
        <v>1324</v>
      </c>
      <c r="B18" s="26" t="n">
        <v>200</v>
      </c>
    </row>
    <row r="19" customFormat="false" ht="14.25" hidden="false" customHeight="false" outlineLevel="0" collapsed="false">
      <c r="A19" s="0" t="s">
        <v>211</v>
      </c>
      <c r="B19" s="26" t="s">
        <v>1325</v>
      </c>
    </row>
    <row r="20" customFormat="false" ht="14.25" hidden="false" customHeight="false" outlineLevel="0" collapsed="false">
      <c r="A20" s="0" t="s">
        <v>691</v>
      </c>
      <c r="B20" s="26" t="s">
        <v>1326</v>
      </c>
    </row>
    <row r="21" customFormat="false" ht="14.25" hidden="false" customHeight="false" outlineLevel="0" collapsed="false">
      <c r="A21" s="0" t="s">
        <v>212</v>
      </c>
      <c r="B21" s="26" t="s">
        <v>1325</v>
      </c>
    </row>
    <row r="22" customFormat="false" ht="14.25" hidden="false" customHeight="false" outlineLevel="0" collapsed="false">
      <c r="A22" s="0" t="s">
        <v>692</v>
      </c>
      <c r="B22" s="26" t="s">
        <v>1326</v>
      </c>
    </row>
    <row r="23" customFormat="false" ht="14.25" hidden="false" customHeight="false" outlineLevel="0" collapsed="false">
      <c r="A23" s="0" t="s">
        <v>1327</v>
      </c>
      <c r="B23" s="26" t="n">
        <v>64</v>
      </c>
    </row>
    <row r="24" customFormat="false" ht="14.25" hidden="false" customHeight="false" outlineLevel="0" collapsed="false">
      <c r="A24" s="0" t="s">
        <v>1328</v>
      </c>
      <c r="B24" s="26" t="n">
        <v>128</v>
      </c>
    </row>
    <row r="25" customFormat="false" ht="14.25" hidden="false" customHeight="false" outlineLevel="0" collapsed="false">
      <c r="A25" s="0" t="s">
        <v>1072</v>
      </c>
      <c r="B25" s="26" t="s">
        <v>1329</v>
      </c>
    </row>
    <row r="26" customFormat="false" ht="14.25" hidden="false" customHeight="false" outlineLevel="0" collapsed="false">
      <c r="A26" s="0" t="s">
        <v>809</v>
      </c>
      <c r="B26" s="26" t="s">
        <v>1330</v>
      </c>
    </row>
    <row r="27" customFormat="false" ht="14.25" hidden="false" customHeight="false" outlineLevel="0" collapsed="false">
      <c r="A27" s="0" t="s">
        <v>1331</v>
      </c>
      <c r="B27" s="26" t="n">
        <v>200</v>
      </c>
    </row>
    <row r="28" customFormat="false" ht="14.25" hidden="false" customHeight="false" outlineLevel="0" collapsed="false">
      <c r="A28" s="0" t="s">
        <v>1332</v>
      </c>
      <c r="B28" s="26" t="n">
        <v>256</v>
      </c>
    </row>
    <row r="29" customFormat="false" ht="14.25" hidden="false" customHeight="false" outlineLevel="0" collapsed="false">
      <c r="A29" s="0" t="s">
        <v>1333</v>
      </c>
      <c r="B29" s="26" t="s">
        <v>1334</v>
      </c>
    </row>
    <row r="30" customFormat="false" ht="14.25" hidden="false" customHeight="false" outlineLevel="0" collapsed="false">
      <c r="A30" s="0" t="s">
        <v>1335</v>
      </c>
      <c r="B30" s="26" t="n">
        <v>128</v>
      </c>
    </row>
    <row r="31" customFormat="false" ht="14.25" hidden="false" customHeight="false" outlineLevel="0" collapsed="false">
      <c r="A31" s="0" t="s">
        <v>1336</v>
      </c>
      <c r="B31" s="26" t="n">
        <v>200</v>
      </c>
    </row>
    <row r="32" customFormat="false" ht="14.25" hidden="false" customHeight="false" outlineLevel="0" collapsed="false">
      <c r="A32" s="0" t="s">
        <v>1337</v>
      </c>
      <c r="B32" s="26" t="n">
        <v>200</v>
      </c>
    </row>
    <row r="33" customFormat="false" ht="14.25" hidden="false" customHeight="false" outlineLevel="0" collapsed="false">
      <c r="A33" s="0" t="s">
        <v>1338</v>
      </c>
      <c r="B33" s="26" t="n">
        <v>200</v>
      </c>
    </row>
    <row r="34" customFormat="false" ht="14.25" hidden="false" customHeight="false" outlineLevel="0" collapsed="false">
      <c r="A34" s="0" t="s">
        <v>1339</v>
      </c>
      <c r="B34" s="26" t="s">
        <v>1326</v>
      </c>
    </row>
    <row r="35" customFormat="false" ht="14.25" hidden="false" customHeight="false" outlineLevel="0" collapsed="false">
      <c r="A35" s="0" t="s">
        <v>1340</v>
      </c>
      <c r="B35" s="26" t="s">
        <v>1326</v>
      </c>
    </row>
    <row r="36" customFormat="false" ht="14.25" hidden="false" customHeight="false" outlineLevel="0" collapsed="false">
      <c r="A36" s="0" t="s">
        <v>1156</v>
      </c>
      <c r="B36" s="26" t="n">
        <v>32</v>
      </c>
    </row>
    <row r="37" customFormat="false" ht="14.25" hidden="false" customHeight="false" outlineLevel="0" collapsed="false">
      <c r="A37" s="0" t="s">
        <v>693</v>
      </c>
      <c r="B37" s="26" t="s">
        <v>1341</v>
      </c>
    </row>
    <row r="38" customFormat="false" ht="14.25" hidden="false" customHeight="false" outlineLevel="0" collapsed="false">
      <c r="A38" s="0" t="s">
        <v>1075</v>
      </c>
      <c r="B38" s="26" t="s">
        <v>1342</v>
      </c>
    </row>
    <row r="39" customFormat="false" ht="14.25" hidden="false" customHeight="false" outlineLevel="0" collapsed="false">
      <c r="A39" s="0" t="s">
        <v>1343</v>
      </c>
      <c r="B39" s="26" t="s">
        <v>901</v>
      </c>
    </row>
    <row r="40" customFormat="false" ht="14.25" hidden="false" customHeight="false" outlineLevel="0" collapsed="false">
      <c r="A40" s="0" t="s">
        <v>1158</v>
      </c>
      <c r="B40" s="26" t="s">
        <v>1326</v>
      </c>
    </row>
    <row r="41" customFormat="false" ht="14.25" hidden="false" customHeight="false" outlineLevel="0" collapsed="false">
      <c r="A41" s="0" t="s">
        <v>1159</v>
      </c>
      <c r="B41" s="26" t="n">
        <v>200</v>
      </c>
    </row>
    <row r="42" customFormat="false" ht="14.25" hidden="false" customHeight="false" outlineLevel="0" collapsed="false">
      <c r="A42" s="0" t="s">
        <v>1078</v>
      </c>
      <c r="B42" s="26" t="n">
        <v>200</v>
      </c>
    </row>
    <row r="43" customFormat="false" ht="14.25" hidden="false" customHeight="false" outlineLevel="0" collapsed="false">
      <c r="A43" s="0" t="s">
        <v>1344</v>
      </c>
      <c r="B43" s="26" t="n">
        <v>256</v>
      </c>
    </row>
    <row r="44" customFormat="false" ht="14.25" hidden="false" customHeight="false" outlineLevel="0" collapsed="false">
      <c r="A44" s="0" t="s">
        <v>694</v>
      </c>
      <c r="B44" s="26" t="n">
        <v>256</v>
      </c>
    </row>
    <row r="45" customFormat="false" ht="14.25" hidden="false" customHeight="false" outlineLevel="0" collapsed="false">
      <c r="A45" s="0" t="s">
        <v>1345</v>
      </c>
      <c r="B45" s="26" t="n">
        <v>256</v>
      </c>
    </row>
    <row r="46" customFormat="false" ht="14.25" hidden="false" customHeight="false" outlineLevel="0" collapsed="false">
      <c r="A46" s="0" t="s">
        <v>1346</v>
      </c>
      <c r="B46" s="26" t="n">
        <v>256</v>
      </c>
    </row>
    <row r="47" customFormat="false" ht="14.25" hidden="false" customHeight="false" outlineLevel="0" collapsed="false">
      <c r="A47" s="0" t="s">
        <v>1347</v>
      </c>
      <c r="B47" s="26" t="n">
        <v>256</v>
      </c>
    </row>
    <row r="48" customFormat="false" ht="14.25" hidden="false" customHeight="false" outlineLevel="0" collapsed="false">
      <c r="A48" s="0" t="s">
        <v>471</v>
      </c>
      <c r="B48" s="26" t="n">
        <v>4</v>
      </c>
    </row>
    <row r="49" customFormat="false" ht="14.25" hidden="false" customHeight="false" outlineLevel="0" collapsed="false">
      <c r="A49" s="0" t="s">
        <v>1348</v>
      </c>
      <c r="B49" s="26" t="n">
        <v>32</v>
      </c>
    </row>
    <row r="50" customFormat="false" ht="14.25" hidden="false" customHeight="false" outlineLevel="0" collapsed="false">
      <c r="A50" s="0" t="s">
        <v>1349</v>
      </c>
      <c r="B50" s="26" t="n">
        <v>100</v>
      </c>
    </row>
    <row r="51" customFormat="false" ht="14.25" hidden="false" customHeight="false" outlineLevel="0" collapsed="false">
      <c r="A51" s="0" t="s">
        <v>1350</v>
      </c>
      <c r="B51" s="26" t="n">
        <v>32</v>
      </c>
    </row>
    <row r="52" customFormat="false" ht="14.25" hidden="false" customHeight="false" outlineLevel="0" collapsed="false">
      <c r="A52" s="0" t="s">
        <v>1163</v>
      </c>
      <c r="B52" s="26" t="n">
        <v>25</v>
      </c>
    </row>
    <row r="53" customFormat="false" ht="14.25" hidden="false" customHeight="false" outlineLevel="0" collapsed="false">
      <c r="A53" s="0" t="s">
        <v>1351</v>
      </c>
      <c r="B53" s="26" t="n">
        <v>25</v>
      </c>
    </row>
    <row r="54" customFormat="false" ht="14.25" hidden="false" customHeight="false" outlineLevel="0" collapsed="false">
      <c r="A54" s="0" t="s">
        <v>811</v>
      </c>
      <c r="B54" s="26" t="s">
        <v>1326</v>
      </c>
    </row>
    <row r="55" customFormat="false" ht="14.25" hidden="false" customHeight="false" outlineLevel="0" collapsed="false">
      <c r="A55" s="0" t="s">
        <v>666</v>
      </c>
      <c r="B55" s="26" t="s">
        <v>1326</v>
      </c>
    </row>
    <row r="56" customFormat="false" ht="14.25" hidden="false" customHeight="false" outlineLevel="0" collapsed="false">
      <c r="A56" s="0" t="s">
        <v>1352</v>
      </c>
      <c r="B56" s="26" t="n">
        <v>256</v>
      </c>
    </row>
    <row r="57" customFormat="false" ht="14.25" hidden="false" customHeight="false" outlineLevel="0" collapsed="false">
      <c r="A57" s="0" t="s">
        <v>1353</v>
      </c>
      <c r="B57" s="26" t="n">
        <v>200</v>
      </c>
    </row>
    <row r="58" customFormat="false" ht="14.25" hidden="false" customHeight="false" outlineLevel="0" collapsed="false">
      <c r="A58" s="0" t="s">
        <v>312</v>
      </c>
      <c r="B58" s="26" t="n">
        <v>200</v>
      </c>
    </row>
    <row r="59" customFormat="false" ht="14.25" hidden="false" customHeight="false" outlineLevel="0" collapsed="false">
      <c r="A59" s="0" t="s">
        <v>667</v>
      </c>
      <c r="B59" s="26" t="s">
        <v>1326</v>
      </c>
    </row>
    <row r="60" customFormat="false" ht="14.25" hidden="false" customHeight="false" outlineLevel="0" collapsed="false">
      <c r="A60" s="0" t="s">
        <v>1354</v>
      </c>
      <c r="B60" s="26" t="n">
        <v>256</v>
      </c>
    </row>
    <row r="61" customFormat="false" ht="14.25" hidden="false" customHeight="false" outlineLevel="0" collapsed="false">
      <c r="A61" s="0" t="s">
        <v>1355</v>
      </c>
      <c r="B61" s="26" t="n">
        <v>200</v>
      </c>
    </row>
    <row r="62" customFormat="false" ht="14.25" hidden="false" customHeight="false" outlineLevel="0" collapsed="false">
      <c r="A62" s="0" t="s">
        <v>134</v>
      </c>
      <c r="B62" s="26" t="n">
        <v>200</v>
      </c>
    </row>
    <row r="63" customFormat="false" ht="14.25" hidden="false" customHeight="false" outlineLevel="0" collapsed="false">
      <c r="A63" s="0" t="s">
        <v>1356</v>
      </c>
      <c r="B63" s="26" t="n">
        <v>200</v>
      </c>
    </row>
    <row r="64" customFormat="false" ht="14.25" hidden="false" customHeight="false" outlineLevel="0" collapsed="false">
      <c r="A64" s="0" t="s">
        <v>1357</v>
      </c>
      <c r="B64" s="26" t="n">
        <v>200</v>
      </c>
    </row>
    <row r="65" customFormat="false" ht="14.25" hidden="false" customHeight="false" outlineLevel="0" collapsed="false">
      <c r="A65" s="0" t="s">
        <v>213</v>
      </c>
      <c r="B65" s="26" t="s">
        <v>1326</v>
      </c>
    </row>
    <row r="66" customFormat="false" ht="14.25" hidden="false" customHeight="false" outlineLevel="0" collapsed="false">
      <c r="A66" s="0" t="s">
        <v>1260</v>
      </c>
      <c r="B66" s="26" t="n">
        <v>256</v>
      </c>
    </row>
    <row r="67" customFormat="false" ht="14.25" hidden="false" customHeight="false" outlineLevel="0" collapsed="false">
      <c r="A67" s="0" t="s">
        <v>1358</v>
      </c>
      <c r="B67" s="26" t="n">
        <v>256</v>
      </c>
    </row>
    <row r="68" customFormat="false" ht="14.25" hidden="false" customHeight="false" outlineLevel="0" collapsed="false">
      <c r="A68" s="0" t="s">
        <v>214</v>
      </c>
      <c r="B68" s="26" t="s">
        <v>1326</v>
      </c>
    </row>
    <row r="69" customFormat="false" ht="14.25" hidden="false" customHeight="false" outlineLevel="0" collapsed="false">
      <c r="A69" s="0" t="s">
        <v>1359</v>
      </c>
      <c r="B69" s="26" t="s">
        <v>1326</v>
      </c>
    </row>
    <row r="70" customFormat="false" ht="14.25" hidden="false" customHeight="false" outlineLevel="0" collapsed="false">
      <c r="A70" s="0" t="s">
        <v>1360</v>
      </c>
      <c r="B70" s="26" t="n">
        <v>256</v>
      </c>
    </row>
    <row r="71" customFormat="false" ht="14.25" hidden="false" customHeight="false" outlineLevel="0" collapsed="false">
      <c r="A71" s="0" t="s">
        <v>1361</v>
      </c>
      <c r="B71" s="26" t="n">
        <v>200</v>
      </c>
    </row>
    <row r="72" customFormat="false" ht="14.25" hidden="false" customHeight="false" outlineLevel="0" collapsed="false">
      <c r="A72" s="0" t="s">
        <v>1362</v>
      </c>
      <c r="B72" s="26" t="n">
        <v>256</v>
      </c>
    </row>
    <row r="73" customFormat="false" ht="14.25" hidden="false" customHeight="false" outlineLevel="0" collapsed="false">
      <c r="A73" s="0" t="s">
        <v>1083</v>
      </c>
      <c r="B73" s="26" t="n">
        <v>200</v>
      </c>
    </row>
    <row r="74" customFormat="false" ht="14.25" hidden="false" customHeight="false" outlineLevel="0" collapsed="false">
      <c r="A74" s="0" t="s">
        <v>1363</v>
      </c>
      <c r="B74" s="26" t="s">
        <v>1325</v>
      </c>
    </row>
    <row r="75" customFormat="false" ht="14.25" hidden="false" customHeight="false" outlineLevel="0" collapsed="false">
      <c r="A75" s="0" t="s">
        <v>1364</v>
      </c>
      <c r="B75" s="26" t="s">
        <v>1325</v>
      </c>
    </row>
    <row r="76" customFormat="false" ht="14.25" hidden="false" customHeight="false" outlineLevel="0" collapsed="false">
      <c r="A76" s="0" t="s">
        <v>1365</v>
      </c>
      <c r="B76" s="26" t="s">
        <v>1326</v>
      </c>
    </row>
    <row r="77" customFormat="false" ht="14.25" hidden="false" customHeight="false" outlineLevel="0" collapsed="false">
      <c r="A77" s="0" t="s">
        <v>135</v>
      </c>
      <c r="B77" s="26" t="n">
        <v>200</v>
      </c>
    </row>
    <row r="78" customFormat="false" ht="14.25" hidden="false" customHeight="false" outlineLevel="0" collapsed="false">
      <c r="A78" s="0" t="s">
        <v>463</v>
      </c>
      <c r="B78" s="26" t="n">
        <v>200</v>
      </c>
    </row>
    <row r="79" customFormat="false" ht="14.25" hidden="false" customHeight="false" outlineLevel="0" collapsed="false">
      <c r="A79" s="0" t="s">
        <v>215</v>
      </c>
      <c r="B79" s="26" t="s">
        <v>236</v>
      </c>
    </row>
    <row r="80" customFormat="false" ht="14.25" hidden="false" customHeight="false" outlineLevel="0" collapsed="false">
      <c r="A80" s="0" t="s">
        <v>216</v>
      </c>
      <c r="B80" s="26" t="s">
        <v>236</v>
      </c>
    </row>
    <row r="81" customFormat="false" ht="14.25" hidden="false" customHeight="false" outlineLevel="0" collapsed="false">
      <c r="A81" s="0" t="s">
        <v>217</v>
      </c>
      <c r="B81" s="26" t="s">
        <v>236</v>
      </c>
    </row>
    <row r="82" customFormat="false" ht="14.25" hidden="false" customHeight="false" outlineLevel="0" collapsed="false">
      <c r="A82" s="0" t="s">
        <v>1087</v>
      </c>
      <c r="B82" s="26" t="s">
        <v>1366</v>
      </c>
    </row>
    <row r="83" customFormat="false" ht="14.25" hidden="false" customHeight="false" outlineLevel="0" collapsed="false">
      <c r="A83" s="0" t="s">
        <v>1367</v>
      </c>
      <c r="B83" s="26" t="n">
        <v>100</v>
      </c>
    </row>
    <row r="84" customFormat="false" ht="14.25" hidden="false" customHeight="false" outlineLevel="0" collapsed="false">
      <c r="A84" s="0" t="s">
        <v>1368</v>
      </c>
      <c r="B84" s="26" t="n">
        <v>100</v>
      </c>
    </row>
    <row r="85" customFormat="false" ht="14.25" hidden="false" customHeight="false" outlineLevel="0" collapsed="false">
      <c r="A85" s="0" t="s">
        <v>1369</v>
      </c>
      <c r="B85" s="26" t="n">
        <v>100</v>
      </c>
    </row>
    <row r="86" customFormat="false" ht="14.25" hidden="false" customHeight="false" outlineLevel="0" collapsed="false">
      <c r="A86" s="0" t="s">
        <v>1370</v>
      </c>
      <c r="B86" s="26" t="n">
        <v>100</v>
      </c>
    </row>
    <row r="87" customFormat="false" ht="14.25" hidden="false" customHeight="false" outlineLevel="0" collapsed="false">
      <c r="A87" s="0" t="s">
        <v>1371</v>
      </c>
      <c r="B87" s="26" t="n">
        <v>200</v>
      </c>
    </row>
    <row r="88" customFormat="false" ht="14.25" hidden="false" customHeight="false" outlineLevel="0" collapsed="false">
      <c r="A88" s="0" t="s">
        <v>952</v>
      </c>
      <c r="B88" s="26" t="s">
        <v>1325</v>
      </c>
    </row>
    <row r="89" customFormat="false" ht="14.25" hidden="false" customHeight="false" outlineLevel="0" collapsed="false">
      <c r="A89" s="0" t="s">
        <v>695</v>
      </c>
      <c r="B89" s="26" t="s">
        <v>1326</v>
      </c>
    </row>
    <row r="90" customFormat="false" ht="14.25" hidden="false" customHeight="false" outlineLevel="0" collapsed="false">
      <c r="A90" s="0" t="s">
        <v>281</v>
      </c>
      <c r="B90" s="26" t="s">
        <v>1325</v>
      </c>
    </row>
    <row r="91" customFormat="false" ht="14.25" hidden="false" customHeight="false" outlineLevel="0" collapsed="false">
      <c r="A91" s="0" t="s">
        <v>696</v>
      </c>
      <c r="B91" s="26" t="s">
        <v>1326</v>
      </c>
    </row>
    <row r="92" customFormat="false" ht="14.25" hidden="false" customHeight="false" outlineLevel="0" collapsed="false">
      <c r="A92" s="0" t="s">
        <v>1094</v>
      </c>
      <c r="B92" s="26" t="n">
        <v>64</v>
      </c>
    </row>
    <row r="93" customFormat="false" ht="14.25" hidden="false" customHeight="false" outlineLevel="0" collapsed="false">
      <c r="A93" s="0" t="s">
        <v>1372</v>
      </c>
      <c r="B93" s="26" t="s">
        <v>901</v>
      </c>
    </row>
    <row r="94" customFormat="false" ht="14.25" hidden="false" customHeight="false" outlineLevel="0" collapsed="false">
      <c r="A94" s="0" t="s">
        <v>1373</v>
      </c>
      <c r="B94" s="26" t="s">
        <v>1374</v>
      </c>
    </row>
    <row r="95" customFormat="false" ht="14.25" hidden="false" customHeight="false" outlineLevel="0" collapsed="false">
      <c r="A95" s="0" t="s">
        <v>1375</v>
      </c>
      <c r="B95" s="26" t="n">
        <v>256</v>
      </c>
    </row>
    <row r="96" customFormat="false" ht="14.25" hidden="false" customHeight="false" outlineLevel="0" collapsed="false">
      <c r="A96" s="0" t="s">
        <v>1376</v>
      </c>
      <c r="B96" s="26" t="n">
        <v>10</v>
      </c>
    </row>
    <row r="97" customFormat="false" ht="14.25" hidden="false" customHeight="false" outlineLevel="0" collapsed="false">
      <c r="A97" s="0" t="s">
        <v>1377</v>
      </c>
      <c r="B97" s="26" t="n">
        <v>200</v>
      </c>
    </row>
    <row r="98" customFormat="false" ht="14.25" hidden="false" customHeight="false" outlineLevel="0" collapsed="false">
      <c r="A98" s="0" t="s">
        <v>599</v>
      </c>
      <c r="B98" s="26" t="n">
        <v>200</v>
      </c>
    </row>
    <row r="99" customFormat="false" ht="14.25" hidden="false" customHeight="false" outlineLevel="0" collapsed="false">
      <c r="A99" s="0" t="s">
        <v>1378</v>
      </c>
      <c r="B99" s="26" t="n">
        <v>200</v>
      </c>
    </row>
    <row r="100" customFormat="false" ht="14.25" hidden="false" customHeight="false" outlineLevel="0" collapsed="false">
      <c r="A100" s="0" t="s">
        <v>361</v>
      </c>
      <c r="B100" s="26" t="s">
        <v>1379</v>
      </c>
    </row>
    <row r="101" customFormat="false" ht="14.25" hidden="false" customHeight="false" outlineLevel="0" collapsed="false">
      <c r="A101" s="0" t="s">
        <v>218</v>
      </c>
      <c r="B101" s="26" t="n">
        <v>64</v>
      </c>
    </row>
    <row r="102" customFormat="false" ht="14.25" hidden="false" customHeight="false" outlineLevel="0" collapsed="false">
      <c r="A102" s="0" t="s">
        <v>1380</v>
      </c>
      <c r="B102" s="26" t="n">
        <v>200</v>
      </c>
    </row>
    <row r="103" customFormat="false" ht="14.25" hidden="false" customHeight="false" outlineLevel="0" collapsed="false">
      <c r="A103" s="0" t="s">
        <v>1381</v>
      </c>
      <c r="B103" s="26" t="n">
        <v>200</v>
      </c>
    </row>
    <row r="104" customFormat="false" ht="14.25" hidden="false" customHeight="false" outlineLevel="0" collapsed="false">
      <c r="A104" s="0" t="s">
        <v>219</v>
      </c>
      <c r="B104" s="26" t="n">
        <v>200</v>
      </c>
    </row>
    <row r="105" customFormat="false" ht="14.25" hidden="false" customHeight="false" outlineLevel="0" collapsed="false">
      <c r="A105" s="0" t="s">
        <v>1382</v>
      </c>
      <c r="B105" s="26" t="n">
        <v>200</v>
      </c>
    </row>
    <row r="106" customFormat="false" ht="14.25" hidden="false" customHeight="false" outlineLevel="0" collapsed="false">
      <c r="A106" s="0" t="s">
        <v>1383</v>
      </c>
      <c r="B106" s="26" t="n">
        <v>100</v>
      </c>
    </row>
    <row r="107" customFormat="false" ht="14.25" hidden="false" customHeight="false" outlineLevel="0" collapsed="false">
      <c r="A107" s="0" t="s">
        <v>1384</v>
      </c>
      <c r="B107" s="26" t="s">
        <v>1326</v>
      </c>
    </row>
    <row r="108" customFormat="false" ht="14.25" hidden="false" customHeight="false" outlineLevel="0" collapsed="false">
      <c r="A108" s="0" t="s">
        <v>1385</v>
      </c>
      <c r="B108" s="26" t="s">
        <v>1326</v>
      </c>
    </row>
    <row r="109" customFormat="false" ht="14.25" hidden="false" customHeight="false" outlineLevel="0" collapsed="false">
      <c r="A109" s="0" t="s">
        <v>1386</v>
      </c>
      <c r="B109" s="26" t="s">
        <v>1326</v>
      </c>
    </row>
    <row r="110" customFormat="false" ht="14.25" hidden="false" customHeight="false" outlineLevel="0" collapsed="false">
      <c r="A110" s="0" t="s">
        <v>1387</v>
      </c>
      <c r="B110" s="26" t="n">
        <v>200</v>
      </c>
    </row>
    <row r="111" customFormat="false" ht="14.25" hidden="false" customHeight="false" outlineLevel="0" collapsed="false">
      <c r="A111" s="0" t="s">
        <v>1388</v>
      </c>
      <c r="B111" s="26" t="n">
        <v>256</v>
      </c>
    </row>
    <row r="112" customFormat="false" ht="14.25" hidden="false" customHeight="false" outlineLevel="0" collapsed="false">
      <c r="A112" s="0" t="s">
        <v>1189</v>
      </c>
      <c r="B112" s="26" t="s">
        <v>1389</v>
      </c>
    </row>
    <row r="113" customFormat="false" ht="14.25" hidden="false" customHeight="false" outlineLevel="0" collapsed="false">
      <c r="A113" s="0" t="s">
        <v>1390</v>
      </c>
      <c r="B113" s="26" t="n">
        <v>64</v>
      </c>
    </row>
    <row r="114" customFormat="false" ht="14.25" hidden="false" customHeight="false" outlineLevel="0" collapsed="false">
      <c r="A114" s="0" t="s">
        <v>1391</v>
      </c>
      <c r="B114" s="26" t="n">
        <v>200</v>
      </c>
    </row>
    <row r="115" customFormat="false" ht="14.25" hidden="false" customHeight="false" outlineLevel="0" collapsed="false">
      <c r="A115" s="0" t="s">
        <v>1392</v>
      </c>
      <c r="B115" s="26" t="n">
        <v>256</v>
      </c>
    </row>
    <row r="116" customFormat="false" ht="14.25" hidden="false" customHeight="false" outlineLevel="0" collapsed="false">
      <c r="A116" s="0" t="s">
        <v>1393</v>
      </c>
      <c r="B116" s="26" t="n">
        <v>256</v>
      </c>
    </row>
    <row r="117" customFormat="false" ht="14.25" hidden="false" customHeight="false" outlineLevel="0" collapsed="false">
      <c r="A117" s="0" t="s">
        <v>1394</v>
      </c>
      <c r="B117" s="26" t="n">
        <v>200</v>
      </c>
    </row>
    <row r="118" customFormat="false" ht="14.25" hidden="false" customHeight="false" outlineLevel="0" collapsed="false">
      <c r="A118" s="0" t="s">
        <v>1395</v>
      </c>
      <c r="B118" s="26" t="n">
        <v>200</v>
      </c>
    </row>
    <row r="119" customFormat="false" ht="14.25" hidden="false" customHeight="false" outlineLevel="0" collapsed="false">
      <c r="A119" s="0" t="s">
        <v>1396</v>
      </c>
      <c r="B119" s="26" t="n">
        <v>64</v>
      </c>
    </row>
    <row r="120" customFormat="false" ht="14.25" hidden="false" customHeight="false" outlineLevel="0" collapsed="false">
      <c r="A120" s="0" t="s">
        <v>1397</v>
      </c>
      <c r="B120" s="26" t="n">
        <v>64</v>
      </c>
    </row>
    <row r="121" customFormat="false" ht="14.25" hidden="false" customHeight="false" outlineLevel="0" collapsed="false">
      <c r="A121" s="0" t="s">
        <v>1398</v>
      </c>
      <c r="B121" s="26" t="n">
        <v>64</v>
      </c>
    </row>
    <row r="122" customFormat="false" ht="14.25" hidden="false" customHeight="false" outlineLevel="0" collapsed="false">
      <c r="A122" s="0" t="s">
        <v>1109</v>
      </c>
      <c r="B122" s="26" t="s">
        <v>236</v>
      </c>
    </row>
    <row r="123" customFormat="false" ht="14.25" hidden="false" customHeight="false" outlineLevel="0" collapsed="false">
      <c r="A123" s="0" t="s">
        <v>1399</v>
      </c>
      <c r="B123" s="26" t="s">
        <v>1326</v>
      </c>
    </row>
    <row r="124" customFormat="false" ht="14.25" hidden="false" customHeight="false" outlineLevel="0" collapsed="false">
      <c r="A124" s="0" t="s">
        <v>1400</v>
      </c>
      <c r="B124" s="26" t="n">
        <v>200</v>
      </c>
    </row>
    <row r="125" customFormat="false" ht="14.25" hidden="false" customHeight="false" outlineLevel="0" collapsed="false">
      <c r="A125" s="0" t="s">
        <v>1401</v>
      </c>
      <c r="B125" s="26" t="n">
        <v>200</v>
      </c>
    </row>
    <row r="126" customFormat="false" ht="14.25" hidden="false" customHeight="false" outlineLevel="0" collapsed="false">
      <c r="A126" s="0" t="s">
        <v>1402</v>
      </c>
      <c r="B126" s="26" t="s">
        <v>1326</v>
      </c>
    </row>
    <row r="127" customFormat="false" ht="14.25" hidden="false" customHeight="false" outlineLevel="0" collapsed="false">
      <c r="A127" s="0" t="s">
        <v>1403</v>
      </c>
      <c r="B127" s="26" t="n">
        <v>256</v>
      </c>
    </row>
    <row r="128" customFormat="false" ht="14.25" hidden="false" customHeight="false" outlineLevel="0" collapsed="false">
      <c r="A128" s="0" t="s">
        <v>1404</v>
      </c>
      <c r="B128" s="26" t="n">
        <v>256</v>
      </c>
    </row>
    <row r="129" customFormat="false" ht="14.25" hidden="false" customHeight="false" outlineLevel="0" collapsed="false">
      <c r="A129" s="0" t="s">
        <v>1405</v>
      </c>
      <c r="B129" s="26" t="s">
        <v>236</v>
      </c>
    </row>
    <row r="130" customFormat="false" ht="14.25" hidden="false" customHeight="false" outlineLevel="0" collapsed="false">
      <c r="A130" s="0" t="s">
        <v>1406</v>
      </c>
      <c r="B130" s="26" t="n">
        <v>256</v>
      </c>
    </row>
    <row r="131" customFormat="false" ht="14.25" hidden="false" customHeight="false" outlineLevel="0" collapsed="false">
      <c r="A131" s="0" t="s">
        <v>1407</v>
      </c>
      <c r="B131" s="26" t="s">
        <v>1408</v>
      </c>
    </row>
    <row r="132" customFormat="false" ht="14.25" hidden="false" customHeight="false" outlineLevel="0" collapsed="false">
      <c r="A132" s="0" t="s">
        <v>1409</v>
      </c>
      <c r="B132" s="26" t="n">
        <v>256</v>
      </c>
    </row>
    <row r="133" customFormat="false" ht="14.25" hidden="false" customHeight="false" outlineLevel="0" collapsed="false">
      <c r="A133" s="0" t="s">
        <v>1410</v>
      </c>
      <c r="B133" s="26" t="n">
        <v>256</v>
      </c>
    </row>
    <row r="134" customFormat="false" ht="14.25" hidden="false" customHeight="false" outlineLevel="0" collapsed="false">
      <c r="A134" s="0" t="s">
        <v>1411</v>
      </c>
      <c r="B134" s="26" t="s">
        <v>236</v>
      </c>
    </row>
    <row r="135" customFormat="false" ht="14.25" hidden="false" customHeight="false" outlineLevel="0" collapsed="false">
      <c r="A135" s="0" t="s">
        <v>1412</v>
      </c>
      <c r="B135" s="26" t="n">
        <v>200</v>
      </c>
    </row>
    <row r="136" customFormat="false" ht="14.25" hidden="false" customHeight="false" outlineLevel="0" collapsed="false">
      <c r="A136" s="0" t="s">
        <v>137</v>
      </c>
      <c r="B136" s="26" t="n">
        <v>200</v>
      </c>
    </row>
    <row r="137" customFormat="false" ht="14.25" hidden="false" customHeight="false" outlineLevel="0" collapsed="false">
      <c r="A137" s="0" t="s">
        <v>220</v>
      </c>
      <c r="B137" s="26" t="s">
        <v>1325</v>
      </c>
    </row>
    <row r="138" customFormat="false" ht="14.25" hidden="false" customHeight="false" outlineLevel="0" collapsed="false">
      <c r="A138" s="0" t="s">
        <v>1413</v>
      </c>
      <c r="B138" s="26" t="n">
        <v>200</v>
      </c>
    </row>
    <row r="139" customFormat="false" ht="14.25" hidden="false" customHeight="false" outlineLevel="0" collapsed="false">
      <c r="A139" s="0" t="s">
        <v>221</v>
      </c>
      <c r="B139" s="26" t="s">
        <v>1325</v>
      </c>
    </row>
    <row r="140" customFormat="false" ht="14.25" hidden="false" customHeight="false" outlineLevel="0" collapsed="false">
      <c r="A140" s="0" t="s">
        <v>1414</v>
      </c>
      <c r="B140" s="26" t="s">
        <v>1415</v>
      </c>
    </row>
    <row r="141" customFormat="false" ht="14.25" hidden="false" customHeight="false" outlineLevel="0" collapsed="false">
      <c r="A141" s="0" t="s">
        <v>1416</v>
      </c>
      <c r="B141" s="26" t="s">
        <v>1417</v>
      </c>
    </row>
    <row r="142" customFormat="false" ht="14.25" hidden="false" customHeight="false" outlineLevel="0" collapsed="false">
      <c r="A142" s="0" t="s">
        <v>1418</v>
      </c>
      <c r="B142" s="26" t="n">
        <v>16</v>
      </c>
    </row>
    <row r="143" customFormat="false" ht="14.25" hidden="false" customHeight="false" outlineLevel="0" collapsed="false">
      <c r="A143" s="0" t="s">
        <v>1419</v>
      </c>
      <c r="B143" s="26" t="n">
        <v>25</v>
      </c>
    </row>
    <row r="144" customFormat="false" ht="14.25" hidden="false" customHeight="false" outlineLevel="0" collapsed="false">
      <c r="A144" s="0" t="s">
        <v>1420</v>
      </c>
      <c r="B144" s="26" t="s">
        <v>1421</v>
      </c>
    </row>
    <row r="145" customFormat="false" ht="14.25" hidden="false" customHeight="false" outlineLevel="0" collapsed="false">
      <c r="A145" s="0" t="s">
        <v>1422</v>
      </c>
      <c r="B145" s="26" t="n">
        <v>16</v>
      </c>
    </row>
    <row r="146" customFormat="false" ht="14.25" hidden="false" customHeight="false" outlineLevel="0" collapsed="false">
      <c r="A146" s="0" t="s">
        <v>1207</v>
      </c>
      <c r="B146" s="26" t="s">
        <v>1423</v>
      </c>
    </row>
    <row r="147" customFormat="false" ht="14.25" hidden="false" customHeight="false" outlineLevel="0" collapsed="false">
      <c r="A147" s="0" t="s">
        <v>1424</v>
      </c>
      <c r="B147" s="26" t="n">
        <v>128</v>
      </c>
    </row>
    <row r="148" customFormat="false" ht="14.25" hidden="false" customHeight="false" outlineLevel="0" collapsed="false">
      <c r="A148" s="0" t="s">
        <v>54</v>
      </c>
      <c r="B148" s="26" t="s">
        <v>1425</v>
      </c>
    </row>
    <row r="149" customFormat="false" ht="14.25" hidden="false" customHeight="false" outlineLevel="0" collapsed="false">
      <c r="A149" s="0" t="s">
        <v>1426</v>
      </c>
      <c r="B149" s="26" t="n">
        <v>256</v>
      </c>
    </row>
    <row r="150" customFormat="false" ht="14.25" hidden="false" customHeight="false" outlineLevel="0" collapsed="false">
      <c r="A150" s="0" t="s">
        <v>1427</v>
      </c>
      <c r="B150" s="26" t="n">
        <v>32</v>
      </c>
    </row>
    <row r="151" customFormat="false" ht="14.25" hidden="false" customHeight="false" outlineLevel="0" collapsed="false">
      <c r="A151" s="0" t="s">
        <v>1428</v>
      </c>
      <c r="B151" s="26" t="n">
        <v>32</v>
      </c>
    </row>
    <row r="152" customFormat="false" ht="14.25" hidden="false" customHeight="false" outlineLevel="0" collapsed="false">
      <c r="A152" s="0" t="s">
        <v>818</v>
      </c>
      <c r="B152" s="26" t="s">
        <v>1325</v>
      </c>
    </row>
    <row r="153" customFormat="false" ht="14.25" hidden="false" customHeight="false" outlineLevel="0" collapsed="false">
      <c r="A153" s="0" t="s">
        <v>697</v>
      </c>
      <c r="B153" s="26" t="s">
        <v>1326</v>
      </c>
    </row>
    <row r="154" customFormat="false" ht="14.25" hidden="false" customHeight="false" outlineLevel="0" collapsed="false">
      <c r="A154" s="0" t="s">
        <v>283</v>
      </c>
      <c r="B154" s="26" t="s">
        <v>1325</v>
      </c>
    </row>
    <row r="155" customFormat="false" ht="14.25" hidden="false" customHeight="false" outlineLevel="0" collapsed="false">
      <c r="A155" s="0" t="s">
        <v>698</v>
      </c>
      <c r="B155" s="26" t="s">
        <v>1326</v>
      </c>
    </row>
    <row r="156" customFormat="false" ht="14.25" hidden="false" customHeight="false" outlineLevel="0" collapsed="false">
      <c r="A156" s="0" t="s">
        <v>1429</v>
      </c>
      <c r="B156" s="26" t="n">
        <v>16</v>
      </c>
    </row>
    <row r="157" customFormat="false" ht="14.25" hidden="false" customHeight="false" outlineLevel="0" collapsed="false">
      <c r="A157" s="0" t="s">
        <v>55</v>
      </c>
      <c r="B157" s="26" t="n">
        <v>16</v>
      </c>
    </row>
    <row r="158" customFormat="false" ht="14.25" hidden="false" customHeight="false" outlineLevel="0" collapsed="false">
      <c r="A158" s="0" t="s">
        <v>1430</v>
      </c>
      <c r="B158" s="26" t="n">
        <v>16</v>
      </c>
    </row>
    <row r="159" customFormat="false" ht="14.25" hidden="false" customHeight="false" outlineLevel="0" collapsed="false">
      <c r="A159" s="0" t="s">
        <v>1431</v>
      </c>
      <c r="B159" s="26" t="s">
        <v>146</v>
      </c>
    </row>
    <row r="160" customFormat="false" ht="14.25" hidden="false" customHeight="false" outlineLevel="0" collapsed="false">
      <c r="A160" s="0" t="s">
        <v>1125</v>
      </c>
      <c r="B160" s="26" t="n">
        <v>100</v>
      </c>
    </row>
    <row r="161" customFormat="false" ht="14.25" hidden="false" customHeight="false" outlineLevel="0" collapsed="false">
      <c r="A161" s="0" t="s">
        <v>1432</v>
      </c>
      <c r="B161" s="26" t="n">
        <v>10</v>
      </c>
    </row>
    <row r="162" customFormat="false" ht="14.25" hidden="false" customHeight="false" outlineLevel="0" collapsed="false">
      <c r="A162" s="0" t="s">
        <v>1208</v>
      </c>
      <c r="B162" s="26" t="s">
        <v>1316</v>
      </c>
    </row>
    <row r="163" customFormat="false" ht="14.25" hidden="false" customHeight="false" outlineLevel="0" collapsed="false">
      <c r="A163" s="0" t="s">
        <v>1291</v>
      </c>
      <c r="B163" s="26" t="n">
        <v>16</v>
      </c>
    </row>
    <row r="164" customFormat="false" ht="14.25" hidden="false" customHeight="false" outlineLevel="0" collapsed="false">
      <c r="A164" s="0" t="s">
        <v>1433</v>
      </c>
      <c r="B164" s="26" t="n">
        <v>25</v>
      </c>
    </row>
    <row r="165" customFormat="false" ht="14.25" hidden="false" customHeight="false" outlineLevel="0" collapsed="false">
      <c r="A165" s="0" t="s">
        <v>1292</v>
      </c>
      <c r="B165" s="26" t="s">
        <v>1434</v>
      </c>
    </row>
    <row r="166" customFormat="false" ht="14.25" hidden="false" customHeight="false" outlineLevel="0" collapsed="false">
      <c r="A166" s="0" t="s">
        <v>1435</v>
      </c>
      <c r="B166" s="26" t="n">
        <v>25</v>
      </c>
    </row>
    <row r="167" customFormat="false" ht="14.25" hidden="false" customHeight="false" outlineLevel="0" collapsed="false">
      <c r="A167" s="0" t="s">
        <v>57</v>
      </c>
      <c r="B167" s="26" t="s">
        <v>1436</v>
      </c>
    </row>
    <row r="168" customFormat="false" ht="14.25" hidden="false" customHeight="false" outlineLevel="0" collapsed="false">
      <c r="A168" s="0" t="s">
        <v>1133</v>
      </c>
      <c r="B168" s="26" t="s">
        <v>1421</v>
      </c>
    </row>
    <row r="169" customFormat="false" ht="14.25" hidden="false" customHeight="false" outlineLevel="0" collapsed="false">
      <c r="A169" s="0" t="s">
        <v>1437</v>
      </c>
      <c r="B169" s="26" t="n">
        <v>25</v>
      </c>
    </row>
    <row r="170" customFormat="false" ht="14.25" hidden="false" customHeight="false" outlineLevel="0" collapsed="false">
      <c r="A170" s="0" t="s">
        <v>1438</v>
      </c>
      <c r="B170" s="26" t="n">
        <v>64</v>
      </c>
    </row>
    <row r="171" customFormat="false" ht="14.25" hidden="false" customHeight="false" outlineLevel="0" collapsed="false">
      <c r="A171" s="0" t="s">
        <v>1439</v>
      </c>
      <c r="B171" s="26" t="n">
        <v>1</v>
      </c>
    </row>
    <row r="172" customFormat="false" ht="14.25" hidden="false" customHeight="false" outlineLevel="0" collapsed="false">
      <c r="A172" s="0" t="s">
        <v>1440</v>
      </c>
      <c r="B172" s="26" t="n">
        <v>1</v>
      </c>
    </row>
    <row r="173" customFormat="false" ht="14.25" hidden="false" customHeight="false" outlineLevel="0" collapsed="false">
      <c r="A173" s="0" t="s">
        <v>1441</v>
      </c>
      <c r="B173" s="26" t="n">
        <v>32</v>
      </c>
    </row>
    <row r="174" customFormat="false" ht="14.25" hidden="false" customHeight="false" outlineLevel="0" collapsed="false">
      <c r="A174" s="0" t="s">
        <v>228</v>
      </c>
      <c r="B174" s="26" t="s">
        <v>1379</v>
      </c>
    </row>
    <row r="175" customFormat="false" ht="14.25" hidden="false" customHeight="false" outlineLevel="0" collapsed="false">
      <c r="A175" s="0" t="s">
        <v>58</v>
      </c>
      <c r="B175" s="26" t="s">
        <v>1442</v>
      </c>
    </row>
    <row r="176" customFormat="false" ht="14.25" hidden="false" customHeight="false" outlineLevel="0" collapsed="false">
      <c r="A176" s="0" t="s">
        <v>1443</v>
      </c>
      <c r="B176" s="26" t="n">
        <v>200</v>
      </c>
    </row>
    <row r="177" customFormat="false" ht="14.25" hidden="false" customHeight="false" outlineLevel="0" collapsed="false">
      <c r="A177" s="0" t="s">
        <v>229</v>
      </c>
      <c r="B177" s="26" t="n">
        <v>200</v>
      </c>
    </row>
    <row r="178" customFormat="false" ht="14.25" hidden="false" customHeight="false" outlineLevel="0" collapsed="false">
      <c r="A178" s="0" t="s">
        <v>1444</v>
      </c>
      <c r="B178" s="26" t="n">
        <v>200</v>
      </c>
    </row>
    <row r="179" customFormat="false" ht="14.25" hidden="false" customHeight="false" outlineLevel="0" collapsed="false">
      <c r="A179" s="0" t="s">
        <v>1445</v>
      </c>
      <c r="B179" s="26" t="n">
        <v>200</v>
      </c>
    </row>
    <row r="180" customFormat="false" ht="14.25" hidden="false" customHeight="false" outlineLevel="0" collapsed="false">
      <c r="A180" s="0" t="s">
        <v>1446</v>
      </c>
      <c r="B180" s="26" t="s">
        <v>1326</v>
      </c>
    </row>
    <row r="181" customFormat="false" ht="14.25" hidden="false" customHeight="false" outlineLevel="0" collapsed="false">
      <c r="A181" s="0" t="s">
        <v>1447</v>
      </c>
      <c r="B181" s="26" t="n">
        <v>200</v>
      </c>
    </row>
    <row r="182" customFormat="false" ht="14.25" hidden="false" customHeight="false" outlineLevel="0" collapsed="false">
      <c r="A182" s="0" t="s">
        <v>1448</v>
      </c>
      <c r="B182" s="26" t="s">
        <v>1326</v>
      </c>
    </row>
    <row r="183" customFormat="false" ht="14.25" hidden="false" customHeight="false" outlineLevel="0" collapsed="false">
      <c r="A183" s="0" t="s">
        <v>1449</v>
      </c>
      <c r="B183" s="26" t="n">
        <v>256</v>
      </c>
    </row>
    <row r="184" customFormat="false" ht="14.25" hidden="false" customHeight="false" outlineLevel="0" collapsed="false">
      <c r="A184" s="0" t="s">
        <v>1450</v>
      </c>
      <c r="B184" s="26" t="n">
        <v>200</v>
      </c>
    </row>
    <row r="185" customFormat="false" ht="14.25" hidden="false" customHeight="false" outlineLevel="0" collapsed="false">
      <c r="A185" s="0" t="s">
        <v>1451</v>
      </c>
      <c r="B185" s="26" t="n">
        <v>256</v>
      </c>
    </row>
    <row r="186" customFormat="false" ht="14.25" hidden="false" customHeight="false" outlineLevel="0" collapsed="false">
      <c r="A186" s="0" t="s">
        <v>1138</v>
      </c>
      <c r="B186" s="26" t="s">
        <v>236</v>
      </c>
    </row>
    <row r="187" customFormat="false" ht="14.25" hidden="false" customHeight="false" outlineLevel="0" collapsed="false">
      <c r="A187" s="0" t="s">
        <v>1452</v>
      </c>
      <c r="B187" s="26" t="n">
        <v>16</v>
      </c>
    </row>
    <row r="188" customFormat="false" ht="14.25" hidden="false" customHeight="false" outlineLevel="0" collapsed="false">
      <c r="A188" s="0" t="s">
        <v>1453</v>
      </c>
      <c r="B188" s="26" t="n">
        <v>1</v>
      </c>
    </row>
    <row r="189" customFormat="false" ht="14.25" hidden="false" customHeight="false" outlineLevel="0" collapsed="false">
      <c r="A189" s="0" t="s">
        <v>1454</v>
      </c>
      <c r="B189" s="26" t="n">
        <v>1</v>
      </c>
    </row>
    <row r="190" customFormat="false" ht="14.25" hidden="false" customHeight="false" outlineLevel="0" collapsed="false">
      <c r="A190" s="0" t="s">
        <v>1455</v>
      </c>
      <c r="B190" s="26" t="n">
        <v>1</v>
      </c>
    </row>
    <row r="191" customFormat="false" ht="14.25" hidden="false" customHeight="false" outlineLevel="0" collapsed="false">
      <c r="A191" s="0" t="s">
        <v>1456</v>
      </c>
      <c r="B191" s="26" t="s">
        <v>1326</v>
      </c>
    </row>
    <row r="192" customFormat="false" ht="14.25" hidden="false" customHeight="false" outlineLevel="0" collapsed="false">
      <c r="A192" s="0" t="s">
        <v>1457</v>
      </c>
      <c r="B192" s="26" t="n">
        <v>256</v>
      </c>
    </row>
    <row r="193" customFormat="false" ht="14.25" hidden="false" customHeight="false" outlineLevel="0" collapsed="false">
      <c r="A193" s="0" t="s">
        <v>1458</v>
      </c>
      <c r="B193" s="26" t="n">
        <v>256</v>
      </c>
    </row>
    <row r="194" customFormat="false" ht="14.25" hidden="false" customHeight="false" outlineLevel="0" collapsed="false">
      <c r="A194" s="0" t="s">
        <v>1459</v>
      </c>
      <c r="B194" s="26" t="s">
        <v>1326</v>
      </c>
    </row>
    <row r="195" customFormat="false" ht="14.25" hidden="false" customHeight="false" outlineLevel="0" collapsed="false">
      <c r="A195" s="0" t="s">
        <v>1460</v>
      </c>
      <c r="B195" s="26" t="n">
        <v>200</v>
      </c>
    </row>
    <row r="196" customFormat="false" ht="14.25" hidden="false" customHeight="false" outlineLevel="0" collapsed="false">
      <c r="A196" s="0" t="s">
        <v>1461</v>
      </c>
      <c r="B196" s="26" t="n">
        <v>200</v>
      </c>
    </row>
    <row r="197" customFormat="false" ht="14.25" hidden="false" customHeight="false" outlineLevel="0" collapsed="false">
      <c r="A197" s="0" t="s">
        <v>1462</v>
      </c>
      <c r="B197" s="26" t="s">
        <v>1326</v>
      </c>
    </row>
    <row r="198" customFormat="false" ht="14.25" hidden="false" customHeight="false" outlineLevel="0" collapsed="false">
      <c r="A198" s="0" t="s">
        <v>1463</v>
      </c>
      <c r="B198" s="26" t="n">
        <v>256</v>
      </c>
    </row>
    <row r="199" customFormat="false" ht="14.25" hidden="false" customHeight="false" outlineLevel="0" collapsed="false">
      <c r="A199" s="0" t="s">
        <v>1464</v>
      </c>
      <c r="B199" s="26" t="n">
        <v>256</v>
      </c>
    </row>
    <row r="200" customFormat="false" ht="14.25" hidden="false" customHeight="false" outlineLevel="0" collapsed="false">
      <c r="A200" s="0" t="s">
        <v>1465</v>
      </c>
      <c r="B200" s="26" t="s">
        <v>236</v>
      </c>
    </row>
    <row r="201" customFormat="false" ht="14.25" hidden="false" customHeight="false" outlineLevel="0" collapsed="false">
      <c r="A201" s="0" t="s">
        <v>1466</v>
      </c>
      <c r="B201" s="26" t="n">
        <v>256</v>
      </c>
    </row>
    <row r="202" customFormat="false" ht="14.25" hidden="false" customHeight="false" outlineLevel="0" collapsed="false">
      <c r="A202" s="0" t="s">
        <v>1467</v>
      </c>
      <c r="B202" s="26" t="s">
        <v>1326</v>
      </c>
    </row>
    <row r="203" customFormat="false" ht="14.25" hidden="false" customHeight="false" outlineLevel="0" collapsed="false">
      <c r="A203" s="0" t="s">
        <v>1468</v>
      </c>
      <c r="B203" s="26" t="n">
        <v>256</v>
      </c>
    </row>
    <row r="204" customFormat="false" ht="14.25" hidden="false" customHeight="false" outlineLevel="0" collapsed="false">
      <c r="A204" s="0" t="s">
        <v>1469</v>
      </c>
      <c r="B204" s="26" t="n">
        <v>256</v>
      </c>
    </row>
    <row r="205" customFormat="false" ht="14.25" hidden="false" customHeight="false" outlineLevel="0" collapsed="false">
      <c r="A205" s="0" t="s">
        <v>1470</v>
      </c>
      <c r="B205" s="26" t="s">
        <v>236</v>
      </c>
    </row>
    <row r="206" customFormat="false" ht="14.25" hidden="false" customHeight="false" outlineLevel="0" collapsed="false">
      <c r="A206" s="0" t="s">
        <v>1471</v>
      </c>
      <c r="B206" s="26" t="n">
        <v>200</v>
      </c>
    </row>
    <row r="207" customFormat="false" ht="14.25" hidden="false" customHeight="false" outlineLevel="0" collapsed="false">
      <c r="A207" s="0" t="s">
        <v>1213</v>
      </c>
      <c r="B207" s="26" t="s">
        <v>1316</v>
      </c>
    </row>
    <row r="208" customFormat="false" ht="14.25" hidden="false" customHeight="false" outlineLevel="0" collapsed="false">
      <c r="A208" s="0" t="s">
        <v>142</v>
      </c>
      <c r="B208" s="26" t="n">
        <v>200</v>
      </c>
    </row>
    <row r="209" customFormat="false" ht="14.25" hidden="false" customHeight="false" outlineLevel="0" collapsed="false">
      <c r="A209" s="0" t="s">
        <v>1472</v>
      </c>
      <c r="B209" s="26" t="n">
        <v>64</v>
      </c>
    </row>
    <row r="210" customFormat="false" ht="14.25" hidden="false" customHeight="false" outlineLevel="0" collapsed="false">
      <c r="A210" s="0" t="s">
        <v>1215</v>
      </c>
      <c r="B210" s="26" t="n">
        <v>10</v>
      </c>
    </row>
    <row r="211" customFormat="false" ht="14.25" hidden="false" customHeight="false" outlineLevel="0" collapsed="false">
      <c r="A211" s="0" t="s">
        <v>1473</v>
      </c>
      <c r="B211" s="26" t="s">
        <v>1186</v>
      </c>
    </row>
    <row r="212" customFormat="false" ht="14.25" hidden="false" customHeight="false" outlineLevel="0" collapsed="false">
      <c r="A212" s="0" t="s">
        <v>1474</v>
      </c>
      <c r="B212" s="26" t="n">
        <v>25</v>
      </c>
    </row>
    <row r="213" customFormat="false" ht="14.25" hidden="false" customHeight="false" outlineLevel="0" collapsed="false">
      <c r="A213" s="0" t="s">
        <v>820</v>
      </c>
      <c r="B213" s="26" t="s">
        <v>1475</v>
      </c>
    </row>
    <row r="214" customFormat="false" ht="14.25" hidden="false" customHeight="false" outlineLevel="0" collapsed="false">
      <c r="A214" s="0" t="s">
        <v>230</v>
      </c>
      <c r="B214" s="26" t="n">
        <v>16</v>
      </c>
    </row>
    <row r="215" customFormat="false" ht="14.25" hidden="false" customHeight="false" outlineLevel="0" collapsed="false">
      <c r="A215" s="0" t="s">
        <v>231</v>
      </c>
      <c r="B215" s="26" t="s">
        <v>1476</v>
      </c>
    </row>
    <row r="216" customFormat="false" ht="14.25" hidden="false" customHeight="false" outlineLevel="0" collapsed="false">
      <c r="A216" s="0" t="s">
        <v>60</v>
      </c>
      <c r="B216" s="26" t="s">
        <v>1477</v>
      </c>
    </row>
    <row r="217" customFormat="false" ht="14.25" hidden="false" customHeight="false" outlineLevel="0" collapsed="false">
      <c r="A217" s="0" t="s">
        <v>1478</v>
      </c>
      <c r="B217" s="26" t="n">
        <v>256</v>
      </c>
    </row>
    <row r="218" customFormat="false" ht="14.25" hidden="false" customHeight="false" outlineLevel="0" collapsed="false">
      <c r="A218" s="0" t="s">
        <v>1479</v>
      </c>
      <c r="B218" s="26" t="n">
        <v>256</v>
      </c>
    </row>
    <row r="219" customFormat="false" ht="14.25" hidden="false" customHeight="false" outlineLevel="0" collapsed="false">
      <c r="A219" s="0" t="s">
        <v>1480</v>
      </c>
      <c r="B219" s="26" t="n">
        <v>200</v>
      </c>
    </row>
    <row r="220" customFormat="false" ht="14.25" hidden="false" customHeight="false" outlineLevel="0" collapsed="false">
      <c r="A220" s="0" t="s">
        <v>1481</v>
      </c>
      <c r="B220" s="26" t="n">
        <v>100</v>
      </c>
    </row>
    <row r="221" customFormat="false" ht="14.25" hidden="false" customHeight="false" outlineLevel="0" collapsed="false">
      <c r="A221" s="0" t="s">
        <v>1482</v>
      </c>
      <c r="B221" s="26" t="n">
        <v>200</v>
      </c>
    </row>
    <row r="222" customFormat="false" ht="14.25" hidden="false" customHeight="false" outlineLevel="0" collapsed="false">
      <c r="A222" s="0" t="s">
        <v>286</v>
      </c>
      <c r="B222" s="26" t="n">
        <v>25</v>
      </c>
    </row>
    <row r="223" customFormat="false" ht="14.25" hidden="false" customHeight="false" outlineLevel="0" collapsed="false">
      <c r="A223" s="0" t="s">
        <v>61</v>
      </c>
      <c r="B223" s="26" t="s">
        <v>1483</v>
      </c>
    </row>
    <row r="224" customFormat="false" ht="14.25" hidden="false" customHeight="false" outlineLevel="0" collapsed="false">
      <c r="A224" s="0" t="s">
        <v>232</v>
      </c>
      <c r="B224" s="26" t="s">
        <v>1484</v>
      </c>
    </row>
    <row r="225" customFormat="false" ht="14.25" hidden="false" customHeight="false" outlineLevel="0" collapsed="false">
      <c r="A225" s="0" t="s">
        <v>1485</v>
      </c>
      <c r="B225" s="26" t="s">
        <v>1486</v>
      </c>
    </row>
    <row r="226" customFormat="false" ht="14.25" hidden="false" customHeight="false" outlineLevel="0" collapsed="false">
      <c r="A226" s="0" t="s">
        <v>1146</v>
      </c>
      <c r="B226" s="26" t="s">
        <v>146</v>
      </c>
    </row>
    <row r="227" customFormat="false" ht="14.25" hidden="false" customHeight="false" outlineLevel="0" collapsed="false">
      <c r="A227" s="0" t="s">
        <v>1487</v>
      </c>
      <c r="B227" s="26" t="n">
        <v>100</v>
      </c>
    </row>
    <row r="228" customFormat="false" ht="14.25" hidden="false" customHeight="false" outlineLevel="0" collapsed="false">
      <c r="A228" s="0" t="s">
        <v>1488</v>
      </c>
      <c r="B228" s="26" t="n">
        <v>100</v>
      </c>
    </row>
    <row r="229" customFormat="false" ht="14.25" hidden="false" customHeight="false" outlineLevel="0" collapsed="false">
      <c r="A229" s="0" t="s">
        <v>1489</v>
      </c>
      <c r="B229" s="26" t="s">
        <v>146</v>
      </c>
    </row>
    <row r="230" customFormat="false" ht="14.25" hidden="false" customHeight="false" outlineLevel="0" collapsed="false">
      <c r="A230" s="0" t="s">
        <v>1220</v>
      </c>
      <c r="B230" s="26" t="s">
        <v>234</v>
      </c>
    </row>
    <row r="231" customFormat="false" ht="14.25" hidden="false" customHeight="false" outlineLevel="0" collapsed="false">
      <c r="A231" s="0" t="s">
        <v>1148</v>
      </c>
      <c r="B231" s="26" t="n">
        <v>64</v>
      </c>
    </row>
    <row r="232" customFormat="false" ht="14.25" hidden="false" customHeight="false" outlineLevel="0" collapsed="false">
      <c r="A232" s="0" t="s">
        <v>1490</v>
      </c>
      <c r="B232" s="26" t="n">
        <v>10</v>
      </c>
    </row>
    <row r="233" customFormat="false" ht="14.25" hidden="false" customHeight="false" outlineLevel="0" collapsed="false">
      <c r="A233" s="0" t="s">
        <v>1491</v>
      </c>
      <c r="B233" s="26" t="n">
        <v>200</v>
      </c>
    </row>
    <row r="234" customFormat="false" ht="14.25" hidden="false" customHeight="false" outlineLevel="0" collapsed="false">
      <c r="A234" s="0" t="s">
        <v>1492</v>
      </c>
      <c r="B234" s="26" t="n">
        <v>10</v>
      </c>
    </row>
    <row r="235" customFormat="false" ht="14.25" hidden="false" customHeight="false" outlineLevel="0" collapsed="false">
      <c r="A235" s="0" t="s">
        <v>1240</v>
      </c>
      <c r="B235" s="26" t="s">
        <v>1316</v>
      </c>
    </row>
    <row r="236" customFormat="false" ht="14.25" hidden="false" customHeight="false" outlineLevel="0" collapsed="false">
      <c r="A236" s="0" t="s">
        <v>1493</v>
      </c>
      <c r="B236" s="26" t="n">
        <v>1</v>
      </c>
    </row>
    <row r="237" customFormat="false" ht="14.25" hidden="false" customHeight="false" outlineLevel="0" collapsed="false">
      <c r="A237" s="0" t="s">
        <v>1494</v>
      </c>
      <c r="B237" s="26" t="n">
        <v>1</v>
      </c>
    </row>
    <row r="238" customFormat="false" ht="14.25" hidden="false" customHeight="false" outlineLevel="0" collapsed="false">
      <c r="A238" s="0" t="s">
        <v>1495</v>
      </c>
      <c r="B238" s="26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0" width="17.73"/>
  </cols>
  <sheetData>
    <row r="1" customFormat="false" ht="14.25" hidden="false" customHeight="false" outlineLevel="0" collapsed="false">
      <c r="A1" s="0" t="s">
        <v>1496</v>
      </c>
    </row>
    <row r="2" customFormat="false" ht="14.25" hidden="false" customHeight="false" outlineLevel="0" collapsed="false">
      <c r="A2" s="0" t="s">
        <v>1497</v>
      </c>
      <c r="C2" s="2"/>
      <c r="D2" s="0" t="s">
        <v>1498</v>
      </c>
      <c r="F2" s="2"/>
      <c r="G2" s="0" t="s">
        <v>1499</v>
      </c>
    </row>
    <row r="3" customFormat="false" ht="14.25" hidden="false" customHeight="false" outlineLevel="0" collapsed="false">
      <c r="A3" s="79" t="s">
        <v>1500</v>
      </c>
      <c r="B3" s="79" t="s">
        <v>1501</v>
      </c>
      <c r="C3" s="80"/>
      <c r="D3" s="79" t="s">
        <v>1500</v>
      </c>
      <c r="E3" s="79" t="s">
        <v>1501</v>
      </c>
      <c r="F3" s="80"/>
      <c r="G3" s="79" t="s">
        <v>1502</v>
      </c>
      <c r="H3" s="79" t="s">
        <v>1501</v>
      </c>
    </row>
    <row r="4" customFormat="false" ht="14.25" hidden="false" customHeight="false" outlineLevel="0" collapsed="false">
      <c r="A4" s="0" t="s">
        <v>131</v>
      </c>
      <c r="B4" s="78" t="n">
        <v>32100</v>
      </c>
      <c r="C4" s="2"/>
      <c r="D4" s="0" t="s">
        <v>211</v>
      </c>
      <c r="E4" s="0" t="n">
        <v>256</v>
      </c>
      <c r="F4" s="2"/>
      <c r="G4" s="0" t="s">
        <v>131</v>
      </c>
      <c r="H4" s="26" t="s">
        <v>823</v>
      </c>
    </row>
    <row r="5" customFormat="false" ht="14.25" hidden="false" customHeight="false" outlineLevel="0" collapsed="false">
      <c r="A5" s="0" t="s">
        <v>211</v>
      </c>
      <c r="B5" s="26" t="s">
        <v>1503</v>
      </c>
      <c r="C5" s="2"/>
      <c r="D5" s="48" t="s">
        <v>212</v>
      </c>
      <c r="E5" s="0" t="n">
        <v>256</v>
      </c>
      <c r="F5" s="2"/>
      <c r="G5" s="0" t="s">
        <v>211</v>
      </c>
      <c r="H5" s="26" t="s">
        <v>397</v>
      </c>
    </row>
    <row r="6" customFormat="false" ht="14.25" hidden="false" customHeight="false" outlineLevel="0" collapsed="false">
      <c r="A6" s="0" t="s">
        <v>212</v>
      </c>
      <c r="B6" s="26" t="s">
        <v>1504</v>
      </c>
      <c r="C6" s="2"/>
      <c r="D6" s="0" t="s">
        <v>870</v>
      </c>
      <c r="E6" s="0" t="n">
        <v>256</v>
      </c>
      <c r="F6" s="2"/>
      <c r="G6" s="0" t="s">
        <v>212</v>
      </c>
      <c r="H6" s="26" t="s">
        <v>397</v>
      </c>
    </row>
    <row r="7" customFormat="false" ht="14.25" hidden="false" customHeight="false" outlineLevel="0" collapsed="false">
      <c r="A7" s="0" t="s">
        <v>868</v>
      </c>
      <c r="B7" s="26" t="s">
        <v>241</v>
      </c>
      <c r="C7" s="2"/>
      <c r="D7" s="0" t="s">
        <v>1505</v>
      </c>
      <c r="E7" s="0" t="n">
        <v>100</v>
      </c>
      <c r="F7" s="2"/>
      <c r="G7" s="0" t="s">
        <v>1506</v>
      </c>
      <c r="H7" s="26" t="s">
        <v>237</v>
      </c>
    </row>
    <row r="8" customFormat="false" ht="14.25" hidden="false" customHeight="false" outlineLevel="0" collapsed="false">
      <c r="A8" s="0" t="s">
        <v>870</v>
      </c>
      <c r="B8" s="26" t="s">
        <v>1507</v>
      </c>
      <c r="C8" s="2"/>
      <c r="D8" s="0" t="s">
        <v>1508</v>
      </c>
      <c r="E8" s="0" t="n">
        <v>100</v>
      </c>
      <c r="F8" s="2"/>
      <c r="G8" s="0" t="s">
        <v>1505</v>
      </c>
      <c r="H8" s="26" t="n">
        <v>100</v>
      </c>
    </row>
    <row r="9" customFormat="false" ht="14.25" hidden="false" customHeight="false" outlineLevel="0" collapsed="false">
      <c r="A9" s="0" t="s">
        <v>1505</v>
      </c>
      <c r="B9" s="26" t="n">
        <v>100</v>
      </c>
      <c r="C9" s="2"/>
      <c r="D9" s="0" t="s">
        <v>1509</v>
      </c>
      <c r="E9" s="0" t="n">
        <v>100</v>
      </c>
      <c r="F9" s="2"/>
      <c r="G9" s="0" t="s">
        <v>1508</v>
      </c>
      <c r="H9" s="26" t="n">
        <v>100</v>
      </c>
    </row>
    <row r="10" customFormat="false" ht="14.25" hidden="false" customHeight="false" outlineLevel="0" collapsed="false">
      <c r="A10" s="0" t="s">
        <v>1508</v>
      </c>
      <c r="B10" s="26" t="n">
        <v>100</v>
      </c>
      <c r="C10" s="2"/>
      <c r="D10" s="0" t="s">
        <v>1510</v>
      </c>
      <c r="E10" s="0" t="n">
        <v>100</v>
      </c>
      <c r="F10" s="2"/>
      <c r="G10" s="0" t="s">
        <v>1509</v>
      </c>
      <c r="H10" s="26" t="n">
        <v>100</v>
      </c>
    </row>
    <row r="11" customFormat="false" ht="14.25" hidden="false" customHeight="false" outlineLevel="0" collapsed="false">
      <c r="A11" s="0" t="s">
        <v>1509</v>
      </c>
      <c r="B11" s="26" t="n">
        <v>100</v>
      </c>
      <c r="C11" s="2"/>
      <c r="D11" s="0" t="s">
        <v>1511</v>
      </c>
      <c r="E11" s="0" t="n">
        <v>100</v>
      </c>
      <c r="F11" s="2"/>
      <c r="G11" s="0" t="s">
        <v>1510</v>
      </c>
      <c r="H11" s="26" t="n">
        <v>100</v>
      </c>
    </row>
    <row r="12" customFormat="false" ht="14.25" hidden="false" customHeight="false" outlineLevel="0" collapsed="false">
      <c r="A12" s="0" t="s">
        <v>1510</v>
      </c>
      <c r="B12" s="26" t="n">
        <v>100</v>
      </c>
      <c r="C12" s="2"/>
      <c r="D12" s="0" t="s">
        <v>666</v>
      </c>
      <c r="E12" s="0" t="n">
        <v>256</v>
      </c>
      <c r="F12" s="2"/>
      <c r="G12" s="0" t="s">
        <v>1511</v>
      </c>
      <c r="H12" s="26" t="n">
        <v>100</v>
      </c>
    </row>
    <row r="13" customFormat="false" ht="14.25" hidden="false" customHeight="false" outlineLevel="0" collapsed="false">
      <c r="A13" s="0" t="s">
        <v>1511</v>
      </c>
      <c r="B13" s="26" t="n">
        <v>100</v>
      </c>
      <c r="C13" s="2"/>
      <c r="D13" s="0" t="s">
        <v>667</v>
      </c>
      <c r="E13" s="0" t="n">
        <v>256</v>
      </c>
      <c r="F13" s="2"/>
      <c r="G13" s="0" t="s">
        <v>666</v>
      </c>
      <c r="H13" s="26" t="s">
        <v>397</v>
      </c>
    </row>
    <row r="14" customFormat="false" ht="14.25" hidden="false" customHeight="false" outlineLevel="0" collapsed="false">
      <c r="A14" s="0" t="s">
        <v>666</v>
      </c>
      <c r="B14" s="26" t="s">
        <v>1504</v>
      </c>
      <c r="C14" s="2"/>
      <c r="D14" s="0" t="s">
        <v>134</v>
      </c>
      <c r="E14" s="0" t="n">
        <v>256</v>
      </c>
      <c r="F14" s="2"/>
      <c r="G14" s="0" t="s">
        <v>667</v>
      </c>
      <c r="H14" s="26" t="s">
        <v>397</v>
      </c>
    </row>
    <row r="15" customFormat="false" ht="14.25" hidden="false" customHeight="false" outlineLevel="0" collapsed="false">
      <c r="A15" s="0" t="s">
        <v>667</v>
      </c>
      <c r="B15" s="26" t="s">
        <v>1504</v>
      </c>
      <c r="C15" s="2"/>
      <c r="D15" s="0" t="s">
        <v>952</v>
      </c>
      <c r="E15" s="0" t="n">
        <v>256</v>
      </c>
      <c r="F15" s="2"/>
      <c r="G15" s="0" t="s">
        <v>134</v>
      </c>
      <c r="H15" s="26" t="s">
        <v>241</v>
      </c>
    </row>
    <row r="16" customFormat="false" ht="14.25" hidden="false" customHeight="false" outlineLevel="0" collapsed="false">
      <c r="A16" s="0" t="s">
        <v>134</v>
      </c>
      <c r="B16" s="26" t="n">
        <v>512</v>
      </c>
      <c r="C16" s="2"/>
      <c r="D16" s="0" t="s">
        <v>281</v>
      </c>
      <c r="E16" s="0" t="n">
        <v>256</v>
      </c>
      <c r="F16" s="2"/>
      <c r="G16" s="0" t="s">
        <v>1512</v>
      </c>
      <c r="H16" s="26" t="s">
        <v>1513</v>
      </c>
    </row>
    <row r="17" customFormat="false" ht="14.25" hidden="false" customHeight="false" outlineLevel="0" collapsed="false">
      <c r="A17" s="0" t="s">
        <v>213</v>
      </c>
      <c r="B17" s="26" t="n">
        <v>200</v>
      </c>
      <c r="C17" s="2"/>
      <c r="D17" s="0" t="s">
        <v>818</v>
      </c>
      <c r="E17" s="0" t="n">
        <v>256</v>
      </c>
      <c r="F17" s="2"/>
      <c r="G17" s="0" t="s">
        <v>952</v>
      </c>
      <c r="H17" s="26" t="n">
        <v>128</v>
      </c>
    </row>
    <row r="18" customFormat="false" ht="14.25" hidden="false" customHeight="false" outlineLevel="0" collapsed="false">
      <c r="A18" s="0" t="s">
        <v>1514</v>
      </c>
      <c r="B18" s="26" t="n">
        <v>128</v>
      </c>
      <c r="C18" s="2"/>
      <c r="D18" s="0" t="s">
        <v>283</v>
      </c>
      <c r="E18" s="0" t="n">
        <v>256</v>
      </c>
      <c r="F18" s="2"/>
      <c r="G18" s="0" t="s">
        <v>281</v>
      </c>
      <c r="H18" s="26" t="n">
        <v>128</v>
      </c>
    </row>
    <row r="19" customFormat="false" ht="14.25" hidden="false" customHeight="false" outlineLevel="0" collapsed="false">
      <c r="A19" s="0" t="s">
        <v>214</v>
      </c>
      <c r="B19" s="26" t="n">
        <v>200</v>
      </c>
      <c r="C19" s="2"/>
      <c r="F19" s="2"/>
      <c r="G19" s="0" t="s">
        <v>878</v>
      </c>
      <c r="H19" s="26" t="s">
        <v>1515</v>
      </c>
    </row>
    <row r="20" customFormat="false" ht="14.25" hidden="false" customHeight="false" outlineLevel="0" collapsed="false">
      <c r="A20" s="0" t="s">
        <v>1359</v>
      </c>
      <c r="B20" s="26" t="n">
        <v>200</v>
      </c>
      <c r="C20" s="2"/>
      <c r="F20" s="2"/>
      <c r="G20" s="0" t="s">
        <v>1516</v>
      </c>
      <c r="H20" s="26" t="s">
        <v>241</v>
      </c>
    </row>
    <row r="21" customFormat="false" ht="14.25" hidden="false" customHeight="false" outlineLevel="0" collapsed="false">
      <c r="A21" s="0" t="s">
        <v>1512</v>
      </c>
      <c r="B21" s="26" t="n">
        <v>10</v>
      </c>
      <c r="C21" s="2"/>
      <c r="F21" s="2"/>
      <c r="G21" s="0" t="s">
        <v>1517</v>
      </c>
      <c r="H21" s="26" t="s">
        <v>1518</v>
      </c>
    </row>
    <row r="22" customFormat="false" ht="14.25" hidden="false" customHeight="false" outlineLevel="0" collapsed="false">
      <c r="A22" s="0" t="s">
        <v>952</v>
      </c>
      <c r="B22" s="26" t="s">
        <v>1504</v>
      </c>
      <c r="C22" s="2"/>
      <c r="F22" s="2"/>
      <c r="G22" s="0" t="s">
        <v>882</v>
      </c>
      <c r="H22" s="26" t="s">
        <v>236</v>
      </c>
    </row>
    <row r="23" customFormat="false" ht="14.25" hidden="false" customHeight="false" outlineLevel="0" collapsed="false">
      <c r="A23" s="0" t="s">
        <v>281</v>
      </c>
      <c r="B23" s="26" t="s">
        <v>1519</v>
      </c>
      <c r="C23" s="2"/>
      <c r="F23" s="2"/>
      <c r="G23" s="0" t="s">
        <v>1520</v>
      </c>
      <c r="H23" s="26" t="n">
        <v>256</v>
      </c>
    </row>
    <row r="24" customFormat="false" ht="14.25" hidden="false" customHeight="false" outlineLevel="0" collapsed="false">
      <c r="A24" s="48" t="s">
        <v>878</v>
      </c>
      <c r="B24" s="26" t="s">
        <v>1521</v>
      </c>
      <c r="C24" s="2"/>
      <c r="F24" s="2"/>
      <c r="G24" s="0" t="s">
        <v>883</v>
      </c>
      <c r="H24" s="26" t="n">
        <v>256</v>
      </c>
    </row>
    <row r="25" customFormat="false" ht="14.25" hidden="false" customHeight="false" outlineLevel="0" collapsed="false">
      <c r="A25" s="0" t="s">
        <v>1522</v>
      </c>
      <c r="B25" s="26" t="s">
        <v>1523</v>
      </c>
      <c r="C25" s="2"/>
      <c r="F25" s="2"/>
      <c r="G25" s="0" t="s">
        <v>884</v>
      </c>
      <c r="H25" s="26" t="s">
        <v>1524</v>
      </c>
    </row>
    <row r="26" customFormat="false" ht="14.25" hidden="false" customHeight="false" outlineLevel="0" collapsed="false">
      <c r="A26" s="0" t="s">
        <v>883</v>
      </c>
      <c r="B26" s="26" t="n">
        <v>256</v>
      </c>
      <c r="C26" s="2"/>
      <c r="F26" s="2"/>
      <c r="G26" s="0" t="s">
        <v>818</v>
      </c>
      <c r="H26" s="26" t="s">
        <v>397</v>
      </c>
    </row>
    <row r="27" customFormat="false" ht="14.25" hidden="false" customHeight="false" outlineLevel="0" collapsed="false">
      <c r="A27" s="0" t="s">
        <v>884</v>
      </c>
      <c r="B27" s="26" t="s">
        <v>1525</v>
      </c>
      <c r="C27" s="2"/>
      <c r="F27" s="2"/>
      <c r="G27" s="0" t="s">
        <v>283</v>
      </c>
      <c r="H27" s="26" t="s">
        <v>397</v>
      </c>
    </row>
    <row r="28" customFormat="false" ht="14.25" hidden="false" customHeight="false" outlineLevel="0" collapsed="false">
      <c r="A28" s="0" t="s">
        <v>818</v>
      </c>
      <c r="B28" s="26" t="s">
        <v>1504</v>
      </c>
      <c r="C28" s="2"/>
      <c r="F28" s="2"/>
      <c r="G28" s="0" t="s">
        <v>890</v>
      </c>
      <c r="H28" s="26" t="n">
        <v>64</v>
      </c>
    </row>
    <row r="29" customFormat="false" ht="14.25" hidden="false" customHeight="false" outlineLevel="0" collapsed="false">
      <c r="A29" s="0" t="s">
        <v>283</v>
      </c>
      <c r="B29" s="26" t="s">
        <v>1504</v>
      </c>
      <c r="C29" s="2"/>
      <c r="F29" s="2"/>
      <c r="G29" s="0" t="s">
        <v>891</v>
      </c>
      <c r="H29" s="26" t="s">
        <v>824</v>
      </c>
    </row>
    <row r="30" customFormat="false" ht="14.25" hidden="false" customHeight="false" outlineLevel="0" collapsed="false">
      <c r="A30" s="0" t="s">
        <v>892</v>
      </c>
      <c r="B30" s="26" t="s">
        <v>396</v>
      </c>
      <c r="C30" s="2"/>
      <c r="F30" s="2"/>
      <c r="G30" s="0" t="s">
        <v>892</v>
      </c>
      <c r="H30" s="26" t="n">
        <v>4</v>
      </c>
    </row>
    <row r="31" customFormat="false" ht="14.25" hidden="false" customHeight="false" outlineLevel="0" collapsed="false">
      <c r="A31" s="0" t="s">
        <v>141</v>
      </c>
      <c r="B31" s="26" t="n">
        <v>1</v>
      </c>
      <c r="C31" s="2"/>
      <c r="F31" s="2"/>
      <c r="G31" s="0" t="s">
        <v>1526</v>
      </c>
      <c r="H31" s="26" t="n">
        <v>32</v>
      </c>
    </row>
    <row r="32" customFormat="false" ht="14.25" hidden="false" customHeight="false" outlineLevel="0" collapsed="false">
      <c r="A32" s="0" t="s">
        <v>1527</v>
      </c>
      <c r="B32" s="26" t="s">
        <v>1523</v>
      </c>
      <c r="C32" s="2"/>
      <c r="F32" s="2"/>
      <c r="G32" s="0" t="s">
        <v>141</v>
      </c>
      <c r="H32" s="26" t="n">
        <v>4</v>
      </c>
    </row>
    <row r="33" customFormat="false" ht="14.25" hidden="false" customHeight="false" outlineLevel="0" collapsed="false">
      <c r="A33" s="0" t="s">
        <v>897</v>
      </c>
      <c r="B33" s="26" t="n">
        <v>256</v>
      </c>
      <c r="C33" s="2"/>
      <c r="F33" s="2"/>
      <c r="G33" s="0" t="s">
        <v>1528</v>
      </c>
      <c r="H33" s="26" t="n">
        <v>512</v>
      </c>
    </row>
    <row r="34" customFormat="false" ht="14.25" hidden="false" customHeight="false" outlineLevel="0" collapsed="false">
      <c r="A34" s="0" t="s">
        <v>143</v>
      </c>
      <c r="B34" s="26" t="s">
        <v>1529</v>
      </c>
      <c r="C34" s="2"/>
      <c r="F34" s="2"/>
      <c r="G34" s="0" t="s">
        <v>1530</v>
      </c>
      <c r="H34" s="26" t="n">
        <v>256</v>
      </c>
    </row>
    <row r="35" customFormat="false" ht="14.25" hidden="false" customHeight="false" outlineLevel="0" collapsed="false">
      <c r="A35" s="0" t="s">
        <v>898</v>
      </c>
      <c r="B35" s="26" t="s">
        <v>396</v>
      </c>
      <c r="C35" s="2"/>
      <c r="F35" s="2"/>
      <c r="G35" s="0" t="s">
        <v>1531</v>
      </c>
      <c r="H35" s="26" t="n">
        <v>256</v>
      </c>
    </row>
    <row r="36" customFormat="false" ht="14.25" hidden="false" customHeight="false" outlineLevel="0" collapsed="false">
      <c r="A36" s="0" t="s">
        <v>899</v>
      </c>
      <c r="B36" s="26" t="n">
        <v>32</v>
      </c>
      <c r="C36" s="2"/>
      <c r="F36" s="2"/>
      <c r="G36" s="0" t="s">
        <v>143</v>
      </c>
      <c r="H36" s="26" t="s">
        <v>236</v>
      </c>
    </row>
    <row r="37" customFormat="false" ht="14.25" hidden="false" customHeight="false" outlineLevel="0" collapsed="false">
      <c r="A37" s="0" t="s">
        <v>1532</v>
      </c>
      <c r="B37" s="26" t="n">
        <v>32</v>
      </c>
      <c r="C37" s="2"/>
      <c r="F37" s="2"/>
      <c r="G37" s="0" t="s">
        <v>898</v>
      </c>
      <c r="H37" s="26" t="n">
        <v>4</v>
      </c>
    </row>
    <row r="38" customFormat="false" ht="14.25" hidden="false" customHeight="false" outlineLevel="0" collapsed="false">
      <c r="A38" s="0" t="s">
        <v>145</v>
      </c>
      <c r="B38" s="26" t="s">
        <v>1521</v>
      </c>
      <c r="C38" s="2"/>
      <c r="F38" s="2"/>
      <c r="G38" s="0" t="s">
        <v>1532</v>
      </c>
      <c r="H38" s="26" t="s">
        <v>1533</v>
      </c>
    </row>
    <row r="39" customFormat="false" ht="14.25" hidden="false" customHeight="false" outlineLevel="0" collapsed="false">
      <c r="C39" s="2"/>
      <c r="F39" s="2"/>
      <c r="G39" s="0" t="s">
        <v>145</v>
      </c>
      <c r="H39" s="26" t="s">
        <v>1533</v>
      </c>
    </row>
    <row r="40" customFormat="false" ht="14.25" hidden="false" customHeight="false" outlineLevel="0" collapsed="false">
      <c r="C40" s="2"/>
      <c r="F40" s="2"/>
      <c r="G40" s="0" t="s">
        <v>1534</v>
      </c>
      <c r="H40" s="26" t="s">
        <v>824</v>
      </c>
    </row>
    <row r="41" customFormat="false" ht="14.25" hidden="false" customHeight="false" outlineLevel="0" collapsed="false">
      <c r="C41" s="2"/>
      <c r="F41" s="2"/>
      <c r="G41" s="48" t="s">
        <v>884</v>
      </c>
      <c r="H41" s="26" t="n">
        <v>16</v>
      </c>
    </row>
    <row r="42" customFormat="false" ht="14.25" hidden="false" customHeight="false" outlineLevel="0" collapsed="false">
      <c r="C42" s="2"/>
      <c r="F42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17.09"/>
    <col collapsed="false" customWidth="true" hidden="false" outlineLevel="0" max="2" min="2" style="26" width="17.09"/>
  </cols>
  <sheetData>
    <row r="1" customFormat="false" ht="14.25" hidden="false" customHeight="false" outlineLevel="0" collapsed="false">
      <c r="A1" s="0" t="s">
        <v>1535</v>
      </c>
      <c r="B1" s="26" t="s">
        <v>905</v>
      </c>
    </row>
    <row r="2" customFormat="false" ht="14.25" hidden="false" customHeight="false" outlineLevel="0" collapsed="false">
      <c r="A2" s="0" t="s">
        <v>806</v>
      </c>
      <c r="B2" s="26" t="n">
        <v>256</v>
      </c>
    </row>
    <row r="3" customFormat="false" ht="14.25" hidden="false" customHeight="false" outlineLevel="0" collapsed="false">
      <c r="A3" s="0" t="s">
        <v>807</v>
      </c>
      <c r="B3" s="26" t="n">
        <v>256</v>
      </c>
    </row>
    <row r="4" customFormat="false" ht="14.25" hidden="false" customHeight="false" outlineLevel="0" collapsed="false">
      <c r="A4" s="0" t="s">
        <v>1315</v>
      </c>
      <c r="B4" s="26" t="n">
        <v>32</v>
      </c>
    </row>
    <row r="5" customFormat="false" ht="14.25" hidden="false" customHeight="false" outlineLevel="0" collapsed="false">
      <c r="A5" s="0" t="s">
        <v>1536</v>
      </c>
      <c r="B5" s="26" t="n">
        <v>64</v>
      </c>
    </row>
    <row r="6" customFormat="false" ht="14.25" hidden="false" customHeight="false" outlineLevel="0" collapsed="false">
      <c r="A6" s="0" t="s">
        <v>28</v>
      </c>
      <c r="B6" s="26" t="s">
        <v>1537</v>
      </c>
    </row>
    <row r="7" customFormat="false" ht="14.25" hidden="false" customHeight="false" outlineLevel="0" collapsed="false">
      <c r="A7" s="0" t="s">
        <v>1151</v>
      </c>
      <c r="B7" s="26" t="n">
        <v>32</v>
      </c>
    </row>
    <row r="8" customFormat="false" ht="14.25" hidden="false" customHeight="false" outlineLevel="0" collapsed="false">
      <c r="A8" s="0" t="s">
        <v>1538</v>
      </c>
      <c r="B8" s="26" t="n">
        <v>4</v>
      </c>
    </row>
    <row r="9" customFormat="false" ht="14.25" hidden="false" customHeight="false" outlineLevel="0" collapsed="false">
      <c r="A9" s="0" t="s">
        <v>29</v>
      </c>
      <c r="B9" s="26" t="s">
        <v>1539</v>
      </c>
    </row>
    <row r="10" customFormat="false" ht="14.25" hidden="false" customHeight="false" outlineLevel="0" collapsed="false">
      <c r="A10" s="0" t="s">
        <v>210</v>
      </c>
      <c r="B10" s="26" t="n">
        <v>32</v>
      </c>
    </row>
    <row r="11" customFormat="false" ht="14.25" hidden="false" customHeight="false" outlineLevel="0" collapsed="false">
      <c r="A11" s="0" t="s">
        <v>1540</v>
      </c>
      <c r="B11" s="26" t="n">
        <v>512</v>
      </c>
    </row>
    <row r="12" customFormat="false" ht="14.25" hidden="false" customHeight="false" outlineLevel="0" collapsed="false">
      <c r="A12" s="0" t="s">
        <v>1541</v>
      </c>
      <c r="B12" s="26" t="n">
        <v>512</v>
      </c>
    </row>
    <row r="13" customFormat="false" ht="14.25" hidden="false" customHeight="false" outlineLevel="0" collapsed="false">
      <c r="A13" s="0" t="s">
        <v>1153</v>
      </c>
      <c r="B13" s="26" t="n">
        <v>4</v>
      </c>
    </row>
    <row r="14" customFormat="false" ht="14.25" hidden="false" customHeight="false" outlineLevel="0" collapsed="false">
      <c r="A14" s="0" t="s">
        <v>1542</v>
      </c>
      <c r="B14" s="26" t="n">
        <v>4</v>
      </c>
    </row>
    <row r="15" customFormat="false" ht="14.25" hidden="false" customHeight="false" outlineLevel="0" collapsed="false">
      <c r="A15" s="0" t="s">
        <v>1543</v>
      </c>
      <c r="B15" s="26" t="s">
        <v>1544</v>
      </c>
    </row>
    <row r="16" customFormat="false" ht="14.25" hidden="false" customHeight="false" outlineLevel="0" collapsed="false">
      <c r="A16" s="0" t="s">
        <v>211</v>
      </c>
      <c r="B16" s="26" t="s">
        <v>241</v>
      </c>
    </row>
    <row r="17" customFormat="false" ht="14.25" hidden="false" customHeight="false" outlineLevel="0" collapsed="false">
      <c r="A17" s="0" t="s">
        <v>691</v>
      </c>
      <c r="B17" s="26" t="s">
        <v>1507</v>
      </c>
    </row>
    <row r="18" customFormat="false" ht="14.25" hidden="false" customHeight="false" outlineLevel="0" collapsed="false">
      <c r="A18" s="0" t="s">
        <v>1249</v>
      </c>
      <c r="B18" s="26" t="n">
        <v>500</v>
      </c>
    </row>
    <row r="19" customFormat="false" ht="14.25" hidden="false" customHeight="false" outlineLevel="0" collapsed="false">
      <c r="A19" s="0" t="s">
        <v>1545</v>
      </c>
      <c r="B19" s="26" t="n">
        <v>256</v>
      </c>
    </row>
    <row r="20" customFormat="false" ht="14.25" hidden="false" customHeight="false" outlineLevel="0" collapsed="false">
      <c r="A20" s="0" t="s">
        <v>212</v>
      </c>
      <c r="B20" s="26" t="s">
        <v>241</v>
      </c>
    </row>
    <row r="21" customFormat="false" ht="14.25" hidden="false" customHeight="false" outlineLevel="0" collapsed="false">
      <c r="A21" s="0" t="s">
        <v>692</v>
      </c>
      <c r="B21" s="26" t="s">
        <v>1507</v>
      </c>
    </row>
    <row r="22" customFormat="false" ht="14.25" hidden="false" customHeight="false" outlineLevel="0" collapsed="false">
      <c r="A22" s="0" t="s">
        <v>1251</v>
      </c>
      <c r="B22" s="26" t="n">
        <v>500</v>
      </c>
    </row>
    <row r="23" customFormat="false" ht="14.25" hidden="false" customHeight="false" outlineLevel="0" collapsed="false">
      <c r="A23" s="0" t="s">
        <v>1156</v>
      </c>
      <c r="B23" s="26" t="s">
        <v>1544</v>
      </c>
    </row>
    <row r="24" customFormat="false" ht="14.25" hidden="false" customHeight="false" outlineLevel="0" collapsed="false">
      <c r="A24" s="0" t="s">
        <v>1075</v>
      </c>
      <c r="B24" s="26" t="s">
        <v>1537</v>
      </c>
    </row>
    <row r="25" customFormat="false" ht="14.25" hidden="false" customHeight="false" outlineLevel="0" collapsed="false">
      <c r="A25" s="0" t="s">
        <v>693</v>
      </c>
      <c r="B25" s="26" t="n">
        <v>32</v>
      </c>
    </row>
    <row r="26" customFormat="false" ht="14.25" hidden="false" customHeight="false" outlineLevel="0" collapsed="false">
      <c r="A26" s="0" t="s">
        <v>1546</v>
      </c>
      <c r="B26" s="26" t="n">
        <v>64</v>
      </c>
    </row>
    <row r="27" customFormat="false" ht="14.25" hidden="false" customHeight="false" outlineLevel="0" collapsed="false">
      <c r="A27" s="0" t="s">
        <v>1159</v>
      </c>
      <c r="B27" s="26" t="s">
        <v>1547</v>
      </c>
    </row>
    <row r="28" customFormat="false" ht="14.25" hidden="false" customHeight="false" outlineLevel="0" collapsed="false">
      <c r="A28" s="0" t="s">
        <v>1345</v>
      </c>
      <c r="B28" s="26" t="n">
        <v>512</v>
      </c>
    </row>
    <row r="29" customFormat="false" ht="14.25" hidden="false" customHeight="false" outlineLevel="0" collapsed="false">
      <c r="A29" s="0" t="s">
        <v>1548</v>
      </c>
      <c r="B29" s="26" t="n">
        <v>128</v>
      </c>
    </row>
    <row r="30" customFormat="false" ht="14.25" hidden="false" customHeight="false" outlineLevel="0" collapsed="false">
      <c r="A30" s="0" t="s">
        <v>1549</v>
      </c>
      <c r="B30" s="26" t="n">
        <v>256</v>
      </c>
    </row>
    <row r="31" customFormat="false" ht="14.25" hidden="false" customHeight="false" outlineLevel="0" collapsed="false">
      <c r="A31" s="0" t="s">
        <v>1550</v>
      </c>
      <c r="B31" s="26" t="s">
        <v>1486</v>
      </c>
    </row>
    <row r="32" customFormat="false" ht="14.25" hidden="false" customHeight="false" outlineLevel="0" collapsed="false">
      <c r="A32" s="0" t="s">
        <v>1551</v>
      </c>
      <c r="B32" s="26" t="s">
        <v>1552</v>
      </c>
    </row>
    <row r="33" customFormat="false" ht="14.25" hidden="false" customHeight="false" outlineLevel="0" collapsed="false">
      <c r="A33" s="0" t="s">
        <v>1553</v>
      </c>
      <c r="B33" s="26" t="s">
        <v>1554</v>
      </c>
    </row>
    <row r="34" customFormat="false" ht="14.25" hidden="false" customHeight="false" outlineLevel="0" collapsed="false">
      <c r="A34" s="0" t="s">
        <v>1555</v>
      </c>
      <c r="B34" s="26" t="n">
        <v>256</v>
      </c>
    </row>
    <row r="35" customFormat="false" ht="14.25" hidden="false" customHeight="false" outlineLevel="0" collapsed="false">
      <c r="A35" s="0" t="s">
        <v>1556</v>
      </c>
      <c r="B35" s="26" t="n">
        <v>512</v>
      </c>
    </row>
    <row r="36" customFormat="false" ht="14.25" hidden="false" customHeight="false" outlineLevel="0" collapsed="false">
      <c r="A36" s="0" t="s">
        <v>666</v>
      </c>
      <c r="B36" s="26" t="s">
        <v>1557</v>
      </c>
    </row>
    <row r="37" customFormat="false" ht="14.25" hidden="false" customHeight="false" outlineLevel="0" collapsed="false">
      <c r="A37" s="0" t="s">
        <v>667</v>
      </c>
      <c r="B37" s="26" t="s">
        <v>1557</v>
      </c>
    </row>
    <row r="38" customFormat="false" ht="14.25" hidden="false" customHeight="false" outlineLevel="0" collapsed="false">
      <c r="A38" s="0" t="s">
        <v>134</v>
      </c>
      <c r="B38" s="26" t="n">
        <v>512</v>
      </c>
    </row>
    <row r="39" customFormat="false" ht="14.25" hidden="false" customHeight="false" outlineLevel="0" collapsed="false">
      <c r="A39" s="0" t="s">
        <v>213</v>
      </c>
      <c r="B39" s="26" t="s">
        <v>241</v>
      </c>
    </row>
    <row r="40" customFormat="false" ht="14.25" hidden="false" customHeight="false" outlineLevel="0" collapsed="false">
      <c r="A40" s="0" t="s">
        <v>214</v>
      </c>
      <c r="B40" s="26" t="s">
        <v>241</v>
      </c>
    </row>
    <row r="41" customFormat="false" ht="14.25" hidden="false" customHeight="false" outlineLevel="0" collapsed="false">
      <c r="A41" s="0" t="s">
        <v>1558</v>
      </c>
      <c r="B41" s="26" t="n">
        <v>512</v>
      </c>
    </row>
    <row r="42" customFormat="false" ht="14.25" hidden="false" customHeight="false" outlineLevel="0" collapsed="false">
      <c r="A42" s="0" t="s">
        <v>1559</v>
      </c>
      <c r="B42" s="26" t="n">
        <v>512</v>
      </c>
    </row>
    <row r="43" customFormat="false" ht="14.25" hidden="false" customHeight="false" outlineLevel="0" collapsed="false">
      <c r="A43" s="0" t="s">
        <v>1560</v>
      </c>
      <c r="B43" s="26" t="n">
        <v>256</v>
      </c>
    </row>
    <row r="44" customFormat="false" ht="14.25" hidden="false" customHeight="false" outlineLevel="0" collapsed="false">
      <c r="A44" s="0" t="s">
        <v>1363</v>
      </c>
      <c r="B44" s="26" t="s">
        <v>241</v>
      </c>
    </row>
    <row r="45" customFormat="false" ht="14.25" hidden="false" customHeight="false" outlineLevel="0" collapsed="false">
      <c r="A45" s="0" t="s">
        <v>1364</v>
      </c>
      <c r="B45" s="26" t="s">
        <v>241</v>
      </c>
    </row>
    <row r="46" customFormat="false" ht="14.25" hidden="false" customHeight="false" outlineLevel="0" collapsed="false">
      <c r="A46" s="0" t="s">
        <v>135</v>
      </c>
      <c r="B46" s="26" t="n">
        <v>256</v>
      </c>
    </row>
    <row r="47" customFormat="false" ht="14.25" hidden="false" customHeight="false" outlineLevel="0" collapsed="false">
      <c r="A47" s="0" t="s">
        <v>215</v>
      </c>
      <c r="B47" s="26" t="s">
        <v>241</v>
      </c>
    </row>
    <row r="48" customFormat="false" ht="14.25" hidden="false" customHeight="false" outlineLevel="0" collapsed="false">
      <c r="A48" s="0" t="s">
        <v>216</v>
      </c>
      <c r="B48" s="26" t="s">
        <v>241</v>
      </c>
    </row>
    <row r="49" customFormat="false" ht="14.25" hidden="false" customHeight="false" outlineLevel="0" collapsed="false">
      <c r="A49" s="0" t="s">
        <v>217</v>
      </c>
      <c r="B49" s="26" t="s">
        <v>241</v>
      </c>
    </row>
    <row r="50" customFormat="false" ht="14.25" hidden="false" customHeight="false" outlineLevel="0" collapsed="false">
      <c r="A50" s="0" t="s">
        <v>942</v>
      </c>
      <c r="B50" s="26" t="n">
        <v>256</v>
      </c>
    </row>
    <row r="51" customFormat="false" ht="14.25" hidden="false" customHeight="false" outlineLevel="0" collapsed="false">
      <c r="A51" s="0" t="s">
        <v>943</v>
      </c>
      <c r="B51" s="26" t="n">
        <v>256</v>
      </c>
    </row>
    <row r="52" customFormat="false" ht="14.25" hidden="false" customHeight="false" outlineLevel="0" collapsed="false">
      <c r="A52" s="0" t="s">
        <v>1087</v>
      </c>
      <c r="B52" s="26" t="n">
        <v>16</v>
      </c>
    </row>
    <row r="53" customFormat="false" ht="14.25" hidden="false" customHeight="false" outlineLevel="0" collapsed="false">
      <c r="A53" s="0" t="s">
        <v>1561</v>
      </c>
      <c r="B53" s="26" t="n">
        <v>16</v>
      </c>
    </row>
    <row r="54" customFormat="false" ht="14.25" hidden="false" customHeight="false" outlineLevel="0" collapsed="false">
      <c r="A54" s="0" t="s">
        <v>1562</v>
      </c>
      <c r="B54" s="26" t="s">
        <v>1563</v>
      </c>
    </row>
    <row r="55" customFormat="false" ht="14.25" hidden="false" customHeight="false" outlineLevel="0" collapsed="false">
      <c r="A55" s="0" t="s">
        <v>1564</v>
      </c>
      <c r="B55" s="26" t="n">
        <v>32</v>
      </c>
    </row>
    <row r="56" customFormat="false" ht="14.25" hidden="false" customHeight="false" outlineLevel="0" collapsed="false">
      <c r="A56" s="0" t="s">
        <v>1565</v>
      </c>
      <c r="B56" s="26" t="n">
        <v>16</v>
      </c>
    </row>
    <row r="57" customFormat="false" ht="14.25" hidden="false" customHeight="false" outlineLevel="0" collapsed="false">
      <c r="A57" s="0" t="s">
        <v>1566</v>
      </c>
      <c r="B57" s="26" t="s">
        <v>1563</v>
      </c>
    </row>
    <row r="58" customFormat="false" ht="14.25" hidden="false" customHeight="false" outlineLevel="0" collapsed="false">
      <c r="A58" s="0" t="s">
        <v>1567</v>
      </c>
      <c r="B58" s="26" t="n">
        <v>512</v>
      </c>
    </row>
    <row r="59" customFormat="false" ht="14.25" hidden="false" customHeight="false" outlineLevel="0" collapsed="false">
      <c r="A59" s="0" t="s">
        <v>952</v>
      </c>
      <c r="B59" s="26" t="s">
        <v>241</v>
      </c>
    </row>
    <row r="60" customFormat="false" ht="14.25" hidden="false" customHeight="false" outlineLevel="0" collapsed="false">
      <c r="A60" s="0" t="s">
        <v>1269</v>
      </c>
      <c r="B60" s="26" t="n">
        <v>500</v>
      </c>
    </row>
    <row r="61" customFormat="false" ht="14.25" hidden="false" customHeight="false" outlineLevel="0" collapsed="false">
      <c r="A61" s="0" t="s">
        <v>695</v>
      </c>
      <c r="B61" s="26" t="s">
        <v>1507</v>
      </c>
    </row>
    <row r="62" customFormat="false" ht="14.25" hidden="false" customHeight="false" outlineLevel="0" collapsed="false">
      <c r="A62" s="0" t="s">
        <v>1568</v>
      </c>
      <c r="B62" s="26" t="n">
        <v>256</v>
      </c>
    </row>
    <row r="63" customFormat="false" ht="14.25" hidden="false" customHeight="false" outlineLevel="0" collapsed="false">
      <c r="A63" s="0" t="s">
        <v>281</v>
      </c>
      <c r="B63" s="26" t="s">
        <v>241</v>
      </c>
    </row>
    <row r="64" customFormat="false" ht="14.25" hidden="false" customHeight="false" outlineLevel="0" collapsed="false">
      <c r="A64" s="0" t="s">
        <v>1271</v>
      </c>
      <c r="B64" s="26" t="n">
        <v>500</v>
      </c>
    </row>
    <row r="65" customFormat="false" ht="14.25" hidden="false" customHeight="false" outlineLevel="0" collapsed="false">
      <c r="A65" s="0" t="s">
        <v>696</v>
      </c>
      <c r="B65" s="26" t="s">
        <v>1507</v>
      </c>
    </row>
    <row r="66" customFormat="false" ht="14.25" hidden="false" customHeight="false" outlineLevel="0" collapsed="false">
      <c r="A66" s="0" t="s">
        <v>1569</v>
      </c>
      <c r="B66" s="26" t="n">
        <v>256</v>
      </c>
    </row>
    <row r="67" customFormat="false" ht="14.25" hidden="false" customHeight="false" outlineLevel="0" collapsed="false">
      <c r="A67" s="0" t="s">
        <v>959</v>
      </c>
      <c r="B67" s="26" t="s">
        <v>241</v>
      </c>
    </row>
    <row r="68" customFormat="false" ht="14.25" hidden="false" customHeight="false" outlineLevel="0" collapsed="false">
      <c r="A68" s="0" t="s">
        <v>1273</v>
      </c>
      <c r="B68" s="26" t="n">
        <v>500</v>
      </c>
    </row>
    <row r="69" customFormat="false" ht="14.25" hidden="false" customHeight="false" outlineLevel="0" collapsed="false">
      <c r="A69" s="0" t="s">
        <v>961</v>
      </c>
      <c r="B69" s="26" t="s">
        <v>241</v>
      </c>
    </row>
    <row r="70" customFormat="false" ht="14.25" hidden="false" customHeight="false" outlineLevel="0" collapsed="false">
      <c r="A70" s="0" t="s">
        <v>1274</v>
      </c>
      <c r="B70" s="26" t="n">
        <v>500</v>
      </c>
    </row>
    <row r="71" customFormat="false" ht="14.25" hidden="false" customHeight="false" outlineLevel="0" collapsed="false">
      <c r="A71" s="0" t="s">
        <v>1570</v>
      </c>
      <c r="B71" s="26" t="n">
        <v>512</v>
      </c>
    </row>
    <row r="72" customFormat="false" ht="14.25" hidden="false" customHeight="false" outlineLevel="0" collapsed="false">
      <c r="A72" s="0" t="s">
        <v>1571</v>
      </c>
      <c r="B72" s="26" t="n">
        <v>512</v>
      </c>
    </row>
    <row r="73" customFormat="false" ht="14.25" hidden="false" customHeight="false" outlineLevel="0" collapsed="false">
      <c r="A73" s="0" t="s">
        <v>1277</v>
      </c>
      <c r="B73" s="26" t="n">
        <v>512</v>
      </c>
    </row>
    <row r="74" customFormat="false" ht="14.25" hidden="false" customHeight="false" outlineLevel="0" collapsed="false">
      <c r="A74" s="0" t="s">
        <v>978</v>
      </c>
      <c r="B74" s="26" t="s">
        <v>241</v>
      </c>
    </row>
    <row r="75" customFormat="false" ht="14.25" hidden="false" customHeight="false" outlineLevel="0" collapsed="false">
      <c r="A75" s="0" t="s">
        <v>1278</v>
      </c>
      <c r="B75" s="26" t="n">
        <v>500</v>
      </c>
    </row>
    <row r="76" customFormat="false" ht="14.25" hidden="false" customHeight="false" outlineLevel="0" collapsed="false">
      <c r="A76" s="0" t="s">
        <v>1572</v>
      </c>
      <c r="B76" s="26" t="n">
        <v>500</v>
      </c>
    </row>
    <row r="77" customFormat="false" ht="14.25" hidden="false" customHeight="false" outlineLevel="0" collapsed="false">
      <c r="A77" s="0" t="s">
        <v>979</v>
      </c>
      <c r="B77" s="26" t="s">
        <v>241</v>
      </c>
    </row>
    <row r="78" customFormat="false" ht="14.25" hidden="false" customHeight="false" outlineLevel="0" collapsed="false">
      <c r="A78" s="0" t="s">
        <v>1573</v>
      </c>
      <c r="B78" s="26" t="n">
        <v>512</v>
      </c>
    </row>
    <row r="79" customFormat="false" ht="14.25" hidden="false" customHeight="false" outlineLevel="0" collapsed="false">
      <c r="A79" s="0" t="s">
        <v>1281</v>
      </c>
      <c r="B79" s="26" t="n">
        <v>500</v>
      </c>
    </row>
    <row r="80" customFormat="false" ht="14.25" hidden="false" customHeight="false" outlineLevel="0" collapsed="false">
      <c r="A80" s="0" t="s">
        <v>1574</v>
      </c>
      <c r="B80" s="26" t="n">
        <v>500</v>
      </c>
    </row>
    <row r="81" customFormat="false" ht="14.25" hidden="false" customHeight="false" outlineLevel="0" collapsed="false">
      <c r="A81" s="0" t="s">
        <v>1575</v>
      </c>
      <c r="B81" s="26" t="n">
        <v>256</v>
      </c>
    </row>
    <row r="82" customFormat="false" ht="14.25" hidden="false" customHeight="false" outlineLevel="0" collapsed="false">
      <c r="A82" s="0" t="s">
        <v>1576</v>
      </c>
      <c r="B82" s="26" t="n">
        <v>256</v>
      </c>
    </row>
    <row r="83" customFormat="false" ht="14.25" hidden="false" customHeight="false" outlineLevel="0" collapsed="false">
      <c r="A83" s="0" t="s">
        <v>1577</v>
      </c>
      <c r="B83" s="26" t="n">
        <v>256</v>
      </c>
    </row>
    <row r="84" customFormat="false" ht="14.25" hidden="false" customHeight="false" outlineLevel="0" collapsed="false">
      <c r="A84" s="0" t="s">
        <v>1578</v>
      </c>
      <c r="B84" s="26" t="s">
        <v>1507</v>
      </c>
    </row>
    <row r="85" customFormat="false" ht="14.25" hidden="false" customHeight="false" outlineLevel="0" collapsed="false">
      <c r="A85" s="0" t="s">
        <v>1579</v>
      </c>
      <c r="B85" s="26" t="s">
        <v>1507</v>
      </c>
    </row>
    <row r="86" customFormat="false" ht="14.25" hidden="false" customHeight="false" outlineLevel="0" collapsed="false">
      <c r="A86" s="0" t="s">
        <v>1580</v>
      </c>
      <c r="B86" s="26" t="s">
        <v>1581</v>
      </c>
    </row>
    <row r="87" customFormat="false" ht="14.25" hidden="false" customHeight="false" outlineLevel="0" collapsed="false">
      <c r="A87" s="0" t="s">
        <v>1582</v>
      </c>
      <c r="B87" s="26" t="n">
        <v>256</v>
      </c>
    </row>
    <row r="88" customFormat="false" ht="14.25" hidden="false" customHeight="false" outlineLevel="0" collapsed="false">
      <c r="A88" s="0" t="s">
        <v>1583</v>
      </c>
      <c r="B88" s="26" t="n">
        <v>256</v>
      </c>
    </row>
    <row r="89" customFormat="false" ht="14.25" hidden="false" customHeight="false" outlineLevel="0" collapsed="false">
      <c r="A89" s="0" t="s">
        <v>1109</v>
      </c>
      <c r="B89" s="26" t="n">
        <v>256</v>
      </c>
    </row>
    <row r="90" customFormat="false" ht="14.25" hidden="false" customHeight="false" outlineLevel="0" collapsed="false">
      <c r="A90" s="0" t="s">
        <v>1584</v>
      </c>
      <c r="B90" s="26" t="s">
        <v>241</v>
      </c>
    </row>
    <row r="91" customFormat="false" ht="14.25" hidden="false" customHeight="false" outlineLevel="0" collapsed="false">
      <c r="A91" s="0" t="s">
        <v>1405</v>
      </c>
      <c r="B91" s="26" t="s">
        <v>241</v>
      </c>
    </row>
    <row r="92" customFormat="false" ht="14.25" hidden="false" customHeight="false" outlineLevel="0" collapsed="false">
      <c r="A92" s="0" t="s">
        <v>1411</v>
      </c>
      <c r="B92" s="26" t="s">
        <v>241</v>
      </c>
    </row>
    <row r="93" customFormat="false" ht="14.25" hidden="false" customHeight="false" outlineLevel="0" collapsed="false">
      <c r="A93" s="0" t="s">
        <v>1585</v>
      </c>
      <c r="B93" s="26" t="s">
        <v>241</v>
      </c>
    </row>
    <row r="94" customFormat="false" ht="14.25" hidden="false" customHeight="false" outlineLevel="0" collapsed="false">
      <c r="A94" s="0" t="s">
        <v>1586</v>
      </c>
      <c r="B94" s="26" t="s">
        <v>1507</v>
      </c>
    </row>
    <row r="95" customFormat="false" ht="14.25" hidden="false" customHeight="false" outlineLevel="0" collapsed="false">
      <c r="A95" s="0" t="s">
        <v>655</v>
      </c>
      <c r="B95" s="26" t="n">
        <v>512</v>
      </c>
    </row>
    <row r="96" customFormat="false" ht="14.25" hidden="false" customHeight="false" outlineLevel="0" collapsed="false">
      <c r="A96" s="0" t="s">
        <v>1587</v>
      </c>
      <c r="B96" s="26" t="s">
        <v>1507</v>
      </c>
    </row>
    <row r="97" customFormat="false" ht="14.25" hidden="false" customHeight="false" outlineLevel="0" collapsed="false">
      <c r="A97" s="0" t="s">
        <v>1588</v>
      </c>
      <c r="B97" s="26" t="n">
        <v>256</v>
      </c>
    </row>
    <row r="98" customFormat="false" ht="14.25" hidden="false" customHeight="false" outlineLevel="0" collapsed="false">
      <c r="A98" s="0" t="s">
        <v>1589</v>
      </c>
      <c r="B98" s="26" t="n">
        <v>256</v>
      </c>
    </row>
    <row r="99" customFormat="false" ht="14.25" hidden="false" customHeight="false" outlineLevel="0" collapsed="false">
      <c r="A99" s="0" t="s">
        <v>52</v>
      </c>
      <c r="B99" s="26" t="n">
        <v>4</v>
      </c>
    </row>
    <row r="100" customFormat="false" ht="14.25" hidden="false" customHeight="false" outlineLevel="0" collapsed="false">
      <c r="A100" s="0" t="s">
        <v>220</v>
      </c>
      <c r="B100" s="26" t="s">
        <v>241</v>
      </c>
    </row>
    <row r="101" customFormat="false" ht="14.25" hidden="false" customHeight="false" outlineLevel="0" collapsed="false">
      <c r="A101" s="0" t="s">
        <v>221</v>
      </c>
      <c r="B101" s="26" t="s">
        <v>241</v>
      </c>
    </row>
    <row r="102" customFormat="false" ht="14.25" hidden="false" customHeight="false" outlineLevel="0" collapsed="false">
      <c r="A102" s="0" t="s">
        <v>387</v>
      </c>
      <c r="B102" s="26" t="n">
        <v>4</v>
      </c>
    </row>
    <row r="103" customFormat="false" ht="14.25" hidden="false" customHeight="false" outlineLevel="0" collapsed="false">
      <c r="A103" s="0" t="s">
        <v>1590</v>
      </c>
      <c r="B103" s="26" t="n">
        <v>512</v>
      </c>
    </row>
    <row r="104" customFormat="false" ht="14.25" hidden="false" customHeight="false" outlineLevel="0" collapsed="false">
      <c r="A104" s="0" t="s">
        <v>1591</v>
      </c>
      <c r="B104" s="26" t="n">
        <v>512</v>
      </c>
    </row>
    <row r="105" customFormat="false" ht="14.25" hidden="false" customHeight="false" outlineLevel="0" collapsed="false">
      <c r="A105" s="0" t="s">
        <v>1592</v>
      </c>
      <c r="B105" s="26" t="n">
        <v>256</v>
      </c>
    </row>
    <row r="106" customFormat="false" ht="14.25" hidden="false" customHeight="false" outlineLevel="0" collapsed="false">
      <c r="A106" s="0" t="s">
        <v>1593</v>
      </c>
      <c r="B106" s="26" t="n">
        <v>256</v>
      </c>
    </row>
    <row r="107" customFormat="false" ht="14.25" hidden="false" customHeight="false" outlineLevel="0" collapsed="false">
      <c r="A107" s="0" t="s">
        <v>1594</v>
      </c>
      <c r="B107" s="26" t="s">
        <v>1486</v>
      </c>
    </row>
    <row r="108" customFormat="false" ht="14.25" hidden="false" customHeight="false" outlineLevel="0" collapsed="false">
      <c r="A108" s="0" t="s">
        <v>1595</v>
      </c>
      <c r="B108" s="26" t="n">
        <v>32</v>
      </c>
    </row>
    <row r="109" customFormat="false" ht="14.25" hidden="false" customHeight="false" outlineLevel="0" collapsed="false">
      <c r="A109" s="0" t="s">
        <v>1596</v>
      </c>
      <c r="B109" s="26" t="n">
        <v>32</v>
      </c>
    </row>
    <row r="110" customFormat="false" ht="14.25" hidden="false" customHeight="false" outlineLevel="0" collapsed="false">
      <c r="A110" s="0" t="s">
        <v>1207</v>
      </c>
      <c r="B110" s="26" t="n">
        <v>32</v>
      </c>
    </row>
    <row r="111" customFormat="false" ht="14.25" hidden="false" customHeight="false" outlineLevel="0" collapsed="false">
      <c r="A111" s="0" t="s">
        <v>1597</v>
      </c>
      <c r="B111" s="26" t="s">
        <v>234</v>
      </c>
    </row>
    <row r="112" customFormat="false" ht="14.25" hidden="false" customHeight="false" outlineLevel="0" collapsed="false">
      <c r="A112" s="0" t="s">
        <v>1598</v>
      </c>
      <c r="B112" s="26" t="n">
        <v>32</v>
      </c>
    </row>
    <row r="113" customFormat="false" ht="14.25" hidden="false" customHeight="false" outlineLevel="0" collapsed="false">
      <c r="A113" s="0" t="s">
        <v>1599</v>
      </c>
      <c r="B113" s="26" t="s">
        <v>1507</v>
      </c>
    </row>
    <row r="114" customFormat="false" ht="14.25" hidden="false" customHeight="false" outlineLevel="0" collapsed="false">
      <c r="A114" s="0" t="s">
        <v>1600</v>
      </c>
      <c r="B114" s="26" t="n">
        <v>64</v>
      </c>
    </row>
    <row r="115" customFormat="false" ht="14.25" hidden="false" customHeight="false" outlineLevel="0" collapsed="false">
      <c r="A115" s="0" t="s">
        <v>1601</v>
      </c>
      <c r="B115" s="26" t="n">
        <v>32</v>
      </c>
    </row>
    <row r="116" customFormat="false" ht="14.25" hidden="false" customHeight="false" outlineLevel="0" collapsed="false">
      <c r="A116" s="0" t="s">
        <v>1602</v>
      </c>
      <c r="B116" s="26" t="n">
        <v>256</v>
      </c>
    </row>
    <row r="117" customFormat="false" ht="14.25" hidden="false" customHeight="false" outlineLevel="0" collapsed="false">
      <c r="A117" s="0" t="s">
        <v>1603</v>
      </c>
      <c r="B117" s="26" t="n">
        <v>32</v>
      </c>
    </row>
    <row r="118" customFormat="false" ht="14.25" hidden="false" customHeight="false" outlineLevel="0" collapsed="false">
      <c r="A118" s="0" t="s">
        <v>1604</v>
      </c>
      <c r="B118" s="26" t="n">
        <v>128</v>
      </c>
    </row>
    <row r="119" customFormat="false" ht="14.25" hidden="false" customHeight="false" outlineLevel="0" collapsed="false">
      <c r="A119" s="0" t="s">
        <v>818</v>
      </c>
      <c r="B119" s="26" t="s">
        <v>241</v>
      </c>
    </row>
    <row r="120" customFormat="false" ht="14.25" hidden="false" customHeight="false" outlineLevel="0" collapsed="false">
      <c r="A120" s="0" t="s">
        <v>697</v>
      </c>
      <c r="B120" s="26" t="s">
        <v>1507</v>
      </c>
    </row>
    <row r="121" customFormat="false" ht="14.25" hidden="false" customHeight="false" outlineLevel="0" collapsed="false">
      <c r="A121" s="0" t="s">
        <v>283</v>
      </c>
      <c r="B121" s="26" t="s">
        <v>241</v>
      </c>
    </row>
    <row r="122" customFormat="false" ht="14.25" hidden="false" customHeight="false" outlineLevel="0" collapsed="false">
      <c r="A122" s="0" t="s">
        <v>698</v>
      </c>
      <c r="B122" s="26" t="s">
        <v>1507</v>
      </c>
    </row>
    <row r="123" customFormat="false" ht="14.25" hidden="false" customHeight="false" outlineLevel="0" collapsed="false">
      <c r="A123" s="0" t="s">
        <v>1605</v>
      </c>
      <c r="B123" s="26" t="n">
        <v>64</v>
      </c>
    </row>
    <row r="124" customFormat="false" ht="14.25" hidden="false" customHeight="false" outlineLevel="0" collapsed="false">
      <c r="A124" s="0" t="s">
        <v>1606</v>
      </c>
      <c r="B124" s="26" t="n">
        <v>128</v>
      </c>
    </row>
    <row r="125" customFormat="false" ht="14.25" hidden="false" customHeight="false" outlineLevel="0" collapsed="false">
      <c r="A125" s="0" t="s">
        <v>1607</v>
      </c>
      <c r="B125" s="26" t="n">
        <v>256</v>
      </c>
    </row>
    <row r="126" customFormat="false" ht="14.25" hidden="false" customHeight="false" outlineLevel="0" collapsed="false">
      <c r="A126" s="0" t="s">
        <v>1608</v>
      </c>
      <c r="B126" s="26" t="s">
        <v>1507</v>
      </c>
    </row>
    <row r="127" customFormat="false" ht="14.25" hidden="false" customHeight="false" outlineLevel="0" collapsed="false">
      <c r="A127" s="0" t="s">
        <v>1007</v>
      </c>
      <c r="B127" s="26" t="n">
        <v>256</v>
      </c>
    </row>
    <row r="128" customFormat="false" ht="14.25" hidden="false" customHeight="false" outlineLevel="0" collapsed="false">
      <c r="A128" s="0" t="s">
        <v>1289</v>
      </c>
      <c r="B128" s="26" t="n">
        <v>500</v>
      </c>
    </row>
    <row r="129" customFormat="false" ht="14.25" hidden="false" customHeight="false" outlineLevel="0" collapsed="false">
      <c r="A129" s="0" t="s">
        <v>1009</v>
      </c>
      <c r="B129" s="26" t="n">
        <v>256</v>
      </c>
    </row>
    <row r="130" customFormat="false" ht="14.25" hidden="false" customHeight="false" outlineLevel="0" collapsed="false">
      <c r="A130" s="0" t="s">
        <v>1290</v>
      </c>
      <c r="B130" s="26" t="n">
        <v>500</v>
      </c>
    </row>
    <row r="131" customFormat="false" ht="14.25" hidden="false" customHeight="false" outlineLevel="0" collapsed="false">
      <c r="A131" s="0" t="s">
        <v>1609</v>
      </c>
      <c r="B131" s="26" t="n">
        <v>64</v>
      </c>
    </row>
    <row r="132" customFormat="false" ht="14.25" hidden="false" customHeight="false" outlineLevel="0" collapsed="false">
      <c r="A132" s="0" t="s">
        <v>1610</v>
      </c>
      <c r="B132" s="26" t="n">
        <v>64</v>
      </c>
    </row>
    <row r="133" customFormat="false" ht="14.25" hidden="false" customHeight="false" outlineLevel="0" collapsed="false">
      <c r="A133" s="0" t="s">
        <v>1611</v>
      </c>
      <c r="B133" s="26" t="n">
        <v>64</v>
      </c>
    </row>
    <row r="134" customFormat="false" ht="14.25" hidden="false" customHeight="false" outlineLevel="0" collapsed="false">
      <c r="A134" s="0" t="s">
        <v>1612</v>
      </c>
      <c r="B134" s="26" t="n">
        <v>64</v>
      </c>
    </row>
    <row r="135" customFormat="false" ht="14.25" hidden="false" customHeight="false" outlineLevel="0" collapsed="false">
      <c r="A135" s="0" t="s">
        <v>1613</v>
      </c>
      <c r="B135" s="26" t="n">
        <v>64</v>
      </c>
    </row>
    <row r="136" customFormat="false" ht="14.25" hidden="false" customHeight="false" outlineLevel="0" collapsed="false">
      <c r="A136" s="0" t="s">
        <v>1614</v>
      </c>
      <c r="B136" s="26" t="n">
        <v>64</v>
      </c>
    </row>
    <row r="137" customFormat="false" ht="14.25" hidden="false" customHeight="false" outlineLevel="0" collapsed="false">
      <c r="A137" s="0" t="s">
        <v>1615</v>
      </c>
      <c r="B137" s="26" t="n">
        <v>64</v>
      </c>
    </row>
    <row r="138" customFormat="false" ht="14.25" hidden="false" customHeight="false" outlineLevel="0" collapsed="false">
      <c r="A138" s="0" t="s">
        <v>1616</v>
      </c>
      <c r="B138" s="26" t="n">
        <v>64</v>
      </c>
    </row>
    <row r="139" customFormat="false" ht="14.25" hidden="false" customHeight="false" outlineLevel="0" collapsed="false">
      <c r="A139" s="0" t="s">
        <v>1617</v>
      </c>
      <c r="B139" s="26" t="s">
        <v>1507</v>
      </c>
    </row>
    <row r="140" customFormat="false" ht="14.25" hidden="false" customHeight="false" outlineLevel="0" collapsed="false">
      <c r="A140" s="0" t="s">
        <v>1292</v>
      </c>
      <c r="B140" s="26" t="s">
        <v>1618</v>
      </c>
    </row>
    <row r="141" customFormat="false" ht="14.25" hidden="false" customHeight="false" outlineLevel="0" collapsed="false">
      <c r="A141" s="0" t="s">
        <v>1619</v>
      </c>
      <c r="B141" s="26" t="n">
        <v>128</v>
      </c>
    </row>
    <row r="142" customFormat="false" ht="14.25" hidden="false" customHeight="false" outlineLevel="0" collapsed="false">
      <c r="A142" s="0" t="s">
        <v>1620</v>
      </c>
      <c r="B142" s="26" t="n">
        <v>128</v>
      </c>
    </row>
    <row r="143" customFormat="false" ht="14.25" hidden="false" customHeight="false" outlineLevel="0" collapsed="false">
      <c r="A143" s="0" t="s">
        <v>1621</v>
      </c>
      <c r="B143" s="26" t="n">
        <v>512</v>
      </c>
    </row>
    <row r="144" customFormat="false" ht="14.25" hidden="false" customHeight="false" outlineLevel="0" collapsed="false">
      <c r="A144" s="0" t="s">
        <v>1622</v>
      </c>
      <c r="B144" s="26" t="n">
        <v>128</v>
      </c>
    </row>
    <row r="145" customFormat="false" ht="14.25" hidden="false" customHeight="false" outlineLevel="0" collapsed="false">
      <c r="A145" s="0" t="s">
        <v>284</v>
      </c>
      <c r="B145" s="26" t="n">
        <v>512</v>
      </c>
    </row>
    <row r="146" customFormat="false" ht="14.25" hidden="false" customHeight="false" outlineLevel="0" collapsed="false">
      <c r="A146" s="0" t="s">
        <v>1623</v>
      </c>
      <c r="B146" s="26" t="n">
        <v>128</v>
      </c>
    </row>
    <row r="147" customFormat="false" ht="14.25" hidden="false" customHeight="false" outlineLevel="0" collapsed="false">
      <c r="A147" s="0" t="s">
        <v>1624</v>
      </c>
      <c r="B147" s="26" t="n">
        <v>4</v>
      </c>
    </row>
    <row r="148" customFormat="false" ht="14.25" hidden="false" customHeight="false" outlineLevel="0" collapsed="false">
      <c r="A148" s="0" t="s">
        <v>1625</v>
      </c>
      <c r="B148" s="26" t="n">
        <v>128</v>
      </c>
    </row>
    <row r="149" customFormat="false" ht="14.25" hidden="false" customHeight="false" outlineLevel="0" collapsed="false">
      <c r="A149" s="0" t="s">
        <v>1133</v>
      </c>
      <c r="B149" s="26" t="s">
        <v>1626</v>
      </c>
    </row>
    <row r="150" customFormat="false" ht="14.25" hidden="false" customHeight="false" outlineLevel="0" collapsed="false">
      <c r="A150" s="0" t="s">
        <v>1627</v>
      </c>
      <c r="B150" s="26" t="n">
        <v>256</v>
      </c>
    </row>
    <row r="151" customFormat="false" ht="14.25" hidden="false" customHeight="false" outlineLevel="0" collapsed="false">
      <c r="A151" s="0" t="s">
        <v>1628</v>
      </c>
      <c r="B151" s="26" t="n">
        <v>256</v>
      </c>
    </row>
    <row r="152" customFormat="false" ht="14.25" hidden="false" customHeight="false" outlineLevel="0" collapsed="false">
      <c r="A152" s="0" t="s">
        <v>1629</v>
      </c>
      <c r="B152" s="26" t="n">
        <v>256</v>
      </c>
    </row>
    <row r="153" customFormat="false" ht="14.25" hidden="false" customHeight="false" outlineLevel="0" collapsed="false">
      <c r="A153" s="0" t="s">
        <v>1630</v>
      </c>
      <c r="B153" s="26" t="s">
        <v>1507</v>
      </c>
    </row>
    <row r="154" customFormat="false" ht="14.25" hidden="false" customHeight="false" outlineLevel="0" collapsed="false">
      <c r="A154" s="0" t="s">
        <v>228</v>
      </c>
      <c r="B154" s="26" t="s">
        <v>1631</v>
      </c>
    </row>
    <row r="155" customFormat="false" ht="14.25" hidden="false" customHeight="false" outlineLevel="0" collapsed="false">
      <c r="A155" s="0" t="s">
        <v>58</v>
      </c>
      <c r="B155" s="26" t="s">
        <v>1632</v>
      </c>
    </row>
    <row r="156" customFormat="false" ht="14.25" hidden="false" customHeight="false" outlineLevel="0" collapsed="false">
      <c r="A156" s="0" t="s">
        <v>1633</v>
      </c>
      <c r="B156" s="26" t="n">
        <v>16</v>
      </c>
    </row>
    <row r="157" customFormat="false" ht="14.25" hidden="false" customHeight="false" outlineLevel="0" collapsed="false">
      <c r="A157" s="0" t="s">
        <v>1634</v>
      </c>
      <c r="B157" s="26" t="n">
        <v>256</v>
      </c>
    </row>
    <row r="158" customFormat="false" ht="14.25" hidden="false" customHeight="false" outlineLevel="0" collapsed="false">
      <c r="A158" s="0" t="s">
        <v>1635</v>
      </c>
      <c r="B158" s="26" t="n">
        <v>256</v>
      </c>
    </row>
    <row r="159" customFormat="false" ht="14.25" hidden="false" customHeight="false" outlineLevel="0" collapsed="false">
      <c r="A159" s="0" t="s">
        <v>1636</v>
      </c>
      <c r="B159" s="26" t="n">
        <v>256</v>
      </c>
    </row>
    <row r="160" customFormat="false" ht="14.25" hidden="false" customHeight="false" outlineLevel="0" collapsed="false">
      <c r="A160" s="0" t="s">
        <v>1138</v>
      </c>
      <c r="B160" s="26" t="n">
        <v>256</v>
      </c>
    </row>
    <row r="161" customFormat="false" ht="14.25" hidden="false" customHeight="false" outlineLevel="0" collapsed="false">
      <c r="A161" s="0" t="s">
        <v>1637</v>
      </c>
      <c r="B161" s="26" t="s">
        <v>241</v>
      </c>
    </row>
    <row r="162" customFormat="false" ht="14.25" hidden="false" customHeight="false" outlineLevel="0" collapsed="false">
      <c r="A162" s="0" t="s">
        <v>1465</v>
      </c>
      <c r="B162" s="26" t="s">
        <v>241</v>
      </c>
    </row>
    <row r="163" customFormat="false" ht="14.25" hidden="false" customHeight="false" outlineLevel="0" collapsed="false">
      <c r="A163" s="0" t="s">
        <v>1638</v>
      </c>
      <c r="B163" s="26" t="s">
        <v>241</v>
      </c>
    </row>
    <row r="164" customFormat="false" ht="14.25" hidden="false" customHeight="false" outlineLevel="0" collapsed="false">
      <c r="A164" s="0" t="s">
        <v>1470</v>
      </c>
      <c r="B164" s="26" t="s">
        <v>241</v>
      </c>
    </row>
    <row r="165" customFormat="false" ht="14.25" hidden="false" customHeight="false" outlineLevel="0" collapsed="false">
      <c r="A165" s="0" t="s">
        <v>656</v>
      </c>
      <c r="B165" s="26" t="n">
        <v>512</v>
      </c>
    </row>
    <row r="166" customFormat="false" ht="14.25" hidden="false" customHeight="false" outlineLevel="0" collapsed="false">
      <c r="A166" s="0" t="s">
        <v>1639</v>
      </c>
      <c r="B166" s="26" t="s">
        <v>1507</v>
      </c>
    </row>
    <row r="167" customFormat="false" ht="14.25" hidden="false" customHeight="false" outlineLevel="0" collapsed="false">
      <c r="A167" s="0" t="s">
        <v>1640</v>
      </c>
      <c r="B167" s="26" t="n">
        <v>32</v>
      </c>
    </row>
    <row r="168" customFormat="false" ht="14.25" hidden="false" customHeight="false" outlineLevel="0" collapsed="false">
      <c r="A168" s="0" t="s">
        <v>1139</v>
      </c>
      <c r="B168" s="26" t="n">
        <v>512</v>
      </c>
    </row>
    <row r="169" customFormat="false" ht="14.25" hidden="false" customHeight="false" outlineLevel="0" collapsed="false">
      <c r="A169" s="0" t="s">
        <v>1641</v>
      </c>
      <c r="B169" s="26" t="n">
        <v>256</v>
      </c>
    </row>
    <row r="170" customFormat="false" ht="14.25" hidden="false" customHeight="false" outlineLevel="0" collapsed="false">
      <c r="A170" s="0" t="s">
        <v>1642</v>
      </c>
      <c r="B170" s="26" t="n">
        <v>256</v>
      </c>
    </row>
    <row r="171" customFormat="false" ht="14.25" hidden="false" customHeight="false" outlineLevel="0" collapsed="false">
      <c r="A171" s="0" t="s">
        <v>1643</v>
      </c>
      <c r="B171" s="26" t="n">
        <v>256</v>
      </c>
    </row>
    <row r="172" customFormat="false" ht="14.25" hidden="false" customHeight="false" outlineLevel="0" collapsed="false">
      <c r="A172" s="0" t="s">
        <v>1644</v>
      </c>
      <c r="B172" s="26" t="n">
        <v>256</v>
      </c>
    </row>
    <row r="173" customFormat="false" ht="14.25" hidden="false" customHeight="false" outlineLevel="0" collapsed="false">
      <c r="A173" s="0" t="s">
        <v>1645</v>
      </c>
      <c r="B173" s="26" t="n">
        <v>256</v>
      </c>
    </row>
    <row r="174" customFormat="false" ht="14.25" hidden="false" customHeight="false" outlineLevel="0" collapsed="false">
      <c r="A174" s="0" t="s">
        <v>820</v>
      </c>
      <c r="B174" s="26" t="s">
        <v>1544</v>
      </c>
    </row>
    <row r="175" customFormat="false" ht="14.25" hidden="false" customHeight="false" outlineLevel="0" collapsed="false">
      <c r="A175" s="0" t="s">
        <v>230</v>
      </c>
      <c r="B175" s="26" t="s">
        <v>1646</v>
      </c>
    </row>
    <row r="176" customFormat="false" ht="14.25" hidden="false" customHeight="false" outlineLevel="0" collapsed="false">
      <c r="A176" s="0" t="s">
        <v>1647</v>
      </c>
      <c r="B176" s="26" t="n">
        <v>512</v>
      </c>
    </row>
    <row r="177" customFormat="false" ht="14.25" hidden="false" customHeight="false" outlineLevel="0" collapsed="false">
      <c r="A177" s="0" t="s">
        <v>1648</v>
      </c>
      <c r="B177" s="26" t="n">
        <v>512</v>
      </c>
    </row>
    <row r="178" customFormat="false" ht="14.25" hidden="false" customHeight="false" outlineLevel="0" collapsed="false">
      <c r="A178" s="0" t="s">
        <v>60</v>
      </c>
      <c r="B178" s="26" t="s">
        <v>1557</v>
      </c>
    </row>
    <row r="179" customFormat="false" ht="14.25" hidden="false" customHeight="false" outlineLevel="0" collapsed="false">
      <c r="A179" s="0" t="s">
        <v>231</v>
      </c>
      <c r="B179" s="26" t="n">
        <v>256</v>
      </c>
    </row>
    <row r="180" customFormat="false" ht="14.25" hidden="false" customHeight="false" outlineLevel="0" collapsed="false">
      <c r="A180" s="0" t="s">
        <v>286</v>
      </c>
      <c r="B180" s="26" t="n">
        <v>4</v>
      </c>
    </row>
    <row r="181" customFormat="false" ht="14.25" hidden="false" customHeight="false" outlineLevel="0" collapsed="false">
      <c r="A181" s="0" t="s">
        <v>61</v>
      </c>
      <c r="B181" s="26" t="n">
        <v>4</v>
      </c>
    </row>
    <row r="182" customFormat="false" ht="14.25" hidden="false" customHeight="false" outlineLevel="0" collapsed="false">
      <c r="A182" s="0" t="s">
        <v>1649</v>
      </c>
      <c r="B182" s="26" t="n">
        <v>4</v>
      </c>
    </row>
    <row r="183" customFormat="false" ht="14.25" hidden="false" customHeight="false" outlineLevel="0" collapsed="false">
      <c r="A183" s="0" t="s">
        <v>1650</v>
      </c>
      <c r="B183" s="26" t="s">
        <v>1507</v>
      </c>
    </row>
    <row r="184" customFormat="false" ht="14.25" hidden="false" customHeight="false" outlineLevel="0" collapsed="false">
      <c r="A184" s="0" t="s">
        <v>1651</v>
      </c>
      <c r="B184" s="26" t="s">
        <v>1507</v>
      </c>
    </row>
    <row r="185" customFormat="false" ht="14.25" hidden="false" customHeight="false" outlineLevel="0" collapsed="false">
      <c r="A185" s="0" t="s">
        <v>232</v>
      </c>
      <c r="B185" s="26" t="s">
        <v>1507</v>
      </c>
    </row>
    <row r="186" customFormat="false" ht="14.25" hidden="false" customHeight="false" outlineLevel="0" collapsed="false">
      <c r="A186" s="0" t="s">
        <v>1652</v>
      </c>
      <c r="B186" s="26" t="n">
        <v>32</v>
      </c>
    </row>
    <row r="187" customFormat="false" ht="14.25" hidden="false" customHeight="false" outlineLevel="0" collapsed="false">
      <c r="A187" s="0" t="s">
        <v>1034</v>
      </c>
      <c r="B187" s="26" t="s">
        <v>241</v>
      </c>
    </row>
    <row r="188" customFormat="false" ht="14.25" hidden="false" customHeight="false" outlineLevel="0" collapsed="false">
      <c r="A188" s="0" t="s">
        <v>1299</v>
      </c>
      <c r="B188" s="26" t="n">
        <v>500</v>
      </c>
    </row>
    <row r="189" customFormat="false" ht="14.25" hidden="false" customHeight="false" outlineLevel="0" collapsed="false">
      <c r="A189" s="0" t="s">
        <v>1036</v>
      </c>
      <c r="B189" s="26" t="s">
        <v>241</v>
      </c>
    </row>
    <row r="190" customFormat="false" ht="14.25" hidden="false" customHeight="false" outlineLevel="0" collapsed="false">
      <c r="A190" s="0" t="s">
        <v>1300</v>
      </c>
      <c r="B190" s="26" t="n">
        <v>500</v>
      </c>
    </row>
    <row r="191" customFormat="false" ht="14.25" hidden="false" customHeight="false" outlineLevel="0" collapsed="false">
      <c r="A191" s="0" t="s">
        <v>1038</v>
      </c>
      <c r="B191" s="26" t="n">
        <v>256</v>
      </c>
    </row>
    <row r="192" customFormat="false" ht="14.25" hidden="false" customHeight="false" outlineLevel="0" collapsed="false">
      <c r="A192" s="0" t="s">
        <v>1653</v>
      </c>
      <c r="B192" s="26" t="n">
        <v>500</v>
      </c>
    </row>
    <row r="193" customFormat="false" ht="14.25" hidden="false" customHeight="false" outlineLevel="0" collapsed="false">
      <c r="A193" s="0" t="s">
        <v>1040</v>
      </c>
      <c r="B193" s="26" t="n">
        <v>256</v>
      </c>
    </row>
    <row r="194" customFormat="false" ht="14.25" hidden="false" customHeight="false" outlineLevel="0" collapsed="false">
      <c r="A194" s="0" t="s">
        <v>1654</v>
      </c>
      <c r="B194" s="26" t="n">
        <v>500</v>
      </c>
    </row>
    <row r="195" customFormat="false" ht="14.25" hidden="false" customHeight="false" outlineLevel="0" collapsed="false">
      <c r="A195" s="0" t="s">
        <v>1146</v>
      </c>
      <c r="B195" s="26" t="n">
        <v>4</v>
      </c>
    </row>
    <row r="196" customFormat="false" ht="14.25" hidden="false" customHeight="false" outlineLevel="0" collapsed="false">
      <c r="A196" s="0" t="s">
        <v>1655</v>
      </c>
      <c r="B196" s="26" t="n">
        <v>25</v>
      </c>
    </row>
    <row r="197" customFormat="false" ht="14.25" hidden="false" customHeight="false" outlineLevel="0" collapsed="false">
      <c r="A197" s="0" t="s">
        <v>1656</v>
      </c>
      <c r="B197" s="26" t="n">
        <v>4</v>
      </c>
    </row>
    <row r="198" customFormat="false" ht="14.25" hidden="false" customHeight="false" outlineLevel="0" collapsed="false">
      <c r="A198" s="0" t="s">
        <v>1657</v>
      </c>
      <c r="B198" s="26" t="n">
        <v>128</v>
      </c>
    </row>
    <row r="199" customFormat="false" ht="14.25" hidden="false" customHeight="false" outlineLevel="0" collapsed="false">
      <c r="A199" s="0" t="s">
        <v>1658</v>
      </c>
      <c r="B199" s="26" t="n">
        <v>4</v>
      </c>
    </row>
    <row r="200" customFormat="false" ht="14.25" hidden="false" customHeight="false" outlineLevel="0" collapsed="false">
      <c r="A200" s="0" t="s">
        <v>1659</v>
      </c>
      <c r="B200" s="26" t="s">
        <v>1544</v>
      </c>
    </row>
    <row r="201" customFormat="false" ht="14.25" hidden="false" customHeight="false" outlineLevel="0" collapsed="false">
      <c r="A201" s="0" t="s">
        <v>1660</v>
      </c>
      <c r="B201" s="26" t="n">
        <v>64</v>
      </c>
    </row>
    <row r="202" customFormat="false" ht="14.25" hidden="false" customHeight="false" outlineLevel="0" collapsed="false">
      <c r="A202" s="0" t="s">
        <v>1661</v>
      </c>
      <c r="B202" s="26" t="n">
        <v>64</v>
      </c>
    </row>
    <row r="203" customFormat="false" ht="14.25" hidden="false" customHeight="false" outlineLevel="0" collapsed="false">
      <c r="A203" s="0" t="s">
        <v>1662</v>
      </c>
      <c r="B203" s="26" t="n">
        <v>64</v>
      </c>
    </row>
    <row r="204" customFormat="false" ht="14.25" hidden="false" customHeight="false" outlineLevel="0" collapsed="false">
      <c r="A204" s="0" t="s">
        <v>1663</v>
      </c>
      <c r="B204" s="26" t="n">
        <v>4</v>
      </c>
    </row>
    <row r="205" customFormat="false" ht="14.25" hidden="false" customHeight="false" outlineLevel="0" collapsed="false">
      <c r="A205" s="0" t="s">
        <v>1664</v>
      </c>
      <c r="B205" s="26" t="n">
        <v>4</v>
      </c>
    </row>
    <row r="206" customFormat="false" ht="14.25" hidden="false" customHeight="false" outlineLevel="0" collapsed="false">
      <c r="A206" s="0" t="s">
        <v>1665</v>
      </c>
      <c r="B206" s="26" t="n">
        <v>128</v>
      </c>
    </row>
    <row r="207" customFormat="false" ht="14.25" hidden="false" customHeight="false" outlineLevel="0" collapsed="false">
      <c r="A207" s="0" t="s">
        <v>1666</v>
      </c>
      <c r="B207" s="26" t="n">
        <v>4</v>
      </c>
    </row>
    <row r="208" customFormat="false" ht="14.25" hidden="false" customHeight="false" outlineLevel="0" collapsed="false">
      <c r="A208" s="0" t="s">
        <v>1667</v>
      </c>
      <c r="B208" s="26" t="n">
        <v>128</v>
      </c>
    </row>
    <row r="209" customFormat="false" ht="14.25" hidden="false" customHeight="false" outlineLevel="0" collapsed="false">
      <c r="A209" s="0" t="s">
        <v>1668</v>
      </c>
      <c r="B209" s="26" t="n">
        <v>4</v>
      </c>
    </row>
    <row r="210" customFormat="false" ht="14.25" hidden="false" customHeight="false" outlineLevel="0" collapsed="false">
      <c r="A210" s="0" t="s">
        <v>1669</v>
      </c>
      <c r="B210" s="26" t="n">
        <v>500</v>
      </c>
    </row>
    <row r="211" customFormat="false" ht="14.25" hidden="false" customHeight="false" outlineLevel="0" collapsed="false">
      <c r="A211" s="0" t="s">
        <v>1670</v>
      </c>
      <c r="B211" s="26" t="n">
        <v>500</v>
      </c>
    </row>
    <row r="212" customFormat="false" ht="14.25" hidden="false" customHeight="false" outlineLevel="0" collapsed="false">
      <c r="A212" s="0" t="s">
        <v>1671</v>
      </c>
      <c r="B212" s="26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0" width="68.45"/>
  </cols>
  <sheetData>
    <row r="1" customFormat="false" ht="14.25" hidden="false" customHeight="false" outlineLevel="0" collapsed="false">
      <c r="A1" s="81"/>
      <c r="B1" s="81" t="s">
        <v>1672</v>
      </c>
    </row>
    <row r="2" customFormat="false" ht="14.25" hidden="false" customHeight="false" outlineLevel="0" collapsed="false">
      <c r="A2" s="81"/>
      <c r="B2" s="81" t="s">
        <v>1673</v>
      </c>
      <c r="C2" s="82" t="s">
        <v>1674</v>
      </c>
    </row>
    <row r="3" customFormat="false" ht="14.25" hidden="false" customHeight="false" outlineLevel="0" collapsed="false">
      <c r="A3" s="83" t="s">
        <v>2</v>
      </c>
      <c r="B3" s="81"/>
      <c r="C3" s="82"/>
      <c r="D3" s="0" t="s">
        <v>1669</v>
      </c>
    </row>
    <row r="4" customFormat="false" ht="14.25" hidden="false" customHeight="false" outlineLevel="0" collapsed="false">
      <c r="A4" s="84" t="s">
        <v>105</v>
      </c>
      <c r="B4" s="81"/>
      <c r="C4" s="82"/>
    </row>
    <row r="5" customFormat="false" ht="14.25" hidden="false" customHeight="false" outlineLevel="0" collapsed="false">
      <c r="A5" s="84" t="s">
        <v>120</v>
      </c>
      <c r="B5" s="81"/>
      <c r="C5" s="82"/>
      <c r="D5" s="0" t="s">
        <v>1669</v>
      </c>
    </row>
    <row r="6" customFormat="false" ht="14.25" hidden="false" customHeight="false" outlineLevel="0" collapsed="false">
      <c r="A6" s="84" t="s">
        <v>158</v>
      </c>
      <c r="B6" s="81"/>
      <c r="C6" s="82"/>
    </row>
    <row r="7" customFormat="false" ht="14.25" hidden="false" customHeight="false" outlineLevel="0" collapsed="false">
      <c r="A7" s="84" t="s">
        <v>202</v>
      </c>
      <c r="B7" s="81"/>
      <c r="C7" s="82"/>
    </row>
    <row r="8" customFormat="false" ht="14.25" hidden="false" customHeight="false" outlineLevel="0" collapsed="false">
      <c r="A8" s="84" t="s">
        <v>291</v>
      </c>
      <c r="B8" s="81"/>
      <c r="C8" s="82"/>
    </row>
    <row r="9" customFormat="false" ht="14.25" hidden="false" customHeight="false" outlineLevel="0" collapsed="false">
      <c r="A9" s="84" t="s">
        <v>318</v>
      </c>
      <c r="B9" s="81"/>
      <c r="C9" s="82"/>
    </row>
    <row r="10" customFormat="false" ht="14.25" hidden="false" customHeight="false" outlineLevel="0" collapsed="false">
      <c r="A10" s="84" t="s">
        <v>341</v>
      </c>
      <c r="B10" s="81"/>
      <c r="C10" s="82"/>
    </row>
    <row r="11" customFormat="false" ht="14.25" hidden="false" customHeight="false" outlineLevel="0" collapsed="false">
      <c r="A11" s="84" t="s">
        <v>351</v>
      </c>
      <c r="B11" s="81"/>
      <c r="C11" s="82"/>
    </row>
    <row r="12" customFormat="false" ht="14.25" hidden="false" customHeight="false" outlineLevel="0" collapsed="false">
      <c r="A12" s="84" t="s">
        <v>365</v>
      </c>
      <c r="B12" s="81"/>
      <c r="C12" s="82"/>
    </row>
    <row r="13" customFormat="false" ht="14.25" hidden="false" customHeight="false" outlineLevel="0" collapsed="false">
      <c r="A13" s="84" t="s">
        <v>456</v>
      </c>
      <c r="B13" s="81"/>
      <c r="C13" s="82"/>
    </row>
    <row r="14" customFormat="false" ht="14.25" hidden="false" customHeight="false" outlineLevel="0" collapsed="false">
      <c r="A14" s="84" t="s">
        <v>467</v>
      </c>
      <c r="B14" s="81"/>
      <c r="C14" s="82"/>
      <c r="D14" s="0" t="s">
        <v>1669</v>
      </c>
    </row>
    <row r="15" customFormat="false" ht="14.25" hidden="false" customHeight="false" outlineLevel="0" collapsed="false">
      <c r="A15" s="84" t="s">
        <v>481</v>
      </c>
      <c r="B15" s="81"/>
      <c r="C15" s="82"/>
    </row>
    <row r="16" customFormat="false" ht="14.25" hidden="false" customHeight="false" outlineLevel="0" collapsed="false">
      <c r="A16" s="84" t="s">
        <v>646</v>
      </c>
      <c r="B16" s="81"/>
      <c r="C16" s="82"/>
    </row>
    <row r="17" customFormat="false" ht="14.25" hidden="false" customHeight="false" outlineLevel="0" collapsed="false">
      <c r="A17" s="84" t="s">
        <v>797</v>
      </c>
      <c r="B17" s="81"/>
      <c r="C17" s="82"/>
    </row>
    <row r="18" customFormat="false" ht="14.25" hidden="false" customHeight="false" outlineLevel="0" collapsed="false">
      <c r="A18" s="85" t="s">
        <v>521</v>
      </c>
      <c r="B18" s="81"/>
      <c r="C18" s="82"/>
    </row>
    <row r="19" customFormat="false" ht="14.25" hidden="false" customHeight="false" outlineLevel="0" collapsed="false">
      <c r="A19" s="84" t="s">
        <v>1675</v>
      </c>
      <c r="B19" s="81"/>
      <c r="C19" s="82"/>
    </row>
    <row r="20" customFormat="false" ht="14.25" hidden="false" customHeight="false" outlineLevel="0" collapsed="false">
      <c r="A20" s="85" t="s">
        <v>570</v>
      </c>
      <c r="B20" s="81"/>
      <c r="C20" s="82"/>
    </row>
    <row r="21" customFormat="false" ht="14.25" hidden="false" customHeight="false" outlineLevel="0" collapsed="false">
      <c r="A21" s="84" t="s">
        <v>1676</v>
      </c>
      <c r="B21" s="81"/>
      <c r="C21" s="82"/>
    </row>
    <row r="22" customFormat="false" ht="14.25" hidden="false" customHeight="false" outlineLevel="0" collapsed="false">
      <c r="A22" s="84" t="s">
        <v>1677</v>
      </c>
      <c r="B22" s="81"/>
      <c r="C22" s="82"/>
    </row>
    <row r="23" customFormat="false" ht="14.25" hidden="false" customHeight="false" outlineLevel="0" collapsed="false">
      <c r="A23" s="84" t="s">
        <v>1678</v>
      </c>
      <c r="B23" s="81"/>
      <c r="C23" s="82"/>
    </row>
    <row r="24" customFormat="false" ht="14.25" hidden="false" customHeight="false" outlineLevel="0" collapsed="false">
      <c r="A24" s="81" t="s">
        <v>1679</v>
      </c>
      <c r="B24" s="81"/>
      <c r="C24" s="82"/>
    </row>
    <row r="25" customFormat="false" ht="14.25" hidden="false" customHeight="false" outlineLevel="0" collapsed="false">
      <c r="A25" s="84" t="s">
        <v>1680</v>
      </c>
      <c r="B25" s="81"/>
      <c r="C25" s="82"/>
    </row>
    <row r="26" customFormat="false" ht="14.25" hidden="false" customHeight="false" outlineLevel="0" collapsed="false">
      <c r="A26" s="84" t="s">
        <v>1681</v>
      </c>
      <c r="B26" s="81"/>
      <c r="C26" s="82"/>
    </row>
    <row r="27" customFormat="false" ht="14.25" hidden="false" customHeight="false" outlineLevel="0" collapsed="false">
      <c r="A27" s="84" t="s">
        <v>1682</v>
      </c>
      <c r="B27" s="81"/>
      <c r="C27" s="82"/>
    </row>
    <row r="28" customFormat="false" ht="14.25" hidden="false" customHeight="false" outlineLevel="0" collapsed="false">
      <c r="A28" s="84" t="s">
        <v>1683</v>
      </c>
      <c r="B28" s="81"/>
      <c r="C28" s="82"/>
    </row>
    <row r="29" customFormat="false" ht="14.25" hidden="false" customHeight="false" outlineLevel="0" collapsed="false">
      <c r="A29" s="84" t="s">
        <v>1684</v>
      </c>
      <c r="B29" s="81"/>
      <c r="C29" s="82"/>
    </row>
    <row r="30" customFormat="false" ht="14.25" hidden="false" customHeight="false" outlineLevel="0" collapsed="false">
      <c r="A30" s="84" t="s">
        <v>1685</v>
      </c>
      <c r="B30" s="81"/>
      <c r="C30" s="8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4"/>
  <sheetViews>
    <sheetView showFormulas="false" showGridLines="true" showRowColHeaders="true" showZeros="true" rightToLeft="false" tabSelected="false" showOutlineSymbols="true" defaultGridColor="true" view="normal" topLeftCell="A183" colorId="64" zoomScale="110" zoomScaleNormal="110" zoomScalePageLayoutView="100" workbookViewId="0">
      <selection pane="topLeft" activeCell="C226" activeCellId="0" sqref="C22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1686</v>
      </c>
      <c r="E1" s="0" t="s">
        <v>1687</v>
      </c>
      <c r="I1" s="0" t="s">
        <v>1688</v>
      </c>
    </row>
    <row r="2" customFormat="false" ht="14.25" hidden="false" customHeight="false" outlineLevel="0" collapsed="false">
      <c r="A2" s="0" t="s">
        <v>1689</v>
      </c>
      <c r="B2" s="0" t="s">
        <v>1690</v>
      </c>
      <c r="C2" s="0" t="s">
        <v>1691</v>
      </c>
      <c r="E2" s="0" t="s">
        <v>1689</v>
      </c>
      <c r="F2" s="0" t="s">
        <v>1690</v>
      </c>
      <c r="G2" s="0" t="s">
        <v>1691</v>
      </c>
      <c r="I2" s="0" t="s">
        <v>1689</v>
      </c>
      <c r="J2" s="0" t="s">
        <v>1690</v>
      </c>
      <c r="K2" s="0" t="s">
        <v>1691</v>
      </c>
    </row>
    <row r="3" customFormat="false" ht="14.25" hidden="false" customHeight="false" outlineLevel="0" collapsed="false">
      <c r="A3" s="0" t="n">
        <v>172</v>
      </c>
      <c r="B3" s="0" t="n">
        <v>83</v>
      </c>
      <c r="C3" s="0" t="n">
        <f aca="false">B3/((A3/100)^2)</f>
        <v>28.0557057869118</v>
      </c>
      <c r="E3" s="0" t="n">
        <v>172</v>
      </c>
      <c r="F3" s="0" t="n">
        <v>100</v>
      </c>
      <c r="G3" s="0" t="n">
        <f aca="false">F3/((E3/100)^2)</f>
        <v>33.802055164954</v>
      </c>
      <c r="I3" s="0" t="n">
        <v>175</v>
      </c>
      <c r="J3" s="0" t="n">
        <v>90</v>
      </c>
      <c r="K3" s="0" t="n">
        <f aca="false">J3/((I3/100)^2)</f>
        <v>29.3877551020408</v>
      </c>
    </row>
    <row r="4" customFormat="false" ht="14.25" hidden="false" customHeight="false" outlineLevel="0" collapsed="false">
      <c r="A4" s="0" t="n">
        <v>174</v>
      </c>
      <c r="B4" s="0" t="n">
        <v>98</v>
      </c>
      <c r="C4" s="0" t="n">
        <f aca="false">B4/((A4/100)^2)</f>
        <v>32.368873034747</v>
      </c>
      <c r="E4" s="0" t="n">
        <v>180</v>
      </c>
      <c r="F4" s="0" t="n">
        <v>90</v>
      </c>
      <c r="G4" s="0" t="n">
        <f aca="false">F4/((E4/100)^2)</f>
        <v>27.7777777777778</v>
      </c>
      <c r="I4" s="0" t="n">
        <v>176</v>
      </c>
      <c r="J4" s="0" t="n">
        <v>85</v>
      </c>
      <c r="K4" s="0" t="n">
        <f aca="false">J4/((I4/100)^2)</f>
        <v>27.4405991735537</v>
      </c>
    </row>
    <row r="5" customFormat="false" ht="14.25" hidden="false" customHeight="false" outlineLevel="0" collapsed="false">
      <c r="A5" s="0" t="n">
        <v>172</v>
      </c>
      <c r="B5" s="0" t="n">
        <v>63</v>
      </c>
      <c r="C5" s="0" t="n">
        <f aca="false">B5/((A5/100)^2)</f>
        <v>21.295294753921</v>
      </c>
      <c r="E5" s="0" t="n">
        <v>165</v>
      </c>
      <c r="F5" s="0" t="n">
        <v>105</v>
      </c>
      <c r="G5" s="0" t="n">
        <f aca="false">F5/((E5/100)^2)</f>
        <v>38.5674931129477</v>
      </c>
      <c r="I5" s="0" t="n">
        <v>170</v>
      </c>
      <c r="J5" s="0" t="n">
        <v>72</v>
      </c>
      <c r="K5" s="0" t="n">
        <f aca="false">J5/((I5/100)^2)</f>
        <v>24.9134948096886</v>
      </c>
    </row>
    <row r="6" customFormat="false" ht="14.25" hidden="false" customHeight="false" outlineLevel="0" collapsed="false">
      <c r="A6" s="0" t="n">
        <v>178</v>
      </c>
      <c r="B6" s="0" t="n">
        <v>76</v>
      </c>
      <c r="C6" s="0" t="n">
        <f aca="false">B6/((A6/100)^2)</f>
        <v>23.9868703446535</v>
      </c>
      <c r="E6" s="0" t="n">
        <v>171</v>
      </c>
      <c r="F6" s="0" t="n">
        <v>74</v>
      </c>
      <c r="G6" s="0" t="n">
        <f aca="false">F6/((E6/100)^2)</f>
        <v>25.3069320474676</v>
      </c>
      <c r="I6" s="0" t="n">
        <v>177</v>
      </c>
      <c r="J6" s="0" t="n">
        <v>84</v>
      </c>
      <c r="K6" s="0" t="n">
        <f aca="false">J6/((I6/100)^2)</f>
        <v>26.8122187110983</v>
      </c>
    </row>
    <row r="7" customFormat="false" ht="14.25" hidden="false" customHeight="false" outlineLevel="0" collapsed="false">
      <c r="A7" s="0" t="n">
        <v>145</v>
      </c>
      <c r="B7" s="0" t="n">
        <v>60</v>
      </c>
      <c r="C7" s="0" t="n">
        <f aca="false">B7/((A7/100)^2)</f>
        <v>28.5374554102259</v>
      </c>
      <c r="E7" s="0" t="n">
        <v>177</v>
      </c>
      <c r="F7" s="0" t="n">
        <v>82</v>
      </c>
      <c r="G7" s="0" t="n">
        <f aca="false">F7/((E7/100)^2)</f>
        <v>26.1738325513103</v>
      </c>
      <c r="J7" s="0" t="s">
        <v>1692</v>
      </c>
      <c r="K7" s="0" t="n">
        <f aca="false">AVERAGE(K3:K6)</f>
        <v>27.1385169490954</v>
      </c>
    </row>
    <row r="8" customFormat="false" ht="14.25" hidden="false" customHeight="false" outlineLevel="0" collapsed="false">
      <c r="A8" s="0" t="n">
        <v>170</v>
      </c>
      <c r="B8" s="0" t="n">
        <v>80</v>
      </c>
      <c r="C8" s="0" t="n">
        <f aca="false">B8/((A8/100)^2)</f>
        <v>27.681660899654</v>
      </c>
      <c r="E8" s="0" t="n">
        <v>176</v>
      </c>
      <c r="F8" s="0" t="n">
        <v>104</v>
      </c>
      <c r="G8" s="0" t="n">
        <f aca="false">F8/((E8/100)^2)</f>
        <v>33.5743801652893</v>
      </c>
      <c r="J8" s="0" t="s">
        <v>1693</v>
      </c>
      <c r="K8" s="0" t="n">
        <f aca="false">_xlfn.STDEV.S(K3:K6)</f>
        <v>1.84458848165559</v>
      </c>
    </row>
    <row r="9" customFormat="false" ht="14.25" hidden="false" customHeight="false" outlineLevel="0" collapsed="false">
      <c r="A9" s="0" t="n">
        <v>170</v>
      </c>
      <c r="B9" s="0" t="n">
        <v>76</v>
      </c>
      <c r="C9" s="0" t="n">
        <f aca="false">B9/((A9/100)^2)</f>
        <v>26.2975778546713</v>
      </c>
      <c r="E9" s="0" t="n">
        <v>164</v>
      </c>
      <c r="F9" s="0" t="n">
        <v>80</v>
      </c>
      <c r="G9" s="0" t="n">
        <f aca="false">F9/((E9/100)^2)</f>
        <v>29.7441998810232</v>
      </c>
    </row>
    <row r="10" customFormat="false" ht="14.25" hidden="false" customHeight="false" outlineLevel="0" collapsed="false">
      <c r="A10" s="0" t="n">
        <v>166</v>
      </c>
      <c r="B10" s="0" t="n">
        <v>96</v>
      </c>
      <c r="C10" s="0" t="n">
        <f aca="false">B10/((A10/100)^2)</f>
        <v>34.8381477718101</v>
      </c>
      <c r="E10" s="0" t="n">
        <v>195</v>
      </c>
      <c r="F10" s="0" t="n">
        <v>78</v>
      </c>
      <c r="G10" s="0" t="n">
        <f aca="false">F10/((E10/100)^2)</f>
        <v>20.5128205128205</v>
      </c>
    </row>
    <row r="11" customFormat="false" ht="14.25" hidden="false" customHeight="false" outlineLevel="0" collapsed="false">
      <c r="A11" s="0" t="n">
        <v>161</v>
      </c>
      <c r="B11" s="0" t="n">
        <v>89</v>
      </c>
      <c r="C11" s="0" t="n">
        <f aca="false">B11/((A11/100)^2)</f>
        <v>34.3350950966398</v>
      </c>
      <c r="F11" s="0" t="s">
        <v>1692</v>
      </c>
      <c r="G11" s="0" t="n">
        <f aca="false">AVERAGE(G3:G10)</f>
        <v>29.4324364016988</v>
      </c>
    </row>
    <row r="12" customFormat="false" ht="14.25" hidden="false" customHeight="false" outlineLevel="0" collapsed="false">
      <c r="A12" s="0" t="n">
        <v>184</v>
      </c>
      <c r="B12" s="0" t="n">
        <v>80</v>
      </c>
      <c r="C12" s="0" t="n">
        <f aca="false">B12/((A12/100)^2)</f>
        <v>23.6294896030246</v>
      </c>
      <c r="F12" s="0" t="s">
        <v>1693</v>
      </c>
      <c r="G12" s="0" t="n">
        <f aca="false">_xlfn.STDEV.S(G3:G10)</f>
        <v>5.72876765430533</v>
      </c>
    </row>
    <row r="13" customFormat="false" ht="14.25" hidden="false" customHeight="false" outlineLevel="0" collapsed="false">
      <c r="A13" s="0" t="n">
        <v>170</v>
      </c>
      <c r="B13" s="0" t="n">
        <v>90</v>
      </c>
      <c r="C13" s="0" t="n">
        <f aca="false">B13/((A13/100)^2)</f>
        <v>31.1418685121107</v>
      </c>
    </row>
    <row r="14" customFormat="false" ht="14.25" hidden="false" customHeight="false" outlineLevel="0" collapsed="false">
      <c r="A14" s="0" t="n">
        <v>162</v>
      </c>
      <c r="B14" s="0" t="n">
        <v>68</v>
      </c>
      <c r="C14" s="0" t="n">
        <f aca="false">B14/((A14/100)^2)</f>
        <v>25.9106843468983</v>
      </c>
    </row>
    <row r="15" customFormat="false" ht="14.25" hidden="false" customHeight="false" outlineLevel="0" collapsed="false">
      <c r="A15" s="0" t="n">
        <v>169</v>
      </c>
      <c r="B15" s="0" t="n">
        <v>65</v>
      </c>
      <c r="C15" s="0" t="n">
        <f aca="false">B15/((A15/100)^2)</f>
        <v>22.7583067819754</v>
      </c>
    </row>
    <row r="16" customFormat="false" ht="14.25" hidden="false" customHeight="false" outlineLevel="0" collapsed="false">
      <c r="A16" s="0" t="n">
        <v>178</v>
      </c>
      <c r="B16" s="0" t="n">
        <v>76</v>
      </c>
      <c r="C16" s="0" t="n">
        <f aca="false">B16/((A16/100)^2)</f>
        <v>23.9868703446535</v>
      </c>
    </row>
    <row r="17" customFormat="false" ht="14.25" hidden="false" customHeight="false" outlineLevel="0" collapsed="false">
      <c r="A17" s="0" t="n">
        <v>173</v>
      </c>
      <c r="B17" s="0" t="n">
        <v>110</v>
      </c>
      <c r="C17" s="0" t="n">
        <f aca="false">B17/((A17/100)^2)</f>
        <v>36.7536503057235</v>
      </c>
    </row>
    <row r="18" customFormat="false" ht="14.25" hidden="false" customHeight="false" outlineLevel="0" collapsed="false">
      <c r="A18" s="0" t="n">
        <v>160</v>
      </c>
      <c r="B18" s="0" t="n">
        <v>95</v>
      </c>
      <c r="C18" s="0" t="n">
        <f aca="false">B18/((A18/100)^2)</f>
        <v>37.109375</v>
      </c>
    </row>
    <row r="19" customFormat="false" ht="14.25" hidden="false" customHeight="false" outlineLevel="0" collapsed="false">
      <c r="A19" s="0" t="n">
        <v>165</v>
      </c>
      <c r="B19" s="0" t="n">
        <v>83</v>
      </c>
      <c r="C19" s="0" t="n">
        <f aca="false">B19/((A19/100)^2)</f>
        <v>30.4866850321396</v>
      </c>
    </row>
    <row r="20" customFormat="false" ht="14.25" hidden="false" customHeight="false" outlineLevel="0" collapsed="false">
      <c r="A20" s="0" t="n">
        <v>167</v>
      </c>
      <c r="B20" s="0" t="n">
        <v>75</v>
      </c>
      <c r="C20" s="0" t="n">
        <f aca="false">B20/((A20/100)^2)</f>
        <v>26.8923231381548</v>
      </c>
    </row>
    <row r="21" customFormat="false" ht="14.25" hidden="false" customHeight="false" outlineLevel="0" collapsed="false">
      <c r="A21" s="0" t="n">
        <v>170</v>
      </c>
      <c r="B21" s="0" t="n">
        <v>80</v>
      </c>
      <c r="C21" s="0" t="n">
        <f aca="false">B21/((A21/100)^2)</f>
        <v>27.681660899654</v>
      </c>
    </row>
    <row r="22" customFormat="false" ht="14.25" hidden="false" customHeight="false" outlineLevel="0" collapsed="false">
      <c r="A22" s="0" t="n">
        <v>163</v>
      </c>
      <c r="B22" s="0" t="n">
        <v>100</v>
      </c>
      <c r="C22" s="0" t="n">
        <f aca="false">B22/((A22/100)^2)</f>
        <v>37.6378486205729</v>
      </c>
    </row>
    <row r="23" customFormat="false" ht="14.25" hidden="false" customHeight="false" outlineLevel="0" collapsed="false">
      <c r="A23" s="0" t="n">
        <v>147</v>
      </c>
      <c r="B23" s="0" t="n">
        <v>65</v>
      </c>
      <c r="C23" s="0" t="n">
        <f aca="false">B23/((A23/100)^2)</f>
        <v>30.0800592345782</v>
      </c>
    </row>
    <row r="24" customFormat="false" ht="14.25" hidden="false" customHeight="false" outlineLevel="0" collapsed="false">
      <c r="A24" s="0" t="n">
        <v>160</v>
      </c>
      <c r="B24" s="0" t="n">
        <v>112</v>
      </c>
      <c r="C24" s="0" t="n">
        <f aca="false">B24/((A24/100)^2)</f>
        <v>43.75</v>
      </c>
    </row>
    <row r="25" customFormat="false" ht="14.25" hidden="false" customHeight="false" outlineLevel="0" collapsed="false">
      <c r="A25" s="0" t="n">
        <v>171</v>
      </c>
      <c r="B25" s="0" t="n">
        <v>63</v>
      </c>
      <c r="C25" s="0" t="n">
        <f aca="false">B25/((A25/100)^2)</f>
        <v>21.5450907971684</v>
      </c>
    </row>
    <row r="26" customFormat="false" ht="14.25" hidden="false" customHeight="false" outlineLevel="0" collapsed="false">
      <c r="A26" s="0" t="n">
        <v>165</v>
      </c>
      <c r="B26" s="0" t="n">
        <v>105</v>
      </c>
      <c r="C26" s="0" t="n">
        <f aca="false">B26/((A26/100)^2)</f>
        <v>38.5674931129477</v>
      </c>
    </row>
    <row r="27" customFormat="false" ht="14.25" hidden="false" customHeight="false" outlineLevel="0" collapsed="false">
      <c r="A27" s="0" t="n">
        <v>172</v>
      </c>
      <c r="B27" s="0" t="n">
        <v>80</v>
      </c>
      <c r="C27" s="0" t="n">
        <f aca="false">B27/((A27/100)^2)</f>
        <v>27.0416441319632</v>
      </c>
    </row>
    <row r="28" customFormat="false" ht="14.25" hidden="false" customHeight="false" outlineLevel="0" collapsed="false">
      <c r="A28" s="0" t="n">
        <v>157</v>
      </c>
      <c r="B28" s="0" t="n">
        <v>94</v>
      </c>
      <c r="C28" s="0" t="n">
        <f aca="false">B28/((A28/100)^2)</f>
        <v>38.1354213152663</v>
      </c>
    </row>
    <row r="29" customFormat="false" ht="14.25" hidden="false" customHeight="false" outlineLevel="0" collapsed="false">
      <c r="A29" s="0" t="n">
        <v>164</v>
      </c>
      <c r="B29" s="0" t="n">
        <v>60</v>
      </c>
      <c r="C29" s="0" t="n">
        <f aca="false">B29/((A29/100)^2)</f>
        <v>22.3081499107674</v>
      </c>
    </row>
    <row r="30" customFormat="false" ht="14.25" hidden="false" customHeight="false" outlineLevel="0" collapsed="false">
      <c r="A30" s="0" t="n">
        <v>171</v>
      </c>
      <c r="B30" s="0" t="n">
        <v>74</v>
      </c>
      <c r="C30" s="0" t="n">
        <f aca="false">B30/((A30/100)^2)</f>
        <v>25.3069320474676</v>
      </c>
    </row>
    <row r="31" customFormat="false" ht="14.25" hidden="false" customHeight="false" outlineLevel="0" collapsed="false">
      <c r="A31" s="0" t="n">
        <v>175</v>
      </c>
      <c r="B31" s="0" t="n">
        <v>85</v>
      </c>
      <c r="C31" s="0" t="n">
        <f aca="false">B31/((A31/100)^2)</f>
        <v>27.7551020408163</v>
      </c>
    </row>
    <row r="32" customFormat="false" ht="14.25" hidden="false" customHeight="false" outlineLevel="0" collapsed="false">
      <c r="A32" s="0" t="n">
        <v>166</v>
      </c>
      <c r="B32" s="0" t="n">
        <v>113</v>
      </c>
      <c r="C32" s="0" t="n">
        <f aca="false">B32/((A32/100)^2)</f>
        <v>41.0074031064015</v>
      </c>
    </row>
    <row r="33" customFormat="false" ht="14.25" hidden="false" customHeight="false" outlineLevel="0" collapsed="false">
      <c r="A33" s="0" t="n">
        <v>154</v>
      </c>
      <c r="B33" s="0" t="n">
        <v>90</v>
      </c>
      <c r="C33" s="0" t="n">
        <f aca="false">B33/((A33/100)^2)</f>
        <v>37.9490639230899</v>
      </c>
    </row>
    <row r="34" customFormat="false" ht="14.25" hidden="false" customHeight="false" outlineLevel="0" collapsed="false">
      <c r="A34" s="0" t="n">
        <v>150</v>
      </c>
      <c r="B34" s="0" t="n">
        <v>70</v>
      </c>
      <c r="C34" s="0" t="n">
        <f aca="false">B34/((A34/100)^2)</f>
        <v>31.1111111111111</v>
      </c>
    </row>
    <row r="35" customFormat="false" ht="14.25" hidden="false" customHeight="false" outlineLevel="0" collapsed="false">
      <c r="A35" s="0" t="n">
        <v>170</v>
      </c>
      <c r="B35" s="0" t="n">
        <v>77</v>
      </c>
      <c r="C35" s="0" t="n">
        <f aca="false">B35/((A35/100)^2)</f>
        <v>26.643598615917</v>
      </c>
    </row>
    <row r="36" customFormat="false" ht="14.25" hidden="false" customHeight="false" outlineLevel="0" collapsed="false">
      <c r="A36" s="0" t="n">
        <v>158</v>
      </c>
      <c r="B36" s="0" t="n">
        <v>53</v>
      </c>
      <c r="C36" s="0" t="n">
        <f aca="false">B36/((A36/100)^2)</f>
        <v>21.2305720237141</v>
      </c>
    </row>
    <row r="37" customFormat="false" ht="14.25" hidden="false" customHeight="false" outlineLevel="0" collapsed="false">
      <c r="A37" s="0" t="n">
        <v>160</v>
      </c>
      <c r="B37" s="0" t="n">
        <v>86</v>
      </c>
      <c r="C37" s="0" t="n">
        <f aca="false">B37/((A37/100)^2)</f>
        <v>33.59375</v>
      </c>
    </row>
    <row r="38" customFormat="false" ht="14.25" hidden="false" customHeight="false" outlineLevel="0" collapsed="false">
      <c r="A38" s="0" t="n">
        <v>160</v>
      </c>
      <c r="B38" s="0" t="n">
        <v>62</v>
      </c>
      <c r="C38" s="0" t="n">
        <f aca="false">B38/((A38/100)^2)</f>
        <v>24.21875</v>
      </c>
    </row>
    <row r="39" customFormat="false" ht="14.25" hidden="false" customHeight="false" outlineLevel="0" collapsed="false">
      <c r="A39" s="0" t="n">
        <v>167</v>
      </c>
      <c r="B39" s="0" t="n">
        <v>92</v>
      </c>
      <c r="C39" s="0" t="n">
        <f aca="false">B39/((A39/100)^2)</f>
        <v>32.9879163828033</v>
      </c>
    </row>
    <row r="40" customFormat="false" ht="14.25" hidden="false" customHeight="false" outlineLevel="0" collapsed="false">
      <c r="A40" s="0" t="n">
        <v>176</v>
      </c>
      <c r="B40" s="0" t="n">
        <v>90</v>
      </c>
      <c r="C40" s="0" t="n">
        <f aca="false">B40/((A40/100)^2)</f>
        <v>29.0547520661157</v>
      </c>
    </row>
    <row r="41" customFormat="false" ht="14.25" hidden="false" customHeight="false" outlineLevel="0" collapsed="false">
      <c r="A41" s="0" t="n">
        <v>168</v>
      </c>
      <c r="B41" s="0" t="n">
        <v>85</v>
      </c>
      <c r="C41" s="0" t="n">
        <f aca="false">B41/((A41/100)^2)</f>
        <v>30.1162131519274</v>
      </c>
    </row>
    <row r="42" customFormat="false" ht="14.25" hidden="false" customHeight="false" outlineLevel="0" collapsed="false">
      <c r="A42" s="0" t="n">
        <v>155</v>
      </c>
      <c r="B42" s="0" t="n">
        <v>74</v>
      </c>
      <c r="C42" s="0" t="n">
        <f aca="false">B42/((A42/100)^2)</f>
        <v>30.8012486992716</v>
      </c>
    </row>
    <row r="43" customFormat="false" ht="14.25" hidden="false" customHeight="false" outlineLevel="0" collapsed="false">
      <c r="A43" s="0" t="n">
        <v>170</v>
      </c>
      <c r="B43" s="0" t="n">
        <v>95</v>
      </c>
      <c r="C43" s="0" t="n">
        <f aca="false">B43/((A43/100)^2)</f>
        <v>32.8719723183391</v>
      </c>
    </row>
    <row r="44" customFormat="false" ht="14.25" hidden="false" customHeight="false" outlineLevel="0" collapsed="false">
      <c r="A44" s="0" t="n">
        <v>177</v>
      </c>
      <c r="B44" s="0" t="n">
        <v>78</v>
      </c>
      <c r="C44" s="0" t="n">
        <f aca="false">B44/((A44/100)^2)</f>
        <v>24.8970602317342</v>
      </c>
    </row>
    <row r="45" customFormat="false" ht="14.25" hidden="false" customHeight="false" outlineLevel="0" collapsed="false">
      <c r="A45" s="0" t="n">
        <v>177</v>
      </c>
      <c r="B45" s="0" t="n">
        <v>81</v>
      </c>
      <c r="C45" s="0" t="n">
        <f aca="false">B45/((A45/100)^2)</f>
        <v>25.8546394714163</v>
      </c>
    </row>
    <row r="46" customFormat="false" ht="14.25" hidden="false" customHeight="false" outlineLevel="0" collapsed="false">
      <c r="A46" s="0" t="n">
        <v>167</v>
      </c>
      <c r="B46" s="0" t="n">
        <v>84</v>
      </c>
      <c r="C46" s="0" t="n">
        <f aca="false">B46/((A46/100)^2)</f>
        <v>30.1194019147334</v>
      </c>
    </row>
    <row r="47" customFormat="false" ht="14.25" hidden="false" customHeight="false" outlineLevel="0" collapsed="false">
      <c r="A47" s="0" t="n">
        <v>187</v>
      </c>
      <c r="B47" s="0" t="n">
        <v>85</v>
      </c>
      <c r="C47" s="0" t="n">
        <f aca="false">B47/((A47/100)^2)</f>
        <v>24.3072435585805</v>
      </c>
    </row>
    <row r="48" customFormat="false" ht="14.25" hidden="false" customHeight="false" outlineLevel="0" collapsed="false">
      <c r="A48" s="0" t="n">
        <v>176</v>
      </c>
      <c r="B48" s="0" t="n">
        <v>104</v>
      </c>
      <c r="C48" s="0" t="n">
        <f aca="false">B48/((A48/100)^2)</f>
        <v>33.5743801652893</v>
      </c>
    </row>
    <row r="49" customFormat="false" ht="14.25" hidden="false" customHeight="false" outlineLevel="0" collapsed="false">
      <c r="A49" s="0" t="n">
        <v>164</v>
      </c>
      <c r="B49" s="0" t="n">
        <v>80</v>
      </c>
      <c r="C49" s="0" t="n">
        <f aca="false">B49/((A49/100)^2)</f>
        <v>29.7441998810232</v>
      </c>
    </row>
    <row r="50" customFormat="false" ht="14.25" hidden="false" customHeight="false" outlineLevel="0" collapsed="false">
      <c r="A50" s="0" t="n">
        <v>160</v>
      </c>
      <c r="B50" s="0" t="n">
        <v>80</v>
      </c>
      <c r="C50" s="0" t="n">
        <f aca="false">B50/((A50/100)^2)</f>
        <v>31.25</v>
      </c>
    </row>
    <row r="51" customFormat="false" ht="14.25" hidden="false" customHeight="false" outlineLevel="0" collapsed="false">
      <c r="A51" s="0" t="n">
        <v>163</v>
      </c>
      <c r="B51" s="0" t="n">
        <v>96</v>
      </c>
      <c r="C51" s="0" t="n">
        <f aca="false">B51/((A51/100)^2)</f>
        <v>36.1323346757499</v>
      </c>
    </row>
    <row r="52" customFormat="false" ht="14.25" hidden="false" customHeight="false" outlineLevel="0" collapsed="false">
      <c r="A52" s="0" t="n">
        <v>166</v>
      </c>
      <c r="B52" s="0" t="n">
        <v>75</v>
      </c>
      <c r="C52" s="0" t="n">
        <f aca="false">B52/((A52/100)^2)</f>
        <v>27.2173029467267</v>
      </c>
    </row>
    <row r="53" customFormat="false" ht="14.25" hidden="false" customHeight="false" outlineLevel="0" collapsed="false">
      <c r="A53" s="0" t="n">
        <v>156</v>
      </c>
      <c r="B53" s="0" t="n">
        <v>90</v>
      </c>
      <c r="C53" s="0" t="n">
        <f aca="false">B53/((A53/100)^2)</f>
        <v>36.9822485207101</v>
      </c>
    </row>
    <row r="54" customFormat="false" ht="14.25" hidden="false" customHeight="false" outlineLevel="0" collapsed="false">
      <c r="A54" s="0" t="n">
        <v>165</v>
      </c>
      <c r="B54" s="0" t="n">
        <v>82</v>
      </c>
      <c r="C54" s="0" t="n">
        <f aca="false">B54/((A54/100)^2)</f>
        <v>30.119375573921</v>
      </c>
    </row>
    <row r="55" customFormat="false" ht="14.25" hidden="false" customHeight="false" outlineLevel="0" collapsed="false">
      <c r="A55" s="0" t="n">
        <v>150</v>
      </c>
      <c r="B55" s="0" t="n">
        <v>93</v>
      </c>
      <c r="C55" s="0" t="n">
        <f aca="false">B55/((A55/100)^2)</f>
        <v>41.3333333333333</v>
      </c>
    </row>
    <row r="56" customFormat="false" ht="14.25" hidden="false" customHeight="false" outlineLevel="0" collapsed="false">
      <c r="A56" s="0" t="n">
        <v>168</v>
      </c>
      <c r="B56" s="0" t="n">
        <v>75</v>
      </c>
      <c r="C56" s="0" t="n">
        <f aca="false">B56/((A56/100)^2)</f>
        <v>26.5731292517007</v>
      </c>
    </row>
    <row r="57" customFormat="false" ht="14.25" hidden="false" customHeight="false" outlineLevel="0" collapsed="false">
      <c r="A57" s="0" t="n">
        <v>195</v>
      </c>
      <c r="B57" s="0" t="n">
        <v>78</v>
      </c>
      <c r="C57" s="0" t="n">
        <f aca="false">B57/((A57/100)^2)</f>
        <v>20.5128205128205</v>
      </c>
    </row>
    <row r="58" customFormat="false" ht="14.25" hidden="false" customHeight="false" outlineLevel="0" collapsed="false">
      <c r="A58" s="0" t="n">
        <v>178</v>
      </c>
      <c r="B58" s="0" t="n">
        <v>75</v>
      </c>
      <c r="C58" s="0" t="n">
        <f aca="false">B58/((A58/100)^2)</f>
        <v>23.6712536295922</v>
      </c>
    </row>
    <row r="59" customFormat="false" ht="14.25" hidden="false" customHeight="false" outlineLevel="0" collapsed="false">
      <c r="A59" s="0" t="n">
        <v>149</v>
      </c>
      <c r="B59" s="0" t="n">
        <v>64</v>
      </c>
      <c r="C59" s="0" t="n">
        <f aca="false">B59/((A59/100)^2)</f>
        <v>28.8275302914283</v>
      </c>
    </row>
    <row r="60" customFormat="false" ht="14.25" hidden="false" customHeight="false" outlineLevel="0" collapsed="false">
      <c r="A60" s="0" t="n">
        <v>182</v>
      </c>
      <c r="B60" s="0" t="n">
        <v>90</v>
      </c>
      <c r="C60" s="0" t="n">
        <f aca="false">B60/((A60/100)^2)</f>
        <v>27.170631566236</v>
      </c>
    </row>
    <row r="61" customFormat="false" ht="14.25" hidden="false" customHeight="false" outlineLevel="0" collapsed="false">
      <c r="A61" s="0" t="n">
        <v>166</v>
      </c>
      <c r="B61" s="0" t="n">
        <v>82</v>
      </c>
      <c r="C61" s="0" t="n">
        <f aca="false">B61/((A61/100)^2)</f>
        <v>29.7575845550878</v>
      </c>
    </row>
    <row r="62" customFormat="false" ht="14.25" hidden="false" customHeight="false" outlineLevel="0" collapsed="false">
      <c r="A62" s="0" t="n">
        <v>177</v>
      </c>
      <c r="B62" s="0" t="n">
        <v>84</v>
      </c>
      <c r="C62" s="0" t="n">
        <f aca="false">B62/((A62/100)^2)</f>
        <v>26.8122187110983</v>
      </c>
    </row>
    <row r="63" customFormat="false" ht="14.25" hidden="false" customHeight="false" outlineLevel="0" collapsed="false">
      <c r="A63" s="0" t="n">
        <v>156</v>
      </c>
      <c r="B63" s="0" t="n">
        <v>60</v>
      </c>
      <c r="C63" s="0" t="n">
        <f aca="false">B63/((A63/100)^2)</f>
        <v>24.65483234714</v>
      </c>
    </row>
    <row r="64" customFormat="false" ht="14.25" hidden="false" customHeight="false" outlineLevel="0" collapsed="false">
      <c r="A64" s="0" t="n">
        <v>153</v>
      </c>
      <c r="B64" s="0" t="n">
        <v>61</v>
      </c>
      <c r="C64" s="0" t="n">
        <f aca="false">B64/((A64/100)^2)</f>
        <v>26.0583536246743</v>
      </c>
    </row>
    <row r="65" customFormat="false" ht="14.25" hidden="false" customHeight="false" outlineLevel="0" collapsed="false">
      <c r="A65" s="0" t="n">
        <v>177</v>
      </c>
      <c r="B65" s="0" t="n">
        <v>72</v>
      </c>
      <c r="C65" s="0" t="n">
        <f aca="false">B65/((A65/100)^2)</f>
        <v>22.98190175237</v>
      </c>
    </row>
    <row r="66" customFormat="false" ht="14.25" hidden="false" customHeight="false" outlineLevel="0" collapsed="false">
      <c r="A66" s="0" t="n">
        <v>176</v>
      </c>
      <c r="B66" s="0" t="n">
        <v>95</v>
      </c>
      <c r="C66" s="0" t="n">
        <f aca="false">B66/((A66/100)^2)</f>
        <v>30.6689049586777</v>
      </c>
    </row>
    <row r="67" customFormat="false" ht="14.25" hidden="false" customHeight="false" outlineLevel="0" collapsed="false">
      <c r="A67" s="0" t="n">
        <v>162</v>
      </c>
      <c r="B67" s="0" t="n">
        <v>78</v>
      </c>
      <c r="C67" s="0" t="n">
        <f aca="false">B67/((A67/100)^2)</f>
        <v>29.7210791037951</v>
      </c>
    </row>
    <row r="68" customFormat="false" ht="14.25" hidden="false" customHeight="false" outlineLevel="0" collapsed="false">
      <c r="A68" s="0" t="n">
        <v>162</v>
      </c>
      <c r="B68" s="0" t="n">
        <v>68</v>
      </c>
      <c r="C68" s="0" t="n">
        <f aca="false">B68/((A68/100)^2)</f>
        <v>25.9106843468983</v>
      </c>
    </row>
    <row r="69" customFormat="false" ht="14.25" hidden="false" customHeight="false" outlineLevel="0" collapsed="false">
      <c r="A69" s="0" t="n">
        <v>168</v>
      </c>
      <c r="B69" s="0" t="n">
        <v>115</v>
      </c>
      <c r="C69" s="0" t="n">
        <f aca="false">B69/((A69/100)^2)</f>
        <v>40.7454648526077</v>
      </c>
    </row>
    <row r="70" customFormat="false" ht="14.25" hidden="false" customHeight="false" outlineLevel="0" collapsed="false">
      <c r="A70" s="0" t="n">
        <v>160</v>
      </c>
      <c r="B70" s="0" t="n">
        <v>73</v>
      </c>
      <c r="C70" s="0" t="n">
        <f aca="false">B70/((A70/100)^2)</f>
        <v>28.515625</v>
      </c>
    </row>
    <row r="71" customFormat="false" ht="14.25" hidden="false" customHeight="false" outlineLevel="0" collapsed="false">
      <c r="A71" s="0" t="n">
        <v>150</v>
      </c>
      <c r="B71" s="0" t="n">
        <v>62</v>
      </c>
      <c r="C71" s="0" t="n">
        <f aca="false">B71/((A71/100)^2)</f>
        <v>27.5555555555556</v>
      </c>
    </row>
    <row r="72" customFormat="false" ht="14.25" hidden="false" customHeight="false" outlineLevel="0" collapsed="false">
      <c r="A72" s="0" t="n">
        <v>165</v>
      </c>
      <c r="B72" s="0" t="n">
        <v>110</v>
      </c>
      <c r="C72" s="0" t="n">
        <f aca="false">B72/((A72/100)^2)</f>
        <v>40.4040404040404</v>
      </c>
    </row>
    <row r="73" customFormat="false" ht="14.25" hidden="false" customHeight="false" outlineLevel="0" collapsed="false">
      <c r="A73" s="0" t="n">
        <v>167</v>
      </c>
      <c r="B73" s="0" t="n">
        <v>78</v>
      </c>
      <c r="C73" s="0" t="n">
        <f aca="false">B73/((A73/100)^2)</f>
        <v>27.968016063681</v>
      </c>
    </row>
    <row r="74" customFormat="false" ht="14.25" hidden="false" customHeight="false" outlineLevel="0" collapsed="false">
      <c r="A74" s="0" t="n">
        <v>153</v>
      </c>
      <c r="B74" s="0" t="n">
        <v>75</v>
      </c>
      <c r="C74" s="0" t="n">
        <f aca="false">B74/((A74/100)^2)</f>
        <v>32.0389593745995</v>
      </c>
    </row>
    <row r="75" customFormat="false" ht="14.25" hidden="false" customHeight="false" outlineLevel="0" collapsed="false">
      <c r="A75" s="0" t="n">
        <v>158</v>
      </c>
      <c r="B75" s="0" t="n">
        <v>84</v>
      </c>
      <c r="C75" s="0" t="n">
        <f aca="false">B75/((A75/100)^2)</f>
        <v>33.6484537734337</v>
      </c>
    </row>
    <row r="76" customFormat="false" ht="14.25" hidden="false" customHeight="false" outlineLevel="0" collapsed="false">
      <c r="A76" s="0" t="n">
        <v>178</v>
      </c>
      <c r="B76" s="0" t="n">
        <v>85</v>
      </c>
      <c r="C76" s="0" t="n">
        <f aca="false">B76/((A76/100)^2)</f>
        <v>26.8274207802045</v>
      </c>
    </row>
    <row r="77" customFormat="false" ht="14.25" hidden="false" customHeight="false" outlineLevel="0" collapsed="false">
      <c r="A77" s="0" t="n">
        <v>183</v>
      </c>
      <c r="B77" s="0" t="n">
        <v>74</v>
      </c>
      <c r="C77" s="0" t="n">
        <f aca="false">B77/((A77/100)^2)</f>
        <v>22.096807907074</v>
      </c>
    </row>
    <row r="78" customFormat="false" ht="14.25" hidden="false" customHeight="false" outlineLevel="0" collapsed="false">
      <c r="A78" s="0" t="n">
        <v>163</v>
      </c>
      <c r="B78" s="0" t="n">
        <v>65</v>
      </c>
      <c r="C78" s="0" t="n">
        <f aca="false">B78/((A78/100)^2)</f>
        <v>24.4646016033724</v>
      </c>
    </row>
    <row r="79" customFormat="false" ht="14.25" hidden="false" customHeight="false" outlineLevel="0" collapsed="false">
      <c r="A79" s="0" t="n">
        <v>153</v>
      </c>
      <c r="B79" s="0" t="n">
        <v>95</v>
      </c>
      <c r="C79" s="0" t="n">
        <f aca="false">B79/((A79/100)^2)</f>
        <v>40.5826818744927</v>
      </c>
    </row>
    <row r="80" customFormat="false" ht="14.25" hidden="false" customHeight="false" outlineLevel="0" collapsed="false">
      <c r="A80" s="0" t="n">
        <v>172</v>
      </c>
      <c r="B80" s="0" t="n">
        <v>78</v>
      </c>
      <c r="C80" s="0" t="n">
        <f aca="false">B80/((A80/100)^2)</f>
        <v>26.3656030286641</v>
      </c>
    </row>
    <row r="81" customFormat="false" ht="14.25" hidden="false" customHeight="false" outlineLevel="0" collapsed="false">
      <c r="A81" s="0" t="n">
        <v>174</v>
      </c>
      <c r="B81" s="0" t="n">
        <v>84</v>
      </c>
      <c r="C81" s="0" t="n">
        <f aca="false">B81/((A81/100)^2)</f>
        <v>27.7447483154974</v>
      </c>
    </row>
    <row r="82" customFormat="false" ht="14.25" hidden="false" customHeight="false" outlineLevel="0" collapsed="false">
      <c r="A82" s="0" t="n">
        <v>156</v>
      </c>
      <c r="B82" s="0" t="n">
        <v>73</v>
      </c>
      <c r="C82" s="0" t="n">
        <f aca="false">B82/((A82/100)^2)</f>
        <v>29.9967126890204</v>
      </c>
    </row>
    <row r="83" customFormat="false" ht="14.25" hidden="false" customHeight="false" outlineLevel="0" collapsed="false">
      <c r="A83" s="0" t="n">
        <v>180</v>
      </c>
      <c r="B83" s="0" t="n">
        <v>87</v>
      </c>
      <c r="C83" s="0" t="n">
        <f aca="false">B83/((A83/100)^2)</f>
        <v>26.8518518518519</v>
      </c>
    </row>
    <row r="84" customFormat="false" ht="14.25" hidden="false" customHeight="false" outlineLevel="0" collapsed="false">
      <c r="A84" s="0" t="n">
        <v>197</v>
      </c>
      <c r="B84" s="0" t="n">
        <v>103</v>
      </c>
      <c r="C84" s="0" t="n">
        <f aca="false">B84/((A84/100)^2)</f>
        <v>26.5402355123811</v>
      </c>
    </row>
    <row r="85" customFormat="false" ht="14.25" hidden="false" customHeight="false" outlineLevel="0" collapsed="false">
      <c r="A85" s="0" t="n">
        <v>180</v>
      </c>
      <c r="B85" s="0" t="n">
        <v>72</v>
      </c>
      <c r="C85" s="0" t="n">
        <f aca="false">B85/((A85/100)^2)</f>
        <v>22.2222222222222</v>
      </c>
    </row>
    <row r="86" customFormat="false" ht="14.25" hidden="false" customHeight="false" outlineLevel="0" collapsed="false">
      <c r="B86" s="0" t="s">
        <v>1692</v>
      </c>
      <c r="C86" s="0" t="n">
        <f aca="false">AVERAGE(C3:C85)</f>
        <v>29.4805196778463</v>
      </c>
    </row>
    <row r="87" customFormat="false" ht="14.25" hidden="false" customHeight="false" outlineLevel="0" collapsed="false">
      <c r="B87" s="0" t="s">
        <v>1693</v>
      </c>
      <c r="C87" s="0" t="n">
        <f aca="false">_xlfn.STDEV.S(C3:C85)</f>
        <v>5.48522497399877</v>
      </c>
    </row>
    <row r="98" customFormat="false" ht="14.25" hidden="false" customHeight="false" outlineLevel="0" collapsed="false">
      <c r="A98" s="86" t="s">
        <v>1694</v>
      </c>
      <c r="B98" s="86" t="s">
        <v>1695</v>
      </c>
      <c r="C98" s="86" t="s">
        <v>1696</v>
      </c>
      <c r="D98" s="86" t="s">
        <v>1697</v>
      </c>
      <c r="E98" s="86" t="s">
        <v>1698</v>
      </c>
      <c r="F98" s="86" t="s">
        <v>1699</v>
      </c>
      <c r="G98" s="86" t="s">
        <v>1700</v>
      </c>
      <c r="H98" s="86" t="s">
        <v>1701</v>
      </c>
      <c r="I98" s="86" t="s">
        <v>1702</v>
      </c>
      <c r="J98" s="86" t="s">
        <v>1703</v>
      </c>
      <c r="L98" s="0" t="s">
        <v>1704</v>
      </c>
      <c r="M98" s="0" t="s">
        <v>1705</v>
      </c>
      <c r="N98" s="0" t="s">
        <v>1706</v>
      </c>
    </row>
    <row r="99" customFormat="false" ht="14.25" hidden="false" customHeight="false" outlineLevel="0" collapsed="false">
      <c r="A99" s="0" t="n">
        <v>308</v>
      </c>
      <c r="B99" s="0" t="n">
        <v>64</v>
      </c>
      <c r="C99" s="0" t="n">
        <v>81</v>
      </c>
      <c r="D99" s="0" t="n">
        <v>0</v>
      </c>
      <c r="E99" s="0" t="n">
        <v>16</v>
      </c>
      <c r="F99" s="0" t="n">
        <v>48</v>
      </c>
      <c r="G99" s="0" t="n">
        <v>74</v>
      </c>
      <c r="H99" s="0" t="n">
        <v>7</v>
      </c>
      <c r="I99" s="0" t="n">
        <v>11</v>
      </c>
      <c r="J99" s="0" t="n">
        <v>16</v>
      </c>
      <c r="K99" s="0" t="s">
        <v>1686</v>
      </c>
      <c r="L99" s="0" t="n">
        <f aca="false">C99/(A99/60)</f>
        <v>15.7792207792208</v>
      </c>
      <c r="M99" s="0" t="n">
        <f aca="false">D99/(A99/60)</f>
        <v>0</v>
      </c>
      <c r="N99" s="0" t="n">
        <f aca="false">SUM(E99:J99)/(A99/60)</f>
        <v>33.5064935064935</v>
      </c>
    </row>
    <row r="100" customFormat="false" ht="14.25" hidden="false" customHeight="false" outlineLevel="0" collapsed="false">
      <c r="A100" s="0" t="n">
        <v>359.5</v>
      </c>
      <c r="B100" s="0" t="n">
        <v>52</v>
      </c>
      <c r="C100" s="0" t="n">
        <v>81</v>
      </c>
      <c r="D100" s="0" t="n">
        <v>43</v>
      </c>
      <c r="E100" s="0" t="n">
        <v>0</v>
      </c>
      <c r="F100" s="0" t="n">
        <v>0</v>
      </c>
      <c r="G100" s="0" t="n">
        <v>1</v>
      </c>
      <c r="H100" s="0" t="n">
        <v>9</v>
      </c>
      <c r="I100" s="0" t="n">
        <v>0</v>
      </c>
      <c r="J100" s="0" t="n">
        <v>32</v>
      </c>
      <c r="L100" s="0" t="n">
        <f aca="false">C100/(A100/60)</f>
        <v>13.518776077886</v>
      </c>
      <c r="M100" s="0" t="n">
        <f aca="false">D100/(A100/60)</f>
        <v>7.17663421418637</v>
      </c>
      <c r="N100" s="0" t="n">
        <f aca="false">SUM(E100:J100)/(A100/60)</f>
        <v>7.00973574408901</v>
      </c>
    </row>
    <row r="101" customFormat="false" ht="14.25" hidden="false" customHeight="false" outlineLevel="0" collapsed="false">
      <c r="A101" s="0" t="n">
        <v>405.5</v>
      </c>
      <c r="B101" s="0" t="n">
        <v>38</v>
      </c>
      <c r="C101" s="0" t="n">
        <v>98</v>
      </c>
      <c r="D101" s="0" t="n">
        <v>21</v>
      </c>
      <c r="E101" s="0" t="n">
        <v>0</v>
      </c>
      <c r="F101" s="0" t="n">
        <v>8</v>
      </c>
      <c r="G101" s="0" t="n">
        <v>3</v>
      </c>
      <c r="H101" s="0" t="n">
        <v>7</v>
      </c>
      <c r="I101" s="0" t="n">
        <v>0</v>
      </c>
      <c r="J101" s="0" t="n">
        <v>1</v>
      </c>
      <c r="L101" s="0" t="n">
        <f aca="false">C101/(A101/60)</f>
        <v>14.5006165228113</v>
      </c>
      <c r="M101" s="0" t="n">
        <f aca="false">D101/(A101/60)</f>
        <v>3.10727496917386</v>
      </c>
      <c r="N101" s="0" t="n">
        <f aca="false">SUM(E101:J101)/(A101/60)</f>
        <v>2.81134401972873</v>
      </c>
    </row>
    <row r="102" customFormat="false" ht="14.25" hidden="false" customHeight="false" outlineLevel="0" collapsed="false">
      <c r="A102" s="0" t="n">
        <v>467.5</v>
      </c>
      <c r="B102" s="0" t="n">
        <v>27</v>
      </c>
      <c r="C102" s="0" t="n">
        <v>34</v>
      </c>
      <c r="D102" s="0" t="n">
        <v>0</v>
      </c>
      <c r="E102" s="0" t="n">
        <v>1</v>
      </c>
      <c r="F102" s="0" t="n">
        <v>23</v>
      </c>
      <c r="G102" s="0" t="n">
        <v>3</v>
      </c>
      <c r="H102" s="0" t="n">
        <v>3</v>
      </c>
      <c r="I102" s="0" t="n">
        <v>0</v>
      </c>
      <c r="J102" s="0" t="n">
        <v>55</v>
      </c>
      <c r="L102" s="0" t="n">
        <f aca="false">C102/(A102/60)</f>
        <v>4.36363636363636</v>
      </c>
      <c r="M102" s="0" t="n">
        <f aca="false">D102/(A102/60)</f>
        <v>0</v>
      </c>
      <c r="N102" s="0" t="n">
        <f aca="false">SUM(E102:J102)/(A102/60)</f>
        <v>10.9090909090909</v>
      </c>
    </row>
    <row r="103" customFormat="false" ht="14.25" hidden="false" customHeight="false" outlineLevel="0" collapsed="false">
      <c r="A103" s="0" t="n">
        <v>289.5</v>
      </c>
      <c r="B103" s="0" t="n">
        <v>58</v>
      </c>
      <c r="C103" s="0" t="n">
        <v>70</v>
      </c>
      <c r="D103" s="0" t="n">
        <v>4</v>
      </c>
      <c r="E103" s="0" t="n">
        <v>2</v>
      </c>
      <c r="F103" s="0" t="n">
        <v>32</v>
      </c>
      <c r="G103" s="0" t="n">
        <v>0</v>
      </c>
      <c r="H103" s="0" t="n">
        <v>0</v>
      </c>
      <c r="I103" s="0" t="n">
        <v>0</v>
      </c>
      <c r="J103" s="0" t="n">
        <v>9</v>
      </c>
      <c r="L103" s="0" t="n">
        <f aca="false">C103/(A103/60)</f>
        <v>14.5077720207254</v>
      </c>
      <c r="M103" s="0" t="n">
        <f aca="false">D103/(A103/60)</f>
        <v>0.829015544041451</v>
      </c>
      <c r="N103" s="0" t="n">
        <f aca="false">SUM(E103:J103)/(A103/60)</f>
        <v>8.9119170984456</v>
      </c>
    </row>
    <row r="104" customFormat="false" ht="14.25" hidden="false" customHeight="false" outlineLevel="0" collapsed="false">
      <c r="A104" s="0" t="n">
        <v>87.5</v>
      </c>
      <c r="B104" s="0" t="n">
        <v>22</v>
      </c>
      <c r="C104" s="0" t="n">
        <v>6</v>
      </c>
      <c r="D104" s="0" t="n">
        <v>308</v>
      </c>
      <c r="E104" s="0" t="n">
        <v>0</v>
      </c>
      <c r="F104" s="0" t="n">
        <v>0</v>
      </c>
      <c r="G104" s="0" t="n">
        <v>0</v>
      </c>
      <c r="H104" s="0" t="n">
        <v>5</v>
      </c>
      <c r="I104" s="0" t="n">
        <v>0</v>
      </c>
      <c r="J104" s="0" t="n">
        <v>0</v>
      </c>
      <c r="L104" s="0" t="n">
        <f aca="false">C104/(A104/60)</f>
        <v>4.11428571428572</v>
      </c>
      <c r="M104" s="0" t="n">
        <f aca="false">D104/(A104/60)</f>
        <v>211.2</v>
      </c>
      <c r="N104" s="0" t="n">
        <f aca="false">SUM(E104:J104)/(A104/60)</f>
        <v>3.42857142857143</v>
      </c>
    </row>
    <row r="105" customFormat="false" ht="14.25" hidden="false" customHeight="false" outlineLevel="0" collapsed="false">
      <c r="A105" s="0" t="n">
        <v>399.5</v>
      </c>
      <c r="C105" s="0" t="n">
        <v>43</v>
      </c>
      <c r="D105" s="0" t="n">
        <v>0</v>
      </c>
      <c r="E105" s="0" t="n">
        <v>1</v>
      </c>
      <c r="F105" s="0" t="n">
        <v>3</v>
      </c>
      <c r="G105" s="0" t="n">
        <v>38</v>
      </c>
      <c r="H105" s="0" t="n">
        <v>93</v>
      </c>
      <c r="I105" s="0" t="n">
        <v>0</v>
      </c>
      <c r="J105" s="0" t="n">
        <v>0</v>
      </c>
      <c r="L105" s="0" t="n">
        <f aca="false">C105/(A105/60)</f>
        <v>6.45807259073842</v>
      </c>
      <c r="M105" s="0" t="n">
        <f aca="false">D105/(A105/60)</f>
        <v>0</v>
      </c>
      <c r="N105" s="0" t="n">
        <f aca="false">SUM(E105:J105)/(A105/60)</f>
        <v>20.2753441802253</v>
      </c>
    </row>
    <row r="106" customFormat="false" ht="14.25" hidden="false" customHeight="false" outlineLevel="0" collapsed="false">
      <c r="A106" s="0" t="n">
        <v>341.5</v>
      </c>
      <c r="B106" s="0" t="n">
        <v>76</v>
      </c>
      <c r="C106" s="0" t="n">
        <v>58</v>
      </c>
      <c r="D106" s="0" t="n">
        <v>331</v>
      </c>
      <c r="E106" s="0" t="n">
        <v>20</v>
      </c>
      <c r="F106" s="0" t="n">
        <v>23</v>
      </c>
      <c r="G106" s="0" t="n">
        <v>6</v>
      </c>
      <c r="H106" s="0" t="n">
        <v>52</v>
      </c>
      <c r="I106" s="0" t="n">
        <v>0</v>
      </c>
      <c r="J106" s="0" t="n">
        <v>10</v>
      </c>
      <c r="L106" s="0" t="n">
        <f aca="false">C106/(A106/60)</f>
        <v>10.190336749634</v>
      </c>
      <c r="M106" s="0" t="n">
        <f aca="false">D106/(A106/60)</f>
        <v>58.1551976573939</v>
      </c>
      <c r="N106" s="0" t="n">
        <f aca="false">SUM(E106:J106)/(A106/60)</f>
        <v>19.502196193265</v>
      </c>
    </row>
    <row r="107" customFormat="false" ht="14.25" hidden="false" customHeight="false" outlineLevel="0" collapsed="false">
      <c r="A107" s="0" t="n">
        <v>409.5</v>
      </c>
      <c r="B107" s="0" t="n">
        <v>61</v>
      </c>
      <c r="C107" s="0" t="n">
        <v>98</v>
      </c>
      <c r="D107" s="0" t="n">
        <v>0</v>
      </c>
      <c r="E107" s="0" t="n">
        <v>58</v>
      </c>
      <c r="F107" s="0" t="n">
        <v>67</v>
      </c>
      <c r="G107" s="0" t="n">
        <v>0</v>
      </c>
      <c r="H107" s="0" t="n">
        <v>5</v>
      </c>
      <c r="I107" s="0" t="n">
        <v>0</v>
      </c>
      <c r="J107" s="0" t="n">
        <v>52</v>
      </c>
      <c r="L107" s="0" t="n">
        <f aca="false">C107/(A107/60)</f>
        <v>14.3589743589744</v>
      </c>
      <c r="M107" s="0" t="n">
        <f aca="false">D107/(A107/60)</f>
        <v>0</v>
      </c>
      <c r="N107" s="0" t="n">
        <f aca="false">SUM(E107:J107)/(A107/60)</f>
        <v>26.6666666666667</v>
      </c>
    </row>
    <row r="108" customFormat="false" ht="14.25" hidden="false" customHeight="false" outlineLevel="0" collapsed="false">
      <c r="A108" s="0" t="n">
        <v>261</v>
      </c>
      <c r="B108" s="0" t="n">
        <v>53</v>
      </c>
      <c r="C108" s="0" t="n">
        <v>66</v>
      </c>
      <c r="D108" s="0" t="n">
        <v>155</v>
      </c>
      <c r="E108" s="0" t="n">
        <v>19</v>
      </c>
      <c r="F108" s="0" t="n">
        <v>26</v>
      </c>
      <c r="G108" s="0" t="n">
        <v>2</v>
      </c>
      <c r="H108" s="0" t="n">
        <v>22</v>
      </c>
      <c r="I108" s="0" t="n">
        <v>0</v>
      </c>
      <c r="J108" s="0" t="n">
        <v>20</v>
      </c>
      <c r="L108" s="0" t="n">
        <f aca="false">C108/(A108/60)</f>
        <v>15.1724137931035</v>
      </c>
      <c r="M108" s="0" t="n">
        <f aca="false">D108/(A108/60)</f>
        <v>35.632183908046</v>
      </c>
      <c r="N108" s="0" t="n">
        <f aca="false">SUM(E108:J108)/(A108/60)</f>
        <v>20.4597701149425</v>
      </c>
    </row>
    <row r="109" customFormat="false" ht="14.25" hidden="false" customHeight="false" outlineLevel="0" collapsed="false">
      <c r="A109" s="0" t="n">
        <v>342</v>
      </c>
      <c r="B109" s="0" t="n">
        <v>80</v>
      </c>
      <c r="C109" s="0" t="n">
        <v>86</v>
      </c>
      <c r="D109" s="0" t="n">
        <v>32</v>
      </c>
      <c r="E109" s="0" t="n">
        <v>2</v>
      </c>
      <c r="F109" s="0" t="n">
        <v>27</v>
      </c>
      <c r="G109" s="0" t="n">
        <v>11</v>
      </c>
      <c r="H109" s="0" t="n">
        <v>10</v>
      </c>
      <c r="I109" s="0" t="n">
        <v>6</v>
      </c>
      <c r="J109" s="0" t="n">
        <v>26</v>
      </c>
      <c r="L109" s="0" t="n">
        <f aca="false">C109/(A109/60)</f>
        <v>15.0877192982456</v>
      </c>
      <c r="M109" s="0" t="n">
        <f aca="false">D109/(A109/60)</f>
        <v>5.6140350877193</v>
      </c>
      <c r="N109" s="0" t="n">
        <f aca="false">SUM(E109:J109)/(A109/60)</f>
        <v>14.3859649122807</v>
      </c>
    </row>
    <row r="110" customFormat="false" ht="14.25" hidden="false" customHeight="false" outlineLevel="0" collapsed="false">
      <c r="A110" s="0" t="n">
        <v>116</v>
      </c>
      <c r="B110" s="0" t="n">
        <v>79</v>
      </c>
      <c r="C110" s="0" t="n">
        <v>24</v>
      </c>
      <c r="D110" s="0" t="n">
        <v>0</v>
      </c>
      <c r="E110" s="0" t="n">
        <v>42</v>
      </c>
      <c r="F110" s="0" t="n">
        <v>23</v>
      </c>
      <c r="G110" s="0" t="n">
        <v>25</v>
      </c>
      <c r="H110" s="0" t="n">
        <v>59</v>
      </c>
      <c r="I110" s="0" t="n">
        <v>4</v>
      </c>
      <c r="J110" s="0" t="n">
        <v>0</v>
      </c>
      <c r="L110" s="0" t="n">
        <f aca="false">C110/(A110/60)</f>
        <v>12.4137931034483</v>
      </c>
      <c r="M110" s="0" t="n">
        <f aca="false">D110/(A110/60)</f>
        <v>0</v>
      </c>
      <c r="N110" s="0" t="n">
        <f aca="false">SUM(E110:J110)/(A110/60)</f>
        <v>79.1379310344828</v>
      </c>
    </row>
    <row r="111" customFormat="false" ht="14.25" hidden="false" customHeight="false" outlineLevel="0" collapsed="false">
      <c r="A111" s="0" t="n">
        <v>223</v>
      </c>
      <c r="B111" s="0" t="n">
        <v>65</v>
      </c>
      <c r="C111" s="0" t="n">
        <v>48</v>
      </c>
      <c r="D111" s="0" t="n">
        <v>7</v>
      </c>
      <c r="E111" s="0" t="n">
        <v>0</v>
      </c>
      <c r="F111" s="0" t="n">
        <v>2</v>
      </c>
      <c r="G111" s="0" t="n">
        <v>0</v>
      </c>
      <c r="H111" s="0" t="n">
        <v>2</v>
      </c>
      <c r="I111" s="0" t="n">
        <v>0</v>
      </c>
      <c r="J111" s="0" t="n">
        <v>0</v>
      </c>
      <c r="L111" s="0" t="n">
        <f aca="false">C111/(A111/60)</f>
        <v>12.914798206278</v>
      </c>
      <c r="M111" s="0" t="n">
        <f aca="false">D111/(A111/60)</f>
        <v>1.88340807174888</v>
      </c>
      <c r="N111" s="0" t="n">
        <f aca="false">SUM(E111:J111)/(A111/60)</f>
        <v>1.0762331838565</v>
      </c>
    </row>
    <row r="112" customFormat="false" ht="14.25" hidden="false" customHeight="false" outlineLevel="0" collapsed="false">
      <c r="A112" s="0" t="n">
        <v>296.5</v>
      </c>
      <c r="B112" s="0" t="n">
        <v>66</v>
      </c>
      <c r="C112" s="0" t="n">
        <v>44</v>
      </c>
      <c r="D112" s="0" t="n">
        <v>0</v>
      </c>
      <c r="E112" s="0" t="n">
        <v>8</v>
      </c>
      <c r="F112" s="0" t="n">
        <v>32</v>
      </c>
      <c r="G112" s="0" t="n">
        <v>0</v>
      </c>
      <c r="H112" s="0" t="n">
        <v>11</v>
      </c>
      <c r="I112" s="0" t="n">
        <v>0</v>
      </c>
      <c r="J112" s="0" t="n">
        <v>6</v>
      </c>
      <c r="L112" s="0" t="n">
        <f aca="false">C112/(A112/60)</f>
        <v>8.90387858347386</v>
      </c>
      <c r="M112" s="0" t="n">
        <f aca="false">D112/(A112/60)</f>
        <v>0</v>
      </c>
      <c r="N112" s="0" t="n">
        <f aca="false">SUM(E112:J112)/(A112/60)</f>
        <v>11.5345699831366</v>
      </c>
    </row>
    <row r="113" customFormat="false" ht="14.25" hidden="false" customHeight="false" outlineLevel="0" collapsed="false">
      <c r="A113" s="0" t="n">
        <v>363</v>
      </c>
      <c r="B113" s="0" t="n">
        <v>52</v>
      </c>
      <c r="C113" s="0" t="n">
        <v>111</v>
      </c>
      <c r="D113" s="0" t="n">
        <v>185</v>
      </c>
      <c r="E113" s="0" t="n">
        <v>31</v>
      </c>
      <c r="F113" s="0" t="n">
        <v>33</v>
      </c>
      <c r="G113" s="0" t="n">
        <v>1</v>
      </c>
      <c r="H113" s="0" t="n">
        <v>12</v>
      </c>
      <c r="I113" s="0" t="n">
        <v>0</v>
      </c>
      <c r="J113" s="0" t="n">
        <v>5</v>
      </c>
      <c r="L113" s="0" t="n">
        <f aca="false">C113/(A113/60)</f>
        <v>18.3471074380165</v>
      </c>
      <c r="M113" s="0" t="n">
        <f aca="false">D113/(A113/60)</f>
        <v>30.5785123966942</v>
      </c>
      <c r="N113" s="0" t="n">
        <f aca="false">SUM(E113:J113)/(A113/60)</f>
        <v>13.5537190082645</v>
      </c>
    </row>
    <row r="114" customFormat="false" ht="14.25" hidden="false" customHeight="false" outlineLevel="0" collapsed="false">
      <c r="A114" s="0" t="n">
        <v>237.5</v>
      </c>
      <c r="B114" s="0" t="n">
        <v>50</v>
      </c>
      <c r="C114" s="0" t="n">
        <v>72</v>
      </c>
      <c r="D114" s="0" t="n">
        <v>0</v>
      </c>
      <c r="E114" s="0" t="n">
        <v>78</v>
      </c>
      <c r="F114" s="0" t="n">
        <v>32</v>
      </c>
      <c r="G114" s="0" t="n">
        <v>14</v>
      </c>
      <c r="H114" s="0" t="n">
        <v>11</v>
      </c>
      <c r="I114" s="0" t="n">
        <v>64</v>
      </c>
      <c r="J114" s="0" t="n">
        <v>3</v>
      </c>
      <c r="L114" s="0" t="n">
        <f aca="false">C114/(A114/60)</f>
        <v>18.1894736842105</v>
      </c>
      <c r="M114" s="0" t="n">
        <f aca="false">D114/(A114/60)</f>
        <v>0</v>
      </c>
      <c r="N114" s="0" t="n">
        <f aca="false">SUM(E114:J114)/(A114/60)</f>
        <v>51.0315789473684</v>
      </c>
    </row>
    <row r="115" customFormat="false" ht="14.25" hidden="false" customHeight="false" outlineLevel="0" collapsed="false">
      <c r="A115" s="0" t="n">
        <v>431.5</v>
      </c>
      <c r="B115" s="0" t="n">
        <v>79</v>
      </c>
      <c r="C115" s="0" t="n">
        <v>48</v>
      </c>
      <c r="D115" s="0" t="n">
        <v>221</v>
      </c>
      <c r="E115" s="0" t="n">
        <v>0</v>
      </c>
      <c r="F115" s="0" t="n">
        <v>26</v>
      </c>
      <c r="G115" s="0" t="n">
        <v>0</v>
      </c>
      <c r="H115" s="0" t="n">
        <v>6</v>
      </c>
      <c r="I115" s="0" t="n">
        <v>0</v>
      </c>
      <c r="J115" s="0" t="n">
        <v>14</v>
      </c>
      <c r="L115" s="0" t="n">
        <f aca="false">C115/(A115/60)</f>
        <v>6.67439165701043</v>
      </c>
      <c r="M115" s="0" t="n">
        <f aca="false">D115/(A115/60)</f>
        <v>30.7300115874855</v>
      </c>
      <c r="N115" s="0" t="n">
        <f aca="false">SUM(E115:J115)/(A115/60)</f>
        <v>6.39629200463499</v>
      </c>
    </row>
    <row r="116" customFormat="false" ht="14.25" hidden="false" customHeight="false" outlineLevel="0" collapsed="false">
      <c r="A116" s="0" t="n">
        <v>245</v>
      </c>
      <c r="B116" s="0" t="n">
        <v>38</v>
      </c>
      <c r="C116" s="0" t="n">
        <v>48</v>
      </c>
      <c r="D116" s="0" t="n">
        <v>71</v>
      </c>
      <c r="E116" s="0" t="n">
        <v>61</v>
      </c>
      <c r="F116" s="0" t="n">
        <v>17</v>
      </c>
      <c r="G116" s="0" t="n">
        <v>0</v>
      </c>
      <c r="H116" s="0" t="n">
        <v>49</v>
      </c>
      <c r="I116" s="0" t="n">
        <v>0</v>
      </c>
      <c r="J116" s="0" t="n">
        <v>5</v>
      </c>
      <c r="L116" s="0" t="n">
        <f aca="false">C116/(A116/60)</f>
        <v>11.7551020408163</v>
      </c>
      <c r="M116" s="0" t="n">
        <f aca="false">D116/(A116/60)</f>
        <v>17.3877551020408</v>
      </c>
      <c r="N116" s="0" t="n">
        <f aca="false">SUM(E116:J116)/(A116/60)</f>
        <v>32.3265306122449</v>
      </c>
    </row>
    <row r="117" customFormat="false" ht="14.25" hidden="false" customHeight="false" outlineLevel="0" collapsed="false">
      <c r="A117" s="0" t="n">
        <v>339.5</v>
      </c>
      <c r="B117" s="0" t="n">
        <v>59</v>
      </c>
      <c r="C117" s="0" t="n">
        <v>35</v>
      </c>
      <c r="D117" s="0" t="n">
        <v>0</v>
      </c>
      <c r="E117" s="0" t="n">
        <v>27</v>
      </c>
      <c r="F117" s="0" t="n">
        <v>70</v>
      </c>
      <c r="G117" s="0" t="n">
        <v>5</v>
      </c>
      <c r="H117" s="0" t="n">
        <v>24</v>
      </c>
      <c r="I117" s="0" t="n">
        <v>1</v>
      </c>
      <c r="J117" s="0" t="n">
        <v>5</v>
      </c>
      <c r="L117" s="0" t="n">
        <f aca="false">C117/(A117/60)</f>
        <v>6.18556701030928</v>
      </c>
      <c r="M117" s="0" t="n">
        <f aca="false">D117/(A117/60)</f>
        <v>0</v>
      </c>
      <c r="N117" s="0" t="n">
        <f aca="false">SUM(E117:J117)/(A117/60)</f>
        <v>23.3284241531664</v>
      </c>
    </row>
    <row r="118" customFormat="false" ht="14.25" hidden="false" customHeight="false" outlineLevel="0" collapsed="false">
      <c r="A118" s="0" t="n">
        <v>338.5</v>
      </c>
      <c r="B118" s="0" t="n">
        <v>59</v>
      </c>
      <c r="C118" s="0" t="n">
        <v>88</v>
      </c>
      <c r="D118" s="0" t="n">
        <v>0</v>
      </c>
      <c r="E118" s="0" t="n">
        <v>73</v>
      </c>
      <c r="F118" s="0" t="n">
        <v>95</v>
      </c>
      <c r="G118" s="0" t="n">
        <v>0</v>
      </c>
      <c r="H118" s="0" t="n">
        <v>10</v>
      </c>
      <c r="I118" s="0" t="n">
        <v>0</v>
      </c>
      <c r="J118" s="0" t="n">
        <v>0</v>
      </c>
      <c r="L118" s="0" t="n">
        <f aca="false">C118/(A118/60)</f>
        <v>15.5982274741507</v>
      </c>
      <c r="M118" s="0" t="n">
        <f aca="false">D118/(A118/60)</f>
        <v>0</v>
      </c>
      <c r="N118" s="0" t="n">
        <f aca="false">SUM(E118:J118)/(A118/60)</f>
        <v>31.5509601181684</v>
      </c>
    </row>
    <row r="119" customFormat="false" ht="14.25" hidden="false" customHeight="false" outlineLevel="0" collapsed="false">
      <c r="A119" s="0" t="n">
        <v>271.5</v>
      </c>
      <c r="B119" s="0" t="n">
        <v>72</v>
      </c>
      <c r="C119" s="0" t="n">
        <v>86</v>
      </c>
      <c r="D119" s="0" t="n">
        <v>75</v>
      </c>
      <c r="E119" s="0" t="n">
        <v>6</v>
      </c>
      <c r="F119" s="0" t="n">
        <v>52</v>
      </c>
      <c r="G119" s="0" t="n">
        <v>0</v>
      </c>
      <c r="H119" s="0" t="n">
        <v>12</v>
      </c>
      <c r="I119" s="0" t="n">
        <v>0</v>
      </c>
      <c r="J119" s="0" t="n">
        <v>38</v>
      </c>
      <c r="L119" s="0" t="n">
        <f aca="false">C119/(A119/60)</f>
        <v>19.0055248618785</v>
      </c>
      <c r="M119" s="0" t="n">
        <f aca="false">D119/(A119/60)</f>
        <v>16.5745856353591</v>
      </c>
      <c r="N119" s="0" t="n">
        <f aca="false">SUM(E119:J119)/(A119/60)</f>
        <v>23.8674033149171</v>
      </c>
    </row>
    <row r="120" customFormat="false" ht="14.25" hidden="false" customHeight="false" outlineLevel="0" collapsed="false">
      <c r="A120" s="0" t="n">
        <v>313</v>
      </c>
      <c r="B120" s="0" t="n">
        <v>85</v>
      </c>
      <c r="C120" s="0" t="n">
        <v>53</v>
      </c>
      <c r="D120" s="0" t="n">
        <v>46</v>
      </c>
      <c r="E120" s="0" t="n">
        <v>9</v>
      </c>
      <c r="F120" s="0" t="n">
        <v>46</v>
      </c>
      <c r="G120" s="0" t="n">
        <v>2</v>
      </c>
      <c r="H120" s="0" t="n">
        <v>12</v>
      </c>
      <c r="I120" s="0" t="n">
        <v>0</v>
      </c>
      <c r="J120" s="0" t="n">
        <v>11</v>
      </c>
      <c r="L120" s="0" t="n">
        <f aca="false">C120/(A120/60)</f>
        <v>10.1597444089457</v>
      </c>
      <c r="M120" s="0" t="n">
        <f aca="false">D120/(A120/60)</f>
        <v>8.81789137380192</v>
      </c>
      <c r="N120" s="0" t="n">
        <f aca="false">SUM(E120:J120)/(A120/60)</f>
        <v>15.3354632587859</v>
      </c>
    </row>
    <row r="121" customFormat="false" ht="14.25" hidden="false" customHeight="false" outlineLevel="0" collapsed="false">
      <c r="A121" s="0" t="n">
        <v>315</v>
      </c>
      <c r="B121" s="0" t="n">
        <v>50</v>
      </c>
      <c r="C121" s="0" t="n">
        <v>66</v>
      </c>
      <c r="D121" s="0" t="n">
        <v>0</v>
      </c>
      <c r="E121" s="0" t="n">
        <v>5</v>
      </c>
      <c r="F121" s="0" t="n">
        <v>41</v>
      </c>
      <c r="G121" s="0" t="n">
        <v>3</v>
      </c>
      <c r="H121" s="0" t="n">
        <v>6</v>
      </c>
      <c r="I121" s="0" t="n">
        <v>0</v>
      </c>
      <c r="J121" s="0" t="n">
        <v>42</v>
      </c>
      <c r="L121" s="0" t="n">
        <f aca="false">C121/(A121/60)</f>
        <v>12.5714285714286</v>
      </c>
      <c r="M121" s="0" t="n">
        <f aca="false">D121/(A121/60)</f>
        <v>0</v>
      </c>
      <c r="N121" s="0" t="n">
        <f aca="false">SUM(E121:J121)/(A121/60)</f>
        <v>18.4761904761905</v>
      </c>
    </row>
    <row r="122" customFormat="false" ht="14.25" hidden="false" customHeight="false" outlineLevel="0" collapsed="false">
      <c r="A122" s="0" t="n">
        <v>392.5</v>
      </c>
      <c r="B122" s="0" t="n">
        <v>65</v>
      </c>
      <c r="C122" s="0" t="n">
        <v>48</v>
      </c>
      <c r="D122" s="0" t="n">
        <v>0</v>
      </c>
      <c r="E122" s="0" t="n">
        <v>0</v>
      </c>
      <c r="F122" s="0" t="n">
        <v>0</v>
      </c>
      <c r="G122" s="0" t="n">
        <v>0</v>
      </c>
      <c r="H122" s="0" t="n">
        <v>8</v>
      </c>
      <c r="I122" s="0" t="n">
        <v>0</v>
      </c>
      <c r="J122" s="0" t="n">
        <v>3</v>
      </c>
      <c r="L122" s="0" t="n">
        <f aca="false">C122/(A122/60)</f>
        <v>7.33757961783439</v>
      </c>
      <c r="M122" s="0" t="n">
        <f aca="false">D122/(A122/60)</f>
        <v>0</v>
      </c>
      <c r="N122" s="0" t="n">
        <f aca="false">SUM(E122:J122)/(A122/60)</f>
        <v>1.68152866242038</v>
      </c>
    </row>
    <row r="123" customFormat="false" ht="14.25" hidden="false" customHeight="false" outlineLevel="0" collapsed="false">
      <c r="A123" s="0" t="n">
        <v>379.5</v>
      </c>
      <c r="B123" s="0" t="n">
        <v>29</v>
      </c>
      <c r="C123" s="0" t="n">
        <v>198</v>
      </c>
      <c r="D123" s="0" t="n">
        <v>0</v>
      </c>
      <c r="E123" s="0" t="n">
        <v>107</v>
      </c>
      <c r="F123" s="0" t="n">
        <v>148</v>
      </c>
      <c r="G123" s="0" t="n">
        <v>0</v>
      </c>
      <c r="H123" s="0" t="n">
        <v>19</v>
      </c>
      <c r="I123" s="0" t="n">
        <v>1</v>
      </c>
      <c r="J123" s="0" t="n">
        <v>5</v>
      </c>
      <c r="L123" s="0" t="n">
        <f aca="false">C123/(A123/60)</f>
        <v>31.304347826087</v>
      </c>
      <c r="M123" s="0" t="n">
        <f aca="false">D123/(A123/60)</f>
        <v>0</v>
      </c>
      <c r="N123" s="0" t="n">
        <f aca="false">SUM(E123:J123)/(A123/60)</f>
        <v>44.2687747035573</v>
      </c>
    </row>
    <row r="124" customFormat="false" ht="14.25" hidden="false" customHeight="false" outlineLevel="0" collapsed="false">
      <c r="A124" s="0" t="n">
        <v>309</v>
      </c>
      <c r="B124" s="0" t="n">
        <v>69</v>
      </c>
      <c r="C124" s="0" t="n">
        <v>37</v>
      </c>
      <c r="D124" s="0" t="n">
        <v>33</v>
      </c>
      <c r="E124" s="0" t="n">
        <v>0</v>
      </c>
      <c r="F124" s="0" t="n">
        <v>2</v>
      </c>
      <c r="G124" s="0" t="n">
        <v>0</v>
      </c>
      <c r="H124" s="0" t="n">
        <v>11</v>
      </c>
      <c r="I124" s="0" t="n">
        <v>0</v>
      </c>
      <c r="J124" s="0" t="n">
        <v>11</v>
      </c>
      <c r="L124" s="0" t="n">
        <f aca="false">C124/(A124/60)</f>
        <v>7.18446601941748</v>
      </c>
      <c r="M124" s="0" t="n">
        <f aca="false">D124/(A124/60)</f>
        <v>6.40776699029126</v>
      </c>
      <c r="N124" s="0" t="n">
        <f aca="false">SUM(E124:J124)/(A124/60)</f>
        <v>4.66019417475728</v>
      </c>
    </row>
    <row r="125" customFormat="false" ht="14.25" hidden="false" customHeight="false" outlineLevel="0" collapsed="false">
      <c r="A125" s="0" t="n">
        <v>410.5</v>
      </c>
      <c r="B125" s="0" t="n">
        <v>26</v>
      </c>
      <c r="C125" s="0" t="n">
        <v>102</v>
      </c>
      <c r="D125" s="0" t="n">
        <v>4</v>
      </c>
      <c r="E125" s="0" t="n">
        <v>1</v>
      </c>
      <c r="F125" s="0" t="n">
        <v>127</v>
      </c>
      <c r="G125" s="0" t="n">
        <v>1</v>
      </c>
      <c r="H125" s="0" t="n">
        <v>16</v>
      </c>
      <c r="I125" s="0" t="n">
        <v>0</v>
      </c>
      <c r="J125" s="0" t="n">
        <v>5</v>
      </c>
      <c r="L125" s="0" t="n">
        <f aca="false">C125/(A125/60)</f>
        <v>14.9086479902558</v>
      </c>
      <c r="M125" s="0" t="n">
        <f aca="false">D125/(A125/60)</f>
        <v>0.584652862362972</v>
      </c>
      <c r="N125" s="0" t="n">
        <f aca="false">SUM(E125:J125)/(A125/60)</f>
        <v>21.9244823386114</v>
      </c>
    </row>
    <row r="126" customFormat="false" ht="14.25" hidden="false" customHeight="false" outlineLevel="0" collapsed="false">
      <c r="A126" s="0" t="n">
        <v>335.5</v>
      </c>
      <c r="B126" s="0" t="n">
        <v>62</v>
      </c>
      <c r="C126" s="0" t="n">
        <v>127</v>
      </c>
      <c r="D126" s="0" t="n">
        <v>12</v>
      </c>
      <c r="E126" s="0" t="n">
        <v>0</v>
      </c>
      <c r="F126" s="0" t="n">
        <v>7</v>
      </c>
      <c r="G126" s="0" t="n">
        <v>0</v>
      </c>
      <c r="H126" s="0" t="n">
        <v>6</v>
      </c>
      <c r="I126" s="0" t="n">
        <v>0</v>
      </c>
      <c r="J126" s="0" t="n">
        <v>1</v>
      </c>
      <c r="L126" s="0" t="n">
        <f aca="false">C126/(A126/60)</f>
        <v>22.7123695976155</v>
      </c>
      <c r="M126" s="0" t="n">
        <f aca="false">D126/(A126/60)</f>
        <v>2.14605067064083</v>
      </c>
      <c r="N126" s="0" t="n">
        <f aca="false">SUM(E126:J126)/(A126/60)</f>
        <v>2.50372578241431</v>
      </c>
    </row>
    <row r="127" customFormat="false" ht="14.25" hidden="false" customHeight="false" outlineLevel="0" collapsed="false">
      <c r="A127" s="0" t="n">
        <v>305.5</v>
      </c>
      <c r="B127" s="0" t="n">
        <v>42</v>
      </c>
      <c r="C127" s="0" t="n">
        <v>85</v>
      </c>
      <c r="D127" s="0" t="n">
        <v>2</v>
      </c>
      <c r="E127" s="0" t="n">
        <v>1</v>
      </c>
      <c r="F127" s="0" t="n">
        <v>60</v>
      </c>
      <c r="G127" s="0" t="n">
        <v>0</v>
      </c>
      <c r="H127" s="0" t="n">
        <v>6</v>
      </c>
      <c r="I127" s="0" t="n">
        <v>0</v>
      </c>
      <c r="J127" s="0" t="n">
        <v>6</v>
      </c>
      <c r="L127" s="0" t="n">
        <f aca="false">C127/(A127/60)</f>
        <v>16.6939443535188</v>
      </c>
      <c r="M127" s="0" t="n">
        <f aca="false">D127/(A127/60)</f>
        <v>0.392798690671031</v>
      </c>
      <c r="N127" s="0" t="n">
        <f aca="false">SUM(E127:J127)/(A127/60)</f>
        <v>14.3371522094926</v>
      </c>
    </row>
    <row r="128" customFormat="false" ht="14.25" hidden="false" customHeight="false" outlineLevel="0" collapsed="false">
      <c r="A128" s="0" t="n">
        <v>393</v>
      </c>
      <c r="B128" s="0" t="n">
        <v>51</v>
      </c>
      <c r="C128" s="0" t="n">
        <v>97</v>
      </c>
      <c r="D128" s="0" t="n">
        <v>0</v>
      </c>
      <c r="E128" s="0" t="n">
        <v>1</v>
      </c>
      <c r="F128" s="0" t="n">
        <v>2</v>
      </c>
      <c r="G128" s="0" t="n">
        <v>0</v>
      </c>
      <c r="H128" s="0" t="n">
        <v>3</v>
      </c>
      <c r="I128" s="0" t="n">
        <v>0</v>
      </c>
      <c r="J128" s="0" t="n">
        <v>16</v>
      </c>
      <c r="L128" s="0" t="n">
        <f aca="false">C128/(A128/60)</f>
        <v>14.8091603053435</v>
      </c>
      <c r="M128" s="0" t="n">
        <f aca="false">D128/(A128/60)</f>
        <v>0</v>
      </c>
      <c r="N128" s="0" t="n">
        <f aca="false">SUM(E128:J128)/(A128/60)</f>
        <v>3.3587786259542</v>
      </c>
    </row>
    <row r="129" customFormat="false" ht="14.25" hidden="false" customHeight="false" outlineLevel="0" collapsed="false">
      <c r="A129" s="0" t="n">
        <v>479</v>
      </c>
      <c r="B129" s="0" t="n">
        <v>29</v>
      </c>
      <c r="C129" s="0" t="n">
        <v>148</v>
      </c>
      <c r="D129" s="0" t="n">
        <v>0</v>
      </c>
      <c r="E129" s="0" t="n">
        <v>0</v>
      </c>
      <c r="F129" s="0" t="n">
        <v>8</v>
      </c>
      <c r="G129" s="0" t="n">
        <v>0</v>
      </c>
      <c r="H129" s="0" t="n">
        <v>3</v>
      </c>
      <c r="I129" s="0" t="n">
        <v>0</v>
      </c>
      <c r="J129" s="0" t="n">
        <v>6</v>
      </c>
      <c r="L129" s="0" t="n">
        <f aca="false">C129/(A129/60)</f>
        <v>18.5386221294363</v>
      </c>
      <c r="M129" s="0" t="n">
        <f aca="false">D129/(A129/60)</f>
        <v>0</v>
      </c>
      <c r="N129" s="0" t="n">
        <f aca="false">SUM(E129:J129)/(A129/60)</f>
        <v>2.1294363256785</v>
      </c>
    </row>
    <row r="130" customFormat="false" ht="14.25" hidden="false" customHeight="false" outlineLevel="0" collapsed="false">
      <c r="A130" s="0" t="n">
        <v>233</v>
      </c>
      <c r="B130" s="0" t="n">
        <v>65</v>
      </c>
      <c r="C130" s="0" t="n">
        <v>60</v>
      </c>
      <c r="D130" s="0" t="n">
        <v>100</v>
      </c>
      <c r="E130" s="0" t="n">
        <v>0</v>
      </c>
      <c r="F130" s="0" t="n">
        <v>64</v>
      </c>
      <c r="G130" s="0" t="n">
        <v>0</v>
      </c>
      <c r="H130" s="0" t="n">
        <v>7</v>
      </c>
      <c r="I130" s="0" t="n">
        <v>0</v>
      </c>
      <c r="J130" s="0" t="n">
        <v>1</v>
      </c>
      <c r="L130" s="0" t="n">
        <f aca="false">C130/(A130/60)</f>
        <v>15.450643776824</v>
      </c>
      <c r="M130" s="0" t="n">
        <f aca="false">D130/(A130/60)</f>
        <v>25.7510729613734</v>
      </c>
      <c r="N130" s="0" t="n">
        <f aca="false">SUM(E130:J130)/(A130/60)</f>
        <v>18.5407725321888</v>
      </c>
    </row>
    <row r="131" customFormat="false" ht="14.25" hidden="false" customHeight="false" outlineLevel="0" collapsed="false">
      <c r="A131" s="0" t="n">
        <v>396.5</v>
      </c>
      <c r="B131" s="0" t="n">
        <v>32</v>
      </c>
      <c r="C131" s="0" t="n">
        <v>193</v>
      </c>
      <c r="D131" s="0" t="n">
        <v>151</v>
      </c>
      <c r="E131" s="0" t="n">
        <v>0</v>
      </c>
      <c r="F131" s="0" t="n">
        <v>40</v>
      </c>
      <c r="G131" s="0" t="n">
        <v>0</v>
      </c>
      <c r="H131" s="0" t="n">
        <v>5</v>
      </c>
      <c r="I131" s="0" t="n">
        <v>0</v>
      </c>
      <c r="J131" s="0" t="n">
        <v>24</v>
      </c>
      <c r="L131" s="0" t="n">
        <f aca="false">C131/(A131/60)</f>
        <v>29.2055485498108</v>
      </c>
      <c r="M131" s="0" t="n">
        <f aca="false">D131/(A131/60)</f>
        <v>22.8499369482976</v>
      </c>
      <c r="N131" s="0" t="n">
        <f aca="false">SUM(E131:J131)/(A131/60)</f>
        <v>10.4413619167718</v>
      </c>
    </row>
    <row r="132" customFormat="false" ht="14.25" hidden="false" customHeight="false" outlineLevel="0" collapsed="false">
      <c r="A132" s="0" t="n">
        <v>222</v>
      </c>
      <c r="B132" s="0" t="n">
        <v>43</v>
      </c>
      <c r="C132" s="0" t="n">
        <v>32</v>
      </c>
      <c r="D132" s="0" t="n">
        <v>0</v>
      </c>
      <c r="E132" s="0" t="n">
        <v>19</v>
      </c>
      <c r="F132" s="0" t="n">
        <v>39</v>
      </c>
      <c r="G132" s="0" t="n">
        <v>0</v>
      </c>
      <c r="H132" s="0" t="n">
        <v>8</v>
      </c>
      <c r="I132" s="0" t="n">
        <v>0</v>
      </c>
      <c r="J132" s="0" t="n">
        <v>22</v>
      </c>
      <c r="L132" s="0" t="n">
        <f aca="false">C132/(A132/60)</f>
        <v>8.64864864864865</v>
      </c>
      <c r="M132" s="0" t="n">
        <f aca="false">D132/(A132/60)</f>
        <v>0</v>
      </c>
      <c r="N132" s="0" t="n">
        <f aca="false">SUM(E132:J132)/(A132/60)</f>
        <v>23.7837837837838</v>
      </c>
    </row>
    <row r="133" customFormat="false" ht="14.25" hidden="false" customHeight="false" outlineLevel="0" collapsed="false">
      <c r="A133" s="0" t="n">
        <v>345</v>
      </c>
      <c r="B133" s="0" t="n">
        <v>59</v>
      </c>
      <c r="C133" s="0" t="n">
        <v>91</v>
      </c>
      <c r="D133" s="0" t="n">
        <v>0</v>
      </c>
      <c r="E133" s="0" t="n">
        <v>1</v>
      </c>
      <c r="F133" s="0" t="n">
        <v>18</v>
      </c>
      <c r="G133" s="0" t="n">
        <v>0</v>
      </c>
      <c r="H133" s="0" t="n">
        <v>7</v>
      </c>
      <c r="I133" s="0" t="n">
        <v>0</v>
      </c>
      <c r="J133" s="0" t="n">
        <v>2</v>
      </c>
      <c r="L133" s="0" t="n">
        <f aca="false">C133/(A133/60)</f>
        <v>15.8260869565217</v>
      </c>
      <c r="M133" s="0" t="n">
        <f aca="false">D133/(A133/60)</f>
        <v>0</v>
      </c>
      <c r="N133" s="0" t="n">
        <f aca="false">SUM(E133:J133)/(A133/60)</f>
        <v>4.86956521739131</v>
      </c>
    </row>
    <row r="134" customFormat="false" ht="14.25" hidden="false" customHeight="false" outlineLevel="0" collapsed="false">
      <c r="A134" s="0" t="n">
        <v>306.5</v>
      </c>
      <c r="B134" s="0" t="n">
        <v>36</v>
      </c>
      <c r="C134" s="0" t="n">
        <v>70</v>
      </c>
      <c r="D134" s="0" t="n">
        <v>0</v>
      </c>
      <c r="E134" s="0" t="n">
        <v>6</v>
      </c>
      <c r="F134" s="0" t="n">
        <v>57</v>
      </c>
      <c r="G134" s="0" t="n">
        <v>17</v>
      </c>
      <c r="H134" s="0" t="n">
        <v>2</v>
      </c>
      <c r="I134" s="0" t="n">
        <v>0</v>
      </c>
      <c r="J134" s="0" t="n">
        <v>11</v>
      </c>
      <c r="L134" s="0" t="n">
        <f aca="false">C134/(A134/60)</f>
        <v>13.7030995106036</v>
      </c>
      <c r="M134" s="0" t="n">
        <f aca="false">D134/(A134/60)</f>
        <v>0</v>
      </c>
      <c r="N134" s="0" t="n">
        <f aca="false">SUM(E134:J134)/(A134/60)</f>
        <v>18.2055464926591</v>
      </c>
    </row>
    <row r="135" customFormat="false" ht="14.25" hidden="false" customHeight="false" outlineLevel="0" collapsed="false">
      <c r="A135" s="0" t="n">
        <v>410</v>
      </c>
      <c r="B135" s="0" t="n">
        <v>52</v>
      </c>
      <c r="C135" s="0" t="n">
        <v>75</v>
      </c>
      <c r="D135" s="0" t="n">
        <v>0</v>
      </c>
      <c r="E135" s="0" t="n">
        <v>66</v>
      </c>
      <c r="F135" s="0" t="n">
        <v>78</v>
      </c>
      <c r="G135" s="0" t="n">
        <v>2</v>
      </c>
      <c r="H135" s="0" t="n">
        <v>11</v>
      </c>
      <c r="I135" s="0" t="n">
        <v>0</v>
      </c>
      <c r="J135" s="0" t="n">
        <v>11</v>
      </c>
      <c r="L135" s="0" t="n">
        <f aca="false">C135/(A135/60)</f>
        <v>10.9756097560976</v>
      </c>
      <c r="M135" s="0" t="n">
        <f aca="false">D135/(A135/60)</f>
        <v>0</v>
      </c>
      <c r="N135" s="0" t="n">
        <f aca="false">SUM(E135:J135)/(A135/60)</f>
        <v>24.5853658536585</v>
      </c>
    </row>
    <row r="136" customFormat="false" ht="14.25" hidden="false" customHeight="false" outlineLevel="0" collapsed="false">
      <c r="A136" s="0" t="n">
        <v>281.5</v>
      </c>
      <c r="B136" s="0" t="n">
        <v>37</v>
      </c>
      <c r="C136" s="0" t="n">
        <v>48</v>
      </c>
      <c r="D136" s="0" t="n">
        <v>5</v>
      </c>
      <c r="E136" s="0" t="n">
        <v>12</v>
      </c>
      <c r="F136" s="0" t="n">
        <v>6</v>
      </c>
      <c r="G136" s="0" t="n">
        <v>0</v>
      </c>
      <c r="H136" s="0" t="n">
        <v>9</v>
      </c>
      <c r="I136" s="0" t="n">
        <v>0</v>
      </c>
      <c r="J136" s="0" t="n">
        <v>45</v>
      </c>
      <c r="L136" s="0" t="n">
        <f aca="false">C136/(A136/60)</f>
        <v>10.2309058614565</v>
      </c>
      <c r="M136" s="0" t="n">
        <f aca="false">D136/(A136/60)</f>
        <v>1.06571936056838</v>
      </c>
      <c r="N136" s="0" t="n">
        <f aca="false">SUM(E136:J136)/(A136/60)</f>
        <v>15.3463587921847</v>
      </c>
    </row>
    <row r="137" customFormat="false" ht="14.25" hidden="false" customHeight="false" outlineLevel="0" collapsed="false">
      <c r="A137" s="0" t="n">
        <v>160.5</v>
      </c>
      <c r="B137" s="0" t="n">
        <v>62</v>
      </c>
      <c r="C137" s="0" t="n">
        <v>22</v>
      </c>
      <c r="D137" s="0" t="n">
        <v>14</v>
      </c>
      <c r="E137" s="0" t="n">
        <v>1</v>
      </c>
      <c r="F137" s="0" t="n">
        <v>0</v>
      </c>
      <c r="G137" s="0" t="n">
        <v>0</v>
      </c>
      <c r="H137" s="0" t="n">
        <v>3</v>
      </c>
      <c r="I137" s="0" t="n">
        <v>0</v>
      </c>
      <c r="J137" s="0" t="n">
        <v>4</v>
      </c>
      <c r="L137" s="0" t="n">
        <f aca="false">C137/(A137/60)</f>
        <v>8.22429906542056</v>
      </c>
      <c r="M137" s="0" t="n">
        <f aca="false">D137/(A137/60)</f>
        <v>5.23364485981309</v>
      </c>
      <c r="N137" s="0" t="n">
        <f aca="false">SUM(E137:J137)/(A137/60)</f>
        <v>2.99065420560748</v>
      </c>
    </row>
    <row r="138" customFormat="false" ht="14.25" hidden="false" customHeight="false" outlineLevel="0" collapsed="false">
      <c r="A138" s="0" t="n">
        <v>382.5</v>
      </c>
      <c r="B138" s="0" t="n">
        <v>66</v>
      </c>
      <c r="C138" s="0" t="n">
        <v>91</v>
      </c>
      <c r="D138" s="0" t="n">
        <v>0</v>
      </c>
      <c r="E138" s="0" t="n">
        <v>43</v>
      </c>
      <c r="F138" s="0" t="n">
        <v>92</v>
      </c>
      <c r="G138" s="0" t="n">
        <v>0</v>
      </c>
      <c r="H138" s="0" t="n">
        <v>3</v>
      </c>
      <c r="I138" s="0" t="n">
        <v>0</v>
      </c>
      <c r="J138" s="0" t="n">
        <v>21</v>
      </c>
      <c r="L138" s="0" t="n">
        <f aca="false">C138/(A138/60)</f>
        <v>14.2745098039216</v>
      </c>
      <c r="M138" s="0" t="n">
        <f aca="false">D138/(A138/60)</f>
        <v>0</v>
      </c>
      <c r="N138" s="0" t="n">
        <f aca="false">SUM(E138:J138)/(A138/60)</f>
        <v>24.9411764705882</v>
      </c>
    </row>
    <row r="139" customFormat="false" ht="14.25" hidden="false" customHeight="false" outlineLevel="0" collapsed="false">
      <c r="A139" s="0" t="n">
        <v>212</v>
      </c>
      <c r="B139" s="0" t="n">
        <v>67</v>
      </c>
      <c r="C139" s="0" t="n">
        <v>92</v>
      </c>
      <c r="D139" s="0" t="n">
        <v>0</v>
      </c>
      <c r="E139" s="0" t="n">
        <v>6</v>
      </c>
      <c r="F139" s="0" t="n">
        <v>66</v>
      </c>
      <c r="G139" s="0" t="n">
        <v>0</v>
      </c>
      <c r="H139" s="0" t="n">
        <v>7</v>
      </c>
      <c r="I139" s="0" t="n">
        <v>0</v>
      </c>
      <c r="J139" s="0" t="n">
        <v>37</v>
      </c>
      <c r="L139" s="0" t="n">
        <f aca="false">C139/(A139/60)</f>
        <v>26.0377358490566</v>
      </c>
      <c r="M139" s="0" t="n">
        <f aca="false">D139/(A139/60)</f>
        <v>0</v>
      </c>
      <c r="N139" s="0" t="n">
        <f aca="false">SUM(E139:J139)/(A139/60)</f>
        <v>32.8301886792453</v>
      </c>
    </row>
    <row r="140" customFormat="false" ht="14.25" hidden="false" customHeight="false" outlineLevel="0" collapsed="false">
      <c r="A140" s="0" t="n">
        <v>338</v>
      </c>
      <c r="B140" s="0" t="n">
        <v>44</v>
      </c>
      <c r="C140" s="0" t="n">
        <v>158</v>
      </c>
      <c r="D140" s="0" t="n">
        <v>0</v>
      </c>
      <c r="E140" s="0" t="n">
        <v>236</v>
      </c>
      <c r="F140" s="0" t="n">
        <v>237</v>
      </c>
      <c r="G140" s="0" t="n">
        <v>2</v>
      </c>
      <c r="H140" s="0" t="n">
        <v>10</v>
      </c>
      <c r="I140" s="0" t="n">
        <v>0</v>
      </c>
      <c r="J140" s="0" t="n">
        <v>0</v>
      </c>
      <c r="L140" s="0" t="n">
        <f aca="false">C140/(A140/60)</f>
        <v>28.0473372781065</v>
      </c>
      <c r="M140" s="0" t="n">
        <f aca="false">D140/(A140/60)</f>
        <v>0</v>
      </c>
      <c r="N140" s="0" t="n">
        <f aca="false">SUM(E140:J140)/(A140/60)</f>
        <v>86.094674556213</v>
      </c>
    </row>
    <row r="141" customFormat="false" ht="14.25" hidden="false" customHeight="false" outlineLevel="0" collapsed="false">
      <c r="A141" s="0" t="n">
        <v>421</v>
      </c>
      <c r="B141" s="0" t="n">
        <v>46</v>
      </c>
      <c r="C141" s="0" t="n">
        <v>96</v>
      </c>
      <c r="D141" s="0" t="n">
        <v>0</v>
      </c>
      <c r="E141" s="0" t="n">
        <v>14</v>
      </c>
      <c r="F141" s="0" t="n">
        <v>5</v>
      </c>
      <c r="G141" s="0" t="n">
        <v>6</v>
      </c>
      <c r="H141" s="0" t="n">
        <v>5</v>
      </c>
      <c r="I141" s="0" t="n">
        <v>0</v>
      </c>
      <c r="J141" s="0" t="n">
        <v>24</v>
      </c>
      <c r="L141" s="0" t="n">
        <f aca="false">C141/(A141/60)</f>
        <v>13.6817102137767</v>
      </c>
      <c r="M141" s="0" t="n">
        <f aca="false">D141/(A141/60)</f>
        <v>0</v>
      </c>
      <c r="N141" s="0" t="n">
        <f aca="false">SUM(E141:J141)/(A141/60)</f>
        <v>7.69596199524941</v>
      </c>
    </row>
    <row r="142" customFormat="false" ht="14.25" hidden="false" customHeight="false" outlineLevel="0" collapsed="false">
      <c r="A142" s="0" t="n">
        <v>382</v>
      </c>
      <c r="B142" s="0" t="n">
        <v>60</v>
      </c>
      <c r="C142" s="0" t="n">
        <v>83</v>
      </c>
      <c r="D142" s="0" t="n">
        <v>0</v>
      </c>
      <c r="E142" s="0" t="n">
        <v>1</v>
      </c>
      <c r="F142" s="0" t="n">
        <v>81</v>
      </c>
      <c r="G142" s="0" t="n">
        <v>0</v>
      </c>
      <c r="H142" s="0" t="n">
        <v>8</v>
      </c>
      <c r="I142" s="0" t="n">
        <v>0</v>
      </c>
      <c r="J142" s="0" t="n">
        <v>8</v>
      </c>
      <c r="L142" s="0" t="n">
        <f aca="false">C142/(A142/60)</f>
        <v>13.0366492146597</v>
      </c>
      <c r="M142" s="0" t="n">
        <f aca="false">D142/(A142/60)</f>
        <v>0</v>
      </c>
      <c r="N142" s="0" t="n">
        <f aca="false">SUM(E142:J142)/(A142/60)</f>
        <v>15.3926701570681</v>
      </c>
    </row>
    <row r="143" customFormat="false" ht="14.25" hidden="false" customHeight="false" outlineLevel="0" collapsed="false">
      <c r="A143" s="0" t="n">
        <v>362.5</v>
      </c>
      <c r="B143" s="0" t="n">
        <v>28</v>
      </c>
      <c r="C143" s="0" t="n">
        <v>63</v>
      </c>
      <c r="D143" s="0" t="n">
        <v>0</v>
      </c>
      <c r="E143" s="0" t="n">
        <v>28</v>
      </c>
      <c r="F143" s="0" t="n">
        <v>5</v>
      </c>
      <c r="G143" s="0" t="n">
        <v>5</v>
      </c>
      <c r="H143" s="0" t="n">
        <v>8</v>
      </c>
      <c r="I143" s="0" t="n">
        <v>0</v>
      </c>
      <c r="J143" s="0" t="n">
        <v>4</v>
      </c>
      <c r="L143" s="0" t="n">
        <f aca="false">C143/(A143/60)</f>
        <v>10.4275862068966</v>
      </c>
      <c r="M143" s="0" t="n">
        <f aca="false">D143/(A143/60)</f>
        <v>0</v>
      </c>
      <c r="N143" s="0" t="n">
        <f aca="false">SUM(E143:J143)/(A143/60)</f>
        <v>8.27586206896552</v>
      </c>
    </row>
    <row r="144" customFormat="false" ht="14.25" hidden="false" customHeight="false" outlineLevel="0" collapsed="false">
      <c r="A144" s="0" t="n">
        <v>276</v>
      </c>
      <c r="B144" s="0" t="n">
        <v>65</v>
      </c>
      <c r="C144" s="0" t="n">
        <v>72</v>
      </c>
      <c r="D144" s="0" t="n">
        <v>125</v>
      </c>
      <c r="E144" s="0" t="n">
        <v>6</v>
      </c>
      <c r="F144" s="0" t="n">
        <v>13</v>
      </c>
      <c r="G144" s="0" t="n">
        <v>0</v>
      </c>
      <c r="H144" s="0" t="n">
        <v>7</v>
      </c>
      <c r="I144" s="0" t="n">
        <v>0</v>
      </c>
      <c r="J144" s="0" t="n">
        <v>6</v>
      </c>
      <c r="L144" s="0" t="n">
        <f aca="false">C144/(A144/60)</f>
        <v>15.6521739130435</v>
      </c>
      <c r="M144" s="0" t="n">
        <f aca="false">D144/(A144/60)</f>
        <v>27.1739130434783</v>
      </c>
      <c r="N144" s="0" t="n">
        <f aca="false">SUM(E144:J144)/(A144/60)</f>
        <v>6.95652173913044</v>
      </c>
    </row>
    <row r="145" customFormat="false" ht="14.25" hidden="false" customHeight="false" outlineLevel="0" collapsed="false">
      <c r="A145" s="0" t="n">
        <v>385</v>
      </c>
      <c r="B145" s="0" t="n">
        <v>23</v>
      </c>
      <c r="C145" s="0" t="n">
        <v>77</v>
      </c>
      <c r="D145" s="0" t="n">
        <v>21</v>
      </c>
      <c r="E145" s="0" t="n">
        <v>0</v>
      </c>
      <c r="F145" s="0" t="n">
        <v>0</v>
      </c>
      <c r="G145" s="0" t="n">
        <v>15</v>
      </c>
      <c r="H145" s="0" t="n">
        <v>5</v>
      </c>
      <c r="I145" s="0" t="n">
        <v>0</v>
      </c>
      <c r="J145" s="0" t="n">
        <v>0</v>
      </c>
      <c r="L145" s="0" t="n">
        <f aca="false">C145/(A145/60)</f>
        <v>12</v>
      </c>
      <c r="M145" s="0" t="n">
        <f aca="false">D145/(A145/60)</f>
        <v>3.27272727272727</v>
      </c>
      <c r="N145" s="0" t="n">
        <f aca="false">SUM(E145:J145)/(A145/60)</f>
        <v>3.11688311688312</v>
      </c>
    </row>
    <row r="146" customFormat="false" ht="14.25" hidden="false" customHeight="false" outlineLevel="0" collapsed="false">
      <c r="A146" s="0" t="n">
        <v>309</v>
      </c>
      <c r="B146" s="0" t="n">
        <v>62</v>
      </c>
      <c r="C146" s="0" t="n">
        <v>91</v>
      </c>
      <c r="D146" s="0" t="n">
        <v>9</v>
      </c>
      <c r="E146" s="0" t="n">
        <v>10</v>
      </c>
      <c r="F146" s="0" t="n">
        <v>14</v>
      </c>
      <c r="G146" s="0" t="n">
        <v>3</v>
      </c>
      <c r="H146" s="0" t="n">
        <v>7</v>
      </c>
      <c r="I146" s="0" t="n">
        <v>0</v>
      </c>
      <c r="J146" s="0" t="n">
        <v>0</v>
      </c>
      <c r="L146" s="0" t="n">
        <f aca="false">C146/(A146/60)</f>
        <v>17.6699029126214</v>
      </c>
      <c r="M146" s="0" t="n">
        <f aca="false">D146/(A146/60)</f>
        <v>1.74757281553398</v>
      </c>
      <c r="N146" s="0" t="n">
        <f aca="false">SUM(E146:J146)/(A146/60)</f>
        <v>6.60194174757282</v>
      </c>
    </row>
    <row r="147" customFormat="false" ht="14.25" hidden="false" customHeight="false" outlineLevel="0" collapsed="false">
      <c r="A147" s="0" t="n">
        <v>399</v>
      </c>
      <c r="B147" s="0" t="n">
        <v>31</v>
      </c>
      <c r="C147" s="0" t="n">
        <v>28</v>
      </c>
      <c r="D147" s="0" t="n">
        <v>0</v>
      </c>
      <c r="E147" s="0" t="n">
        <v>1</v>
      </c>
      <c r="F147" s="0" t="n">
        <v>18</v>
      </c>
      <c r="G147" s="0" t="n">
        <v>0</v>
      </c>
      <c r="H147" s="0" t="n">
        <v>17</v>
      </c>
      <c r="I147" s="0" t="n">
        <v>0</v>
      </c>
      <c r="J147" s="0" t="n">
        <v>0</v>
      </c>
      <c r="L147" s="0" t="n">
        <f aca="false">C147/(A147/60)</f>
        <v>4.21052631578947</v>
      </c>
      <c r="M147" s="0" t="n">
        <f aca="false">D147/(A147/60)</f>
        <v>0</v>
      </c>
      <c r="N147" s="0" t="n">
        <f aca="false">SUM(E147:J147)/(A147/60)</f>
        <v>5.41353383458647</v>
      </c>
    </row>
    <row r="148" customFormat="false" ht="14.25" hidden="false" customHeight="false" outlineLevel="0" collapsed="false">
      <c r="A148" s="0" t="n">
        <v>329.5</v>
      </c>
      <c r="B148" s="0" t="n">
        <v>61</v>
      </c>
      <c r="C148" s="0" t="n">
        <v>85</v>
      </c>
      <c r="D148" s="0" t="n">
        <v>10</v>
      </c>
      <c r="E148" s="0" t="n">
        <v>6</v>
      </c>
      <c r="F148" s="0" t="n">
        <v>16</v>
      </c>
      <c r="G148" s="0" t="n">
        <v>0</v>
      </c>
      <c r="H148" s="0" t="n">
        <v>2</v>
      </c>
      <c r="I148" s="0" t="n">
        <v>0</v>
      </c>
      <c r="J148" s="0" t="n">
        <v>6</v>
      </c>
      <c r="L148" s="0" t="n">
        <f aca="false">C148/(A148/60)</f>
        <v>15.4779969650986</v>
      </c>
      <c r="M148" s="0" t="n">
        <f aca="false">D148/(A148/60)</f>
        <v>1.82094081942337</v>
      </c>
      <c r="N148" s="0" t="n">
        <f aca="false">SUM(E148:J148)/(A148/60)</f>
        <v>5.46282245827011</v>
      </c>
    </row>
    <row r="149" customFormat="false" ht="14.25" hidden="false" customHeight="false" outlineLevel="0" collapsed="false">
      <c r="A149" s="0" t="n">
        <v>375</v>
      </c>
      <c r="B149" s="0" t="n">
        <v>31</v>
      </c>
      <c r="C149" s="0" t="n">
        <v>35</v>
      </c>
      <c r="D149" s="0" t="n">
        <v>0</v>
      </c>
      <c r="E149" s="0" t="n">
        <v>0</v>
      </c>
      <c r="F149" s="0" t="n">
        <v>4</v>
      </c>
      <c r="G149" s="0" t="n">
        <v>1</v>
      </c>
      <c r="H149" s="0" t="n">
        <v>1</v>
      </c>
      <c r="I149" s="0" t="n">
        <v>0</v>
      </c>
      <c r="J149" s="0" t="n">
        <v>11</v>
      </c>
      <c r="L149" s="0" t="n">
        <f aca="false">C149/(A149/60)</f>
        <v>5.6</v>
      </c>
      <c r="M149" s="0" t="n">
        <f aca="false">D149/(A149/60)</f>
        <v>0</v>
      </c>
      <c r="N149" s="0" t="n">
        <f aca="false">SUM(E149:J149)/(A149/60)</f>
        <v>2.72</v>
      </c>
    </row>
    <row r="150" customFormat="false" ht="14.25" hidden="false" customHeight="false" outlineLevel="0" collapsed="false">
      <c r="A150" s="0" t="n">
        <v>440.5</v>
      </c>
      <c r="B150" s="0" t="n">
        <v>31</v>
      </c>
      <c r="C150" s="0" t="n">
        <v>102</v>
      </c>
      <c r="D150" s="0" t="n">
        <v>0</v>
      </c>
      <c r="E150" s="0" t="n">
        <v>0</v>
      </c>
      <c r="F150" s="0" t="n">
        <v>0</v>
      </c>
      <c r="G150" s="0" t="n">
        <v>15</v>
      </c>
      <c r="H150" s="0" t="n">
        <v>3</v>
      </c>
      <c r="I150" s="0" t="n">
        <v>0</v>
      </c>
      <c r="J150" s="0" t="n">
        <v>38</v>
      </c>
      <c r="L150" s="0" t="n">
        <f aca="false">C150/(A150/60)</f>
        <v>13.8933030646992</v>
      </c>
      <c r="M150" s="0" t="n">
        <f aca="false">D150/(A150/60)</f>
        <v>0</v>
      </c>
      <c r="N150" s="0" t="n">
        <f aca="false">SUM(E150:J150)/(A150/60)</f>
        <v>7.62769580022701</v>
      </c>
    </row>
    <row r="151" customFormat="false" ht="14.25" hidden="false" customHeight="false" outlineLevel="0" collapsed="false">
      <c r="A151" s="0" t="n">
        <v>296</v>
      </c>
      <c r="B151" s="0" t="n">
        <v>66</v>
      </c>
      <c r="C151" s="0" t="n">
        <v>54</v>
      </c>
      <c r="D151" s="0" t="n">
        <v>0</v>
      </c>
      <c r="E151" s="0" t="n">
        <v>0</v>
      </c>
      <c r="F151" s="0" t="n">
        <v>11</v>
      </c>
      <c r="G151" s="0" t="n">
        <v>0</v>
      </c>
      <c r="H151" s="0" t="n">
        <v>6</v>
      </c>
      <c r="I151" s="0" t="n">
        <v>0</v>
      </c>
      <c r="J151" s="0" t="n">
        <v>21</v>
      </c>
      <c r="L151" s="0" t="n">
        <f aca="false">C151/(A151/60)</f>
        <v>10.9459459459459</v>
      </c>
      <c r="M151" s="0" t="n">
        <f aca="false">D151/(A151/60)</f>
        <v>0</v>
      </c>
      <c r="N151" s="0" t="n">
        <f aca="false">SUM(E151:J151)/(A151/60)</f>
        <v>7.7027027027027</v>
      </c>
    </row>
    <row r="152" customFormat="false" ht="14.25" hidden="false" customHeight="false" outlineLevel="0" collapsed="false">
      <c r="A152" s="0" t="n">
        <v>391.5</v>
      </c>
      <c r="B152" s="0" t="n">
        <v>43</v>
      </c>
      <c r="C152" s="0" t="n">
        <v>122</v>
      </c>
      <c r="D152" s="0" t="n">
        <v>0</v>
      </c>
      <c r="E152" s="0" t="n">
        <v>0</v>
      </c>
      <c r="F152" s="0" t="n">
        <v>0</v>
      </c>
      <c r="G152" s="0" t="n">
        <v>0</v>
      </c>
      <c r="H152" s="0" t="n">
        <v>1</v>
      </c>
      <c r="I152" s="0" t="n">
        <v>0</v>
      </c>
      <c r="J152" s="0" t="n">
        <v>0</v>
      </c>
      <c r="L152" s="0" t="n">
        <f aca="false">C152/(A152/60)</f>
        <v>18.6973180076628</v>
      </c>
      <c r="M152" s="0" t="n">
        <f aca="false">D152/(A152/60)</f>
        <v>0</v>
      </c>
      <c r="N152" s="0" t="n">
        <f aca="false">SUM(E152:J152)/(A152/60)</f>
        <v>0.153256704980843</v>
      </c>
    </row>
    <row r="153" customFormat="false" ht="14.25" hidden="false" customHeight="false" outlineLevel="0" collapsed="false">
      <c r="A153" s="0" t="n">
        <v>360</v>
      </c>
      <c r="B153" s="0" t="n">
        <v>44</v>
      </c>
      <c r="C153" s="0" t="n">
        <v>95</v>
      </c>
      <c r="D153" s="0" t="n">
        <v>0</v>
      </c>
      <c r="E153" s="0" t="n">
        <v>0</v>
      </c>
      <c r="F153" s="0" t="n">
        <v>0</v>
      </c>
      <c r="G153" s="0" t="n">
        <v>1</v>
      </c>
      <c r="H153" s="0" t="n">
        <v>14</v>
      </c>
      <c r="I153" s="0" t="n">
        <v>1</v>
      </c>
      <c r="J153" s="0" t="n">
        <v>11</v>
      </c>
      <c r="L153" s="0" t="n">
        <f aca="false">C153/(A153/60)</f>
        <v>15.8333333333333</v>
      </c>
      <c r="M153" s="0" t="n">
        <f aca="false">D153/(A153/60)</f>
        <v>0</v>
      </c>
      <c r="N153" s="0" t="n">
        <f aca="false">SUM(E153:J153)/(A153/60)</f>
        <v>4.5</v>
      </c>
    </row>
    <row r="154" customFormat="false" ht="14.25" hidden="false" customHeight="false" outlineLevel="0" collapsed="false">
      <c r="A154" s="0" t="n">
        <v>428</v>
      </c>
      <c r="B154" s="0" t="n">
        <v>29</v>
      </c>
      <c r="C154" s="0" t="n">
        <v>50</v>
      </c>
      <c r="D154" s="0" t="n">
        <v>20</v>
      </c>
      <c r="E154" s="0" t="n">
        <v>1</v>
      </c>
      <c r="F154" s="0" t="n">
        <v>2</v>
      </c>
      <c r="G154" s="0" t="n">
        <v>3</v>
      </c>
      <c r="H154" s="0" t="n">
        <v>11</v>
      </c>
      <c r="I154" s="0" t="n">
        <v>0</v>
      </c>
      <c r="J154" s="0" t="n">
        <v>13</v>
      </c>
      <c r="L154" s="0" t="n">
        <f aca="false">C154/(A154/60)</f>
        <v>7.00934579439252</v>
      </c>
      <c r="M154" s="0" t="n">
        <f aca="false">D154/(A154/60)</f>
        <v>2.80373831775701</v>
      </c>
      <c r="N154" s="0" t="n">
        <f aca="false">SUM(E154:J154)/(A154/60)</f>
        <v>4.20560747663551</v>
      </c>
    </row>
    <row r="155" customFormat="false" ht="14.25" hidden="false" customHeight="false" outlineLevel="0" collapsed="false">
      <c r="A155" s="0" t="n">
        <v>435.5</v>
      </c>
      <c r="B155" s="0" t="n">
        <v>29</v>
      </c>
      <c r="C155" s="0" t="n">
        <v>154</v>
      </c>
      <c r="D155" s="0" t="n">
        <v>0</v>
      </c>
      <c r="E155" s="0" t="n">
        <v>0</v>
      </c>
      <c r="F155" s="0" t="n">
        <v>13</v>
      </c>
      <c r="G155" s="0" t="n">
        <v>2</v>
      </c>
      <c r="H155" s="0" t="n">
        <v>3</v>
      </c>
      <c r="I155" s="0" t="n">
        <v>0</v>
      </c>
      <c r="J155" s="0" t="n">
        <v>59</v>
      </c>
      <c r="L155" s="0" t="n">
        <f aca="false">C155/(A155/60)</f>
        <v>21.2169919632606</v>
      </c>
      <c r="M155" s="0" t="n">
        <f aca="false">D155/(A155/60)</f>
        <v>0</v>
      </c>
      <c r="N155" s="0" t="n">
        <f aca="false">SUM(E155:J155)/(A155/60)</f>
        <v>10.6084959816303</v>
      </c>
    </row>
    <row r="156" customFormat="false" ht="14.25" hidden="false" customHeight="false" outlineLevel="0" collapsed="false">
      <c r="A156" s="0" t="n">
        <v>410.5</v>
      </c>
      <c r="B156" s="0" t="n">
        <v>48</v>
      </c>
      <c r="C156" s="0" t="n">
        <v>198</v>
      </c>
      <c r="D156" s="0" t="n">
        <v>0</v>
      </c>
      <c r="E156" s="0" t="n">
        <v>6</v>
      </c>
      <c r="F156" s="0" t="n">
        <v>9</v>
      </c>
      <c r="G156" s="0" t="n">
        <v>0</v>
      </c>
      <c r="H156" s="0" t="n">
        <v>4</v>
      </c>
      <c r="I156" s="0" t="n">
        <v>0</v>
      </c>
      <c r="J156" s="0" t="n">
        <v>136</v>
      </c>
      <c r="L156" s="0" t="n">
        <f aca="false">C156/(A156/60)</f>
        <v>28.9403166869671</v>
      </c>
      <c r="M156" s="0" t="n">
        <f aca="false">D156/(A156/60)</f>
        <v>0</v>
      </c>
      <c r="N156" s="0" t="n">
        <f aca="false">SUM(E156:J156)/(A156/60)</f>
        <v>22.6552984165652</v>
      </c>
    </row>
    <row r="157" customFormat="false" ht="14.25" hidden="false" customHeight="false" outlineLevel="0" collapsed="false">
      <c r="A157" s="0" t="n">
        <v>373.5</v>
      </c>
      <c r="B157" s="0" t="n">
        <v>62</v>
      </c>
      <c r="C157" s="0" t="n">
        <v>106</v>
      </c>
      <c r="D157" s="0" t="n">
        <v>114</v>
      </c>
      <c r="E157" s="0" t="n">
        <v>4</v>
      </c>
      <c r="F157" s="0" t="n">
        <v>45</v>
      </c>
      <c r="G157" s="0" t="n">
        <v>0</v>
      </c>
      <c r="H157" s="0" t="n">
        <v>2</v>
      </c>
      <c r="I157" s="0" t="n">
        <v>0</v>
      </c>
      <c r="J157" s="0" t="n">
        <v>47</v>
      </c>
      <c r="L157" s="0" t="n">
        <f aca="false">C157/(A157/60)</f>
        <v>17.0281124497992</v>
      </c>
      <c r="M157" s="0" t="n">
        <f aca="false">D157/(A157/60)</f>
        <v>18.3132530120482</v>
      </c>
      <c r="N157" s="0" t="n">
        <f aca="false">SUM(E157:J157)/(A157/60)</f>
        <v>15.7429718875502</v>
      </c>
    </row>
    <row r="158" customFormat="false" ht="14.25" hidden="false" customHeight="false" outlineLevel="0" collapsed="false">
      <c r="A158" s="0" t="n">
        <v>325.5</v>
      </c>
      <c r="B158" s="0" t="n">
        <v>56</v>
      </c>
      <c r="C158" s="0" t="n">
        <v>137</v>
      </c>
      <c r="D158" s="0" t="n">
        <v>50</v>
      </c>
      <c r="E158" s="0" t="n">
        <v>24</v>
      </c>
      <c r="F158" s="0" t="n">
        <v>124</v>
      </c>
      <c r="G158" s="0" t="n">
        <v>0</v>
      </c>
      <c r="H158" s="0" t="n">
        <v>7</v>
      </c>
      <c r="I158" s="0" t="n">
        <v>0</v>
      </c>
      <c r="J158" s="0" t="n">
        <v>10</v>
      </c>
      <c r="L158" s="0" t="n">
        <f aca="false">C158/(A158/60)</f>
        <v>25.2534562211982</v>
      </c>
      <c r="M158" s="0" t="n">
        <f aca="false">D158/(A158/60)</f>
        <v>9.21658986175115</v>
      </c>
      <c r="N158" s="0" t="n">
        <f aca="false">SUM(E158:J158)/(A158/60)</f>
        <v>30.4147465437788</v>
      </c>
    </row>
    <row r="159" customFormat="false" ht="14.25" hidden="false" customHeight="false" outlineLevel="0" collapsed="false">
      <c r="A159" s="0" t="n">
        <v>388.5</v>
      </c>
      <c r="B159" s="0" t="n">
        <v>42</v>
      </c>
      <c r="C159" s="0" t="n">
        <v>40</v>
      </c>
      <c r="D159" s="0" t="n">
        <v>0</v>
      </c>
      <c r="E159" s="0" t="n">
        <v>0</v>
      </c>
      <c r="F159" s="0" t="n">
        <v>0</v>
      </c>
      <c r="G159" s="0" t="n">
        <v>7</v>
      </c>
      <c r="H159" s="0" t="n">
        <v>13</v>
      </c>
      <c r="I159" s="0" t="n">
        <v>0</v>
      </c>
      <c r="J159" s="0" t="n">
        <v>21</v>
      </c>
      <c r="L159" s="0" t="n">
        <f aca="false">C159/(A159/60)</f>
        <v>6.17760617760618</v>
      </c>
      <c r="M159" s="0" t="n">
        <f aca="false">D159/(A159/60)</f>
        <v>0</v>
      </c>
      <c r="N159" s="0" t="n">
        <f aca="false">SUM(E159:J159)/(A159/60)</f>
        <v>6.33204633204633</v>
      </c>
    </row>
    <row r="160" customFormat="false" ht="14.25" hidden="false" customHeight="false" outlineLevel="0" collapsed="false">
      <c r="A160" s="0" t="n">
        <v>328.5</v>
      </c>
      <c r="B160" s="0" t="n">
        <v>62</v>
      </c>
      <c r="C160" s="0" t="n">
        <v>244</v>
      </c>
      <c r="D160" s="0" t="n">
        <v>0</v>
      </c>
      <c r="E160" s="0" t="n">
        <v>16</v>
      </c>
      <c r="F160" s="0" t="n">
        <v>30</v>
      </c>
      <c r="G160" s="0" t="n">
        <v>0</v>
      </c>
      <c r="H160" s="0" t="n">
        <v>9</v>
      </c>
      <c r="I160" s="0" t="n">
        <v>0</v>
      </c>
      <c r="J160" s="0" t="n">
        <v>82</v>
      </c>
      <c r="L160" s="0" t="n">
        <f aca="false">C160/(A160/60)</f>
        <v>44.5662100456621</v>
      </c>
      <c r="M160" s="0" t="n">
        <f aca="false">D160/(A160/60)</f>
        <v>0</v>
      </c>
      <c r="N160" s="0" t="n">
        <f aca="false">SUM(E160:J160)/(A160/60)</f>
        <v>25.0228310502283</v>
      </c>
    </row>
    <row r="161" customFormat="false" ht="14.25" hidden="false" customHeight="false" outlineLevel="0" collapsed="false">
      <c r="A161" s="0" t="n">
        <v>340</v>
      </c>
      <c r="B161" s="0" t="n">
        <v>55</v>
      </c>
      <c r="C161" s="0" t="n">
        <v>152</v>
      </c>
      <c r="D161" s="0" t="n">
        <v>0</v>
      </c>
      <c r="E161" s="0" t="n">
        <v>18</v>
      </c>
      <c r="F161" s="0" t="n">
        <v>55</v>
      </c>
      <c r="G161" s="0" t="n">
        <v>0</v>
      </c>
      <c r="H161" s="0" t="n">
        <v>11</v>
      </c>
      <c r="I161" s="0" t="n">
        <v>0</v>
      </c>
      <c r="J161" s="0" t="n">
        <v>11</v>
      </c>
      <c r="L161" s="0" t="n">
        <f aca="false">C161/(A161/60)</f>
        <v>26.8235294117647</v>
      </c>
      <c r="M161" s="0" t="n">
        <f aca="false">D161/(A161/60)</f>
        <v>0</v>
      </c>
      <c r="N161" s="0" t="n">
        <f aca="false">SUM(E161:J161)/(A161/60)</f>
        <v>16.7647058823529</v>
      </c>
    </row>
    <row r="162" customFormat="false" ht="14.25" hidden="false" customHeight="false" outlineLevel="0" collapsed="false">
      <c r="A162" s="0" t="n">
        <v>413</v>
      </c>
      <c r="B162" s="0" t="n">
        <v>31</v>
      </c>
      <c r="C162" s="0" t="n">
        <v>37</v>
      </c>
      <c r="D162" s="0" t="n">
        <v>0</v>
      </c>
      <c r="E162" s="0" t="n">
        <v>0</v>
      </c>
      <c r="F162" s="0" t="n">
        <v>13</v>
      </c>
      <c r="G162" s="0" t="n">
        <v>0</v>
      </c>
      <c r="H162" s="0" t="n">
        <v>11</v>
      </c>
      <c r="I162" s="0" t="n">
        <v>0</v>
      </c>
      <c r="J162" s="0" t="n">
        <v>4</v>
      </c>
      <c r="L162" s="0" t="n">
        <f aca="false">C162/(A162/60)</f>
        <v>5.37530266343826</v>
      </c>
      <c r="M162" s="0" t="n">
        <f aca="false">D162/(A162/60)</f>
        <v>0</v>
      </c>
      <c r="N162" s="0" t="n">
        <f aca="false">SUM(E162:J162)/(A162/60)</f>
        <v>4.06779661016949</v>
      </c>
    </row>
    <row r="163" customFormat="false" ht="14.25" hidden="false" customHeight="false" outlineLevel="0" collapsed="false">
      <c r="A163" s="0" t="n">
        <v>297</v>
      </c>
      <c r="B163" s="0" t="n">
        <v>75</v>
      </c>
      <c r="C163" s="0" t="n">
        <v>153</v>
      </c>
      <c r="D163" s="0" t="n">
        <v>181</v>
      </c>
      <c r="E163" s="0" t="n">
        <v>1</v>
      </c>
      <c r="F163" s="0" t="n">
        <v>19</v>
      </c>
      <c r="G163" s="0" t="n">
        <v>0</v>
      </c>
      <c r="H163" s="0" t="n">
        <v>1</v>
      </c>
      <c r="I163" s="0" t="n">
        <v>0</v>
      </c>
      <c r="J163" s="0" t="n">
        <v>14</v>
      </c>
      <c r="L163" s="0" t="n">
        <f aca="false">C163/(A163/60)</f>
        <v>30.9090909090909</v>
      </c>
      <c r="M163" s="0" t="n">
        <f aca="false">D163/(A163/60)</f>
        <v>36.5656565656566</v>
      </c>
      <c r="N163" s="0" t="n">
        <f aca="false">SUM(E163:J163)/(A163/60)</f>
        <v>7.07070707070707</v>
      </c>
    </row>
    <row r="164" customFormat="false" ht="14.25" hidden="false" customHeight="false" outlineLevel="0" collapsed="false">
      <c r="A164" s="0" t="n">
        <v>392.5</v>
      </c>
      <c r="B164" s="0" t="n">
        <v>33</v>
      </c>
      <c r="C164" s="0" t="n">
        <v>40</v>
      </c>
      <c r="D164" s="0" t="n">
        <v>0</v>
      </c>
      <c r="E164" s="0" t="n">
        <v>0</v>
      </c>
      <c r="F164" s="0" t="n">
        <v>17</v>
      </c>
      <c r="G164" s="0" t="n">
        <v>0</v>
      </c>
      <c r="H164" s="0" t="n">
        <v>1</v>
      </c>
      <c r="I164" s="0" t="n">
        <v>0</v>
      </c>
      <c r="J164" s="0" t="n">
        <v>18</v>
      </c>
      <c r="L164" s="0" t="n">
        <f aca="false">C164/(A164/60)</f>
        <v>6.11464968152866</v>
      </c>
      <c r="M164" s="0" t="n">
        <f aca="false">D164/(A164/60)</f>
        <v>0</v>
      </c>
      <c r="N164" s="0" t="n">
        <f aca="false">SUM(E164:J164)/(A164/60)</f>
        <v>5.5031847133758</v>
      </c>
    </row>
    <row r="165" customFormat="false" ht="14.25" hidden="false" customHeight="false" outlineLevel="0" collapsed="false">
      <c r="A165" s="0" t="n">
        <v>413.5</v>
      </c>
      <c r="B165" s="0" t="n">
        <v>51</v>
      </c>
      <c r="C165" s="0" t="n">
        <v>105</v>
      </c>
      <c r="D165" s="0" t="n">
        <v>0</v>
      </c>
      <c r="E165" s="0" t="n">
        <v>4</v>
      </c>
      <c r="F165" s="0" t="n">
        <v>6</v>
      </c>
      <c r="G165" s="0" t="n">
        <v>1</v>
      </c>
      <c r="H165" s="0" t="n">
        <v>2</v>
      </c>
      <c r="I165" s="0" t="n">
        <v>0</v>
      </c>
      <c r="J165" s="0" t="n">
        <v>3</v>
      </c>
      <c r="L165" s="0" t="n">
        <f aca="false">C165/(A165/60)</f>
        <v>15.235792019347</v>
      </c>
      <c r="M165" s="0" t="n">
        <f aca="false">D165/(A165/60)</f>
        <v>0</v>
      </c>
      <c r="N165" s="0" t="n">
        <f aca="false">SUM(E165:J165)/(A165/60)</f>
        <v>2.32164449818622</v>
      </c>
    </row>
    <row r="166" customFormat="false" ht="14.25" hidden="false" customHeight="false" outlineLevel="0" collapsed="false">
      <c r="A166" s="0" t="n">
        <v>391</v>
      </c>
      <c r="B166" s="0" t="n">
        <v>26</v>
      </c>
      <c r="C166" s="0" t="n">
        <v>44</v>
      </c>
      <c r="D166" s="0" t="n">
        <v>0</v>
      </c>
      <c r="E166" s="0" t="n">
        <v>4</v>
      </c>
      <c r="F166" s="0" t="n">
        <v>23</v>
      </c>
      <c r="G166" s="0" t="n">
        <v>2</v>
      </c>
      <c r="H166" s="0" t="n">
        <v>7</v>
      </c>
      <c r="I166" s="0" t="n">
        <v>0</v>
      </c>
      <c r="J166" s="0" t="n">
        <v>8</v>
      </c>
      <c r="L166" s="0" t="n">
        <f aca="false">C166/(A166/60)</f>
        <v>6.75191815856778</v>
      </c>
      <c r="M166" s="0" t="n">
        <f aca="false">D166/(A166/60)</f>
        <v>0</v>
      </c>
      <c r="N166" s="0" t="n">
        <f aca="false">SUM(E166:J166)/(A166/60)</f>
        <v>6.75191815856778</v>
      </c>
    </row>
    <row r="167" customFormat="false" ht="14.25" hidden="false" customHeight="false" outlineLevel="0" collapsed="false">
      <c r="A167" s="0" t="n">
        <v>317</v>
      </c>
      <c r="B167" s="0" t="n">
        <v>58</v>
      </c>
      <c r="C167" s="0" t="n">
        <v>162</v>
      </c>
      <c r="D167" s="0" t="n">
        <v>5</v>
      </c>
      <c r="E167" s="0" t="n">
        <v>0</v>
      </c>
      <c r="F167" s="0" t="n">
        <v>0</v>
      </c>
      <c r="G167" s="0" t="n">
        <v>2</v>
      </c>
      <c r="H167" s="0" t="n">
        <v>5</v>
      </c>
      <c r="I167" s="0" t="n">
        <v>0</v>
      </c>
      <c r="J167" s="0" t="n">
        <v>24</v>
      </c>
      <c r="L167" s="0" t="n">
        <f aca="false">C167/(A167/60)</f>
        <v>30.6624605678233</v>
      </c>
      <c r="M167" s="0" t="n">
        <f aca="false">D167/(A167/60)</f>
        <v>0.946372239747634</v>
      </c>
      <c r="N167" s="0" t="n">
        <f aca="false">SUM(E167:J167)/(A167/60)</f>
        <v>5.86750788643533</v>
      </c>
    </row>
    <row r="168" customFormat="false" ht="14.25" hidden="false" customHeight="false" outlineLevel="0" collapsed="false">
      <c r="A168" s="0" t="n">
        <v>360</v>
      </c>
      <c r="B168" s="0" t="n">
        <v>53</v>
      </c>
      <c r="C168" s="0" t="n">
        <v>391</v>
      </c>
      <c r="D168" s="0" t="n">
        <v>0</v>
      </c>
      <c r="E168" s="0" t="n">
        <v>16</v>
      </c>
      <c r="F168" s="0" t="n">
        <v>190</v>
      </c>
      <c r="G168" s="0" t="n">
        <v>0</v>
      </c>
      <c r="H168" s="0" t="n">
        <v>6</v>
      </c>
      <c r="I168" s="0" t="n">
        <v>3</v>
      </c>
      <c r="J168" s="0" t="n">
        <v>181</v>
      </c>
      <c r="L168" s="0" t="n">
        <f aca="false">C168/(A168/60)</f>
        <v>65.1666666666667</v>
      </c>
      <c r="M168" s="0" t="n">
        <f aca="false">D168/(A168/60)</f>
        <v>0</v>
      </c>
      <c r="N168" s="0" t="n">
        <f aca="false">SUM(E168:J168)/(A168/60)</f>
        <v>66</v>
      </c>
    </row>
    <row r="169" customFormat="false" ht="14.25" hidden="false" customHeight="false" outlineLevel="0" collapsed="false">
      <c r="A169" s="0" t="n">
        <v>297.5</v>
      </c>
      <c r="B169" s="0" t="n">
        <v>32</v>
      </c>
      <c r="C169" s="0" t="n">
        <v>124</v>
      </c>
      <c r="D169" s="0" t="n">
        <v>4</v>
      </c>
      <c r="E169" s="0" t="n">
        <v>0</v>
      </c>
      <c r="F169" s="0" t="n">
        <v>2</v>
      </c>
      <c r="G169" s="0" t="n">
        <v>0</v>
      </c>
      <c r="H169" s="0" t="n">
        <v>6</v>
      </c>
      <c r="I169" s="0" t="n">
        <v>0</v>
      </c>
      <c r="J169" s="0" t="n">
        <v>49</v>
      </c>
      <c r="L169" s="0" t="n">
        <f aca="false">C169/(A169/60)</f>
        <v>25.0084033613445</v>
      </c>
      <c r="M169" s="0" t="n">
        <f aca="false">D169/(A169/60)</f>
        <v>0.80672268907563</v>
      </c>
      <c r="N169" s="0" t="n">
        <f aca="false">SUM(E169:J169)/(A169/60)</f>
        <v>11.4957983193277</v>
      </c>
    </row>
    <row r="170" customFormat="false" ht="14.25" hidden="false" customHeight="false" outlineLevel="0" collapsed="false">
      <c r="A170" s="0" t="n">
        <v>387</v>
      </c>
      <c r="B170" s="0" t="n">
        <v>66</v>
      </c>
      <c r="C170" s="0" t="n">
        <v>152</v>
      </c>
      <c r="D170" s="0" t="n">
        <v>13</v>
      </c>
      <c r="E170" s="0" t="n">
        <v>36</v>
      </c>
      <c r="F170" s="0" t="n">
        <v>42</v>
      </c>
      <c r="G170" s="0" t="n">
        <v>2</v>
      </c>
      <c r="H170" s="0" t="n">
        <v>1</v>
      </c>
      <c r="I170" s="0" t="n">
        <v>0</v>
      </c>
      <c r="J170" s="0" t="n">
        <v>30</v>
      </c>
      <c r="L170" s="0" t="n">
        <f aca="false">C170/(A170/60)</f>
        <v>23.5658914728682</v>
      </c>
      <c r="M170" s="0" t="n">
        <f aca="false">D170/(A170/60)</f>
        <v>2.01550387596899</v>
      </c>
      <c r="N170" s="0" t="n">
        <f aca="false">SUM(E170:J170)/(A170/60)</f>
        <v>17.2093023255814</v>
      </c>
    </row>
    <row r="171" customFormat="false" ht="14.25" hidden="false" customHeight="false" outlineLevel="0" collapsed="false">
      <c r="A171" s="0" t="n">
        <v>261</v>
      </c>
      <c r="B171" s="0" t="n">
        <v>52</v>
      </c>
      <c r="C171" s="0" t="n">
        <v>70</v>
      </c>
      <c r="D171" s="0" t="n">
        <v>0</v>
      </c>
      <c r="E171" s="0" t="n">
        <v>7</v>
      </c>
      <c r="F171" s="0" t="n">
        <v>55</v>
      </c>
      <c r="G171" s="0" t="n">
        <v>1</v>
      </c>
      <c r="H171" s="0" t="n">
        <v>0</v>
      </c>
      <c r="I171" s="0" t="n">
        <v>0</v>
      </c>
      <c r="J171" s="0" t="n">
        <v>20</v>
      </c>
      <c r="L171" s="0" t="n">
        <f aca="false">C171/(A171/60)</f>
        <v>16.0919540229885</v>
      </c>
      <c r="M171" s="0" t="n">
        <f aca="false">D171/(A171/60)</f>
        <v>0</v>
      </c>
      <c r="N171" s="0" t="n">
        <f aca="false">SUM(E171:J171)/(A171/60)</f>
        <v>19.0804597701149</v>
      </c>
    </row>
    <row r="172" customFormat="false" ht="14.25" hidden="false" customHeight="false" outlineLevel="0" collapsed="false">
      <c r="A172" s="0" t="n">
        <v>322</v>
      </c>
      <c r="B172" s="0" t="n">
        <v>73</v>
      </c>
      <c r="C172" s="0" t="n">
        <v>62</v>
      </c>
      <c r="D172" s="0" t="n">
        <v>0</v>
      </c>
      <c r="E172" s="0" t="n">
        <v>19</v>
      </c>
      <c r="F172" s="0" t="n">
        <v>53</v>
      </c>
      <c r="G172" s="0" t="n">
        <v>0</v>
      </c>
      <c r="H172" s="0" t="n">
        <v>4</v>
      </c>
      <c r="I172" s="0" t="n">
        <v>0</v>
      </c>
      <c r="J172" s="0" t="n">
        <v>6</v>
      </c>
      <c r="L172" s="0" t="n">
        <f aca="false">C172/(A172/60)</f>
        <v>11.5527950310559</v>
      </c>
      <c r="M172" s="0" t="n">
        <f aca="false">D172/(A172/60)</f>
        <v>0</v>
      </c>
      <c r="N172" s="0" t="n">
        <f aca="false">SUM(E172:J172)/(A172/60)</f>
        <v>15.2795031055901</v>
      </c>
    </row>
    <row r="173" customFormat="false" ht="14.25" hidden="false" customHeight="false" outlineLevel="0" collapsed="false">
      <c r="A173" s="0" t="n">
        <v>408</v>
      </c>
      <c r="B173" s="0" t="n">
        <v>39</v>
      </c>
      <c r="C173" s="0" t="n">
        <v>108</v>
      </c>
      <c r="D173" s="0" t="n">
        <v>0</v>
      </c>
      <c r="E173" s="0" t="n">
        <v>0</v>
      </c>
      <c r="F173" s="0" t="n">
        <v>3</v>
      </c>
      <c r="G173" s="0" t="n">
        <v>0</v>
      </c>
      <c r="H173" s="0" t="n">
        <v>6</v>
      </c>
      <c r="I173" s="0" t="n">
        <v>0</v>
      </c>
      <c r="J173" s="0" t="n">
        <v>16</v>
      </c>
      <c r="L173" s="0" t="n">
        <f aca="false">C173/(A173/60)</f>
        <v>15.8823529411765</v>
      </c>
      <c r="M173" s="0" t="n">
        <f aca="false">D173/(A173/60)</f>
        <v>0</v>
      </c>
      <c r="N173" s="0" t="n">
        <f aca="false">SUM(E173:J173)/(A173/60)</f>
        <v>3.67647058823529</v>
      </c>
    </row>
    <row r="174" customFormat="false" ht="14.25" hidden="false" customHeight="false" outlineLevel="0" collapsed="false">
      <c r="A174" s="0" t="n">
        <v>365.5</v>
      </c>
      <c r="B174" s="0" t="n">
        <v>46</v>
      </c>
      <c r="C174" s="0" t="n">
        <v>160</v>
      </c>
      <c r="D174" s="0" t="n">
        <v>63</v>
      </c>
      <c r="E174" s="0" t="n">
        <v>12</v>
      </c>
      <c r="F174" s="0" t="n">
        <v>30</v>
      </c>
      <c r="G174" s="0" t="n">
        <v>0</v>
      </c>
      <c r="H174" s="0" t="n">
        <v>11</v>
      </c>
      <c r="I174" s="0" t="n">
        <v>0</v>
      </c>
      <c r="J174" s="0" t="n">
        <v>25</v>
      </c>
      <c r="L174" s="0" t="n">
        <f aca="false">C174/(A174/60)</f>
        <v>26.265389876881</v>
      </c>
      <c r="M174" s="0" t="n">
        <f aca="false">D174/(A174/60)</f>
        <v>10.3419972640219</v>
      </c>
      <c r="N174" s="0" t="n">
        <f aca="false">SUM(E174:J174)/(A174/60)</f>
        <v>12.8043775649795</v>
      </c>
    </row>
    <row r="175" customFormat="false" ht="14.25" hidden="false" customHeight="false" outlineLevel="0" collapsed="false">
      <c r="A175" s="0" t="n">
        <v>330</v>
      </c>
      <c r="B175" s="0" t="n">
        <v>48</v>
      </c>
      <c r="C175" s="0" t="n">
        <v>93</v>
      </c>
      <c r="D175" s="0" t="n">
        <v>102</v>
      </c>
      <c r="E175" s="0" t="n">
        <v>5</v>
      </c>
      <c r="F175" s="0" t="n">
        <v>0</v>
      </c>
      <c r="G175" s="0" t="n">
        <v>2</v>
      </c>
      <c r="H175" s="0" t="n">
        <v>1</v>
      </c>
      <c r="I175" s="0" t="n">
        <v>0</v>
      </c>
      <c r="J175" s="0" t="n">
        <v>12</v>
      </c>
      <c r="L175" s="0" t="n">
        <f aca="false">C175/(A175/60)</f>
        <v>16.9090909090909</v>
      </c>
      <c r="M175" s="0" t="n">
        <f aca="false">D175/(A175/60)</f>
        <v>18.5454545454545</v>
      </c>
      <c r="N175" s="0" t="n">
        <f aca="false">SUM(E175:J175)/(A175/60)</f>
        <v>3.63636363636364</v>
      </c>
    </row>
    <row r="176" customFormat="false" ht="14.25" hidden="false" customHeight="false" outlineLevel="0" collapsed="false">
      <c r="A176" s="0" t="n">
        <v>411</v>
      </c>
      <c r="B176" s="0" t="n">
        <v>20</v>
      </c>
      <c r="C176" s="0" t="n">
        <v>173</v>
      </c>
      <c r="D176" s="0" t="n">
        <v>0</v>
      </c>
      <c r="E176" s="0" t="n">
        <v>10</v>
      </c>
      <c r="F176" s="0" t="n">
        <v>13</v>
      </c>
      <c r="G176" s="0" t="n">
        <v>0</v>
      </c>
      <c r="H176" s="0" t="n">
        <v>10</v>
      </c>
      <c r="I176" s="0" t="n">
        <v>0</v>
      </c>
      <c r="J176" s="0" t="n">
        <v>92</v>
      </c>
      <c r="L176" s="0" t="n">
        <f aca="false">C176/(A176/60)</f>
        <v>25.2554744525547</v>
      </c>
      <c r="M176" s="0" t="n">
        <f aca="false">D176/(A176/60)</f>
        <v>0</v>
      </c>
      <c r="N176" s="0" t="n">
        <f aca="false">SUM(E176:J176)/(A176/60)</f>
        <v>18.2481751824818</v>
      </c>
    </row>
    <row r="177" customFormat="false" ht="14.25" hidden="false" customHeight="false" outlineLevel="0" collapsed="false">
      <c r="A177" s="0" t="n">
        <v>385</v>
      </c>
      <c r="B177" s="0" t="n">
        <v>57</v>
      </c>
      <c r="C177" s="0" t="n">
        <v>199</v>
      </c>
      <c r="D177" s="0" t="n">
        <v>0</v>
      </c>
      <c r="E177" s="0" t="n">
        <v>14</v>
      </c>
      <c r="F177" s="0" t="n">
        <v>156</v>
      </c>
      <c r="G177" s="0" t="n">
        <v>0</v>
      </c>
      <c r="H177" s="0" t="n">
        <v>3</v>
      </c>
      <c r="I177" s="0" t="n">
        <v>0</v>
      </c>
      <c r="J177" s="0" t="n">
        <v>65</v>
      </c>
      <c r="L177" s="0" t="n">
        <f aca="false">C177/(A177/60)</f>
        <v>31.012987012987</v>
      </c>
      <c r="M177" s="0" t="n">
        <f aca="false">D177/(A177/60)</f>
        <v>0</v>
      </c>
      <c r="N177" s="0" t="n">
        <f aca="false">SUM(E177:J177)/(A177/60)</f>
        <v>37.0909090909091</v>
      </c>
    </row>
    <row r="178" customFormat="false" ht="14.25" hidden="false" customHeight="false" outlineLevel="0" collapsed="false">
      <c r="A178" s="0" t="n">
        <v>272</v>
      </c>
      <c r="B178" s="0" t="n">
        <v>58</v>
      </c>
      <c r="C178" s="0" t="n">
        <v>46</v>
      </c>
      <c r="D178" s="0" t="n">
        <v>4</v>
      </c>
      <c r="E178" s="0" t="n">
        <v>16</v>
      </c>
      <c r="F178" s="0" t="n">
        <v>14</v>
      </c>
      <c r="G178" s="0" t="n">
        <v>0</v>
      </c>
      <c r="H178" s="0" t="n">
        <v>3</v>
      </c>
      <c r="I178" s="0" t="n">
        <v>0</v>
      </c>
      <c r="J178" s="0" t="n">
        <v>4</v>
      </c>
      <c r="L178" s="0" t="n">
        <f aca="false">C178/(A178/60)</f>
        <v>10.1470588235294</v>
      </c>
      <c r="M178" s="0" t="n">
        <f aca="false">D178/(A178/60)</f>
        <v>0.882352941176471</v>
      </c>
      <c r="N178" s="0" t="n">
        <f aca="false">SUM(E178:J178)/(A178/60)</f>
        <v>8.16176470588235</v>
      </c>
    </row>
    <row r="179" customFormat="false" ht="14.25" hidden="false" customHeight="false" outlineLevel="0" collapsed="false">
      <c r="A179" s="0" t="n">
        <v>360</v>
      </c>
      <c r="B179" s="0" t="n">
        <v>43</v>
      </c>
      <c r="C179" s="0" t="n">
        <v>179</v>
      </c>
      <c r="D179" s="0" t="n">
        <v>29</v>
      </c>
      <c r="E179" s="0" t="n">
        <v>0</v>
      </c>
      <c r="F179" s="0" t="n">
        <v>7</v>
      </c>
      <c r="G179" s="0" t="n">
        <v>1</v>
      </c>
      <c r="H179" s="0" t="n">
        <v>5</v>
      </c>
      <c r="I179" s="0" t="n">
        <v>0</v>
      </c>
      <c r="J179" s="0" t="n">
        <v>75</v>
      </c>
      <c r="L179" s="0" t="n">
        <f aca="false">C179/(A179/60)</f>
        <v>29.8333333333333</v>
      </c>
      <c r="M179" s="0" t="n">
        <f aca="false">D179/(A179/60)</f>
        <v>4.83333333333333</v>
      </c>
      <c r="N179" s="0" t="n">
        <f aca="false">SUM(E179:J179)/(A179/60)</f>
        <v>14.6666666666667</v>
      </c>
    </row>
    <row r="180" customFormat="false" ht="14.25" hidden="false" customHeight="false" outlineLevel="0" collapsed="false">
      <c r="A180" s="0" t="n">
        <v>349</v>
      </c>
      <c r="B180" s="0" t="n">
        <v>77</v>
      </c>
      <c r="C180" s="0" t="n">
        <v>60</v>
      </c>
      <c r="D180" s="0" t="n">
        <v>143</v>
      </c>
      <c r="E180" s="0" t="n">
        <v>9</v>
      </c>
      <c r="F180" s="0" t="n">
        <v>108</v>
      </c>
      <c r="G180" s="0" t="n">
        <v>0</v>
      </c>
      <c r="H180" s="0" t="n">
        <v>6</v>
      </c>
      <c r="I180" s="0" t="n">
        <v>0</v>
      </c>
      <c r="J180" s="0" t="n">
        <v>26</v>
      </c>
      <c r="L180" s="0" t="n">
        <f aca="false">C180/(A180/60)</f>
        <v>10.3151862464183</v>
      </c>
      <c r="M180" s="0" t="n">
        <f aca="false">D180/(A180/60)</f>
        <v>24.5845272206304</v>
      </c>
      <c r="N180" s="0" t="n">
        <f aca="false">SUM(E180:J180)/(A180/60)</f>
        <v>25.6160458452722</v>
      </c>
    </row>
    <row r="181" customFormat="false" ht="14.25" hidden="false" customHeight="false" outlineLevel="0" collapsed="false">
      <c r="A181" s="0" t="n">
        <v>421</v>
      </c>
      <c r="B181" s="0" t="n">
        <v>65</v>
      </c>
      <c r="C181" s="0" t="n">
        <v>139</v>
      </c>
      <c r="D181" s="0" t="n">
        <v>0</v>
      </c>
      <c r="E181" s="0" t="n">
        <v>4</v>
      </c>
      <c r="F181" s="0" t="n">
        <v>136</v>
      </c>
      <c r="G181" s="0" t="n">
        <v>0</v>
      </c>
      <c r="H181" s="0" t="n">
        <v>4</v>
      </c>
      <c r="I181" s="0" t="n">
        <v>0</v>
      </c>
      <c r="J181" s="0" t="n">
        <v>6</v>
      </c>
      <c r="L181" s="0" t="n">
        <f aca="false">C181/(A181/60)</f>
        <v>19.8099762470309</v>
      </c>
      <c r="M181" s="0" t="n">
        <f aca="false">D181/(A181/60)</f>
        <v>0</v>
      </c>
      <c r="N181" s="0" t="n">
        <f aca="false">SUM(E181:J181)/(A181/60)</f>
        <v>21.3776722090261</v>
      </c>
    </row>
    <row r="182" customFormat="false" ht="14.25" hidden="false" customHeight="false" outlineLevel="0" collapsed="false">
      <c r="A182" s="0" t="n">
        <v>383</v>
      </c>
      <c r="B182" s="0" t="n">
        <v>56</v>
      </c>
      <c r="C182" s="0" t="n">
        <v>81</v>
      </c>
      <c r="D182" s="0" t="n">
        <v>29</v>
      </c>
      <c r="E182" s="0" t="n">
        <v>1</v>
      </c>
      <c r="F182" s="0" t="n">
        <v>15</v>
      </c>
      <c r="G182" s="0" t="n">
        <v>0</v>
      </c>
      <c r="H182" s="0" t="n">
        <v>3</v>
      </c>
      <c r="I182" s="0" t="n">
        <v>0</v>
      </c>
      <c r="J182" s="0" t="n">
        <v>15</v>
      </c>
      <c r="L182" s="0" t="n">
        <f aca="false">C182/(A182/60)</f>
        <v>12.6892950391645</v>
      </c>
      <c r="M182" s="0" t="n">
        <f aca="false">D182/(A182/60)</f>
        <v>4.54308093994778</v>
      </c>
      <c r="N182" s="0" t="n">
        <f aca="false">SUM(E182:J182)/(A182/60)</f>
        <v>5.32637075718016</v>
      </c>
    </row>
    <row r="183" customFormat="false" ht="14.25" hidden="false" customHeight="false" outlineLevel="0" collapsed="false">
      <c r="A183" s="0" t="n">
        <v>392</v>
      </c>
      <c r="C183" s="0" t="n">
        <v>175</v>
      </c>
      <c r="D183" s="0" t="n">
        <v>18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44</v>
      </c>
      <c r="L183" s="0" t="n">
        <f aca="false">C183/(A183/60)</f>
        <v>26.7857142857143</v>
      </c>
      <c r="M183" s="0" t="n">
        <f aca="false">D183/(A183/60)</f>
        <v>2.75510204081633</v>
      </c>
      <c r="N183" s="0" t="n">
        <f aca="false">SUM(E183:J183)/(A183/60)</f>
        <v>6.73469387755102</v>
      </c>
    </row>
    <row r="184" customFormat="false" ht="14.25" hidden="false" customHeight="false" outlineLevel="0" collapsed="false">
      <c r="A184" s="0" t="n">
        <v>373</v>
      </c>
      <c r="B184" s="0" t="n">
        <v>32</v>
      </c>
      <c r="C184" s="0" t="n">
        <v>158</v>
      </c>
      <c r="D184" s="0" t="n">
        <v>38</v>
      </c>
      <c r="E184" s="0" t="n">
        <v>3</v>
      </c>
      <c r="F184" s="0" t="n">
        <v>63</v>
      </c>
      <c r="G184" s="0" t="n">
        <v>0</v>
      </c>
      <c r="H184" s="0" t="n">
        <v>2</v>
      </c>
      <c r="I184" s="0" t="n">
        <v>0</v>
      </c>
      <c r="J184" s="0" t="n">
        <v>71</v>
      </c>
      <c r="L184" s="0" t="n">
        <f aca="false">C184/(A184/60)</f>
        <v>25.4155495978552</v>
      </c>
      <c r="M184" s="0" t="n">
        <f aca="false">D184/(A184/60)</f>
        <v>6.11260053619303</v>
      </c>
      <c r="N184" s="0" t="n">
        <f aca="false">SUM(E184:J184)/(A184/60)</f>
        <v>22.3592493297587</v>
      </c>
    </row>
    <row r="185" customFormat="false" ht="14.25" hidden="false" customHeight="false" outlineLevel="0" collapsed="false">
      <c r="A185" s="0" t="n">
        <v>373.5</v>
      </c>
      <c r="B185" s="0" t="n">
        <v>68</v>
      </c>
      <c r="C185" s="0" t="n">
        <v>85</v>
      </c>
      <c r="D185" s="0" t="n">
        <v>0</v>
      </c>
      <c r="E185" s="0" t="n">
        <v>0</v>
      </c>
      <c r="F185" s="0" t="n">
        <v>43</v>
      </c>
      <c r="G185" s="0" t="n">
        <v>0</v>
      </c>
      <c r="H185" s="0" t="n">
        <v>4</v>
      </c>
      <c r="I185" s="0" t="n">
        <v>0</v>
      </c>
      <c r="J185" s="0" t="n">
        <v>3</v>
      </c>
      <c r="L185" s="0" t="n">
        <f aca="false">C185/(A185/60)</f>
        <v>13.6546184738956</v>
      </c>
      <c r="M185" s="0" t="n">
        <f aca="false">D185/(A185/60)</f>
        <v>0</v>
      </c>
      <c r="N185" s="0" t="n">
        <f aca="false">SUM(E185:J185)/(A185/60)</f>
        <v>8.03212851405623</v>
      </c>
    </row>
    <row r="186" customFormat="false" ht="14.25" hidden="false" customHeight="false" outlineLevel="0" collapsed="false">
      <c r="A186" s="0" t="n">
        <v>309.5</v>
      </c>
      <c r="B186" s="0" t="n">
        <v>56</v>
      </c>
      <c r="C186" s="0" t="n">
        <v>150</v>
      </c>
      <c r="D186" s="0" t="n">
        <v>57</v>
      </c>
      <c r="E186" s="0" t="n">
        <v>4</v>
      </c>
      <c r="F186" s="0" t="n">
        <v>84</v>
      </c>
      <c r="G186" s="0" t="n">
        <v>0</v>
      </c>
      <c r="H186" s="0" t="n">
        <v>7</v>
      </c>
      <c r="I186" s="0" t="n">
        <v>0</v>
      </c>
      <c r="J186" s="0" t="n">
        <v>58</v>
      </c>
      <c r="L186" s="0" t="n">
        <f aca="false">C186/(A186/60)</f>
        <v>29.0791599353796</v>
      </c>
      <c r="M186" s="0" t="n">
        <f aca="false">D186/(A186/60)</f>
        <v>11.0500807754443</v>
      </c>
      <c r="N186" s="0" t="n">
        <f aca="false">SUM(E186:J186)/(A186/60)</f>
        <v>29.6607431340872</v>
      </c>
    </row>
    <row r="187" customFormat="false" ht="14.25" hidden="false" customHeight="false" outlineLevel="0" collapsed="false">
      <c r="A187" s="0" t="n">
        <v>437</v>
      </c>
      <c r="B187" s="0" t="n">
        <v>34</v>
      </c>
      <c r="C187" s="0" t="n">
        <v>232</v>
      </c>
      <c r="D187" s="0" t="n">
        <v>4</v>
      </c>
      <c r="E187" s="0" t="n">
        <v>5</v>
      </c>
      <c r="F187" s="0" t="n">
        <v>8</v>
      </c>
      <c r="G187" s="0" t="n">
        <v>1</v>
      </c>
      <c r="H187" s="0" t="n">
        <v>2</v>
      </c>
      <c r="I187" s="0" t="n">
        <v>0</v>
      </c>
      <c r="J187" s="0" t="n">
        <v>217</v>
      </c>
      <c r="L187" s="0" t="n">
        <f aca="false">C187/(A187/60)</f>
        <v>31.8535469107552</v>
      </c>
      <c r="M187" s="0" t="n">
        <f aca="false">D187/(A187/60)</f>
        <v>0.549199084668192</v>
      </c>
      <c r="N187" s="0" t="n">
        <f aca="false">SUM(E187:J187)/(A187/60)</f>
        <v>31.9908466819222</v>
      </c>
    </row>
    <row r="188" customFormat="false" ht="14.25" hidden="false" customHeight="false" outlineLevel="0" collapsed="false">
      <c r="A188" s="0" t="n">
        <v>423.5</v>
      </c>
      <c r="B188" s="0" t="n">
        <v>52</v>
      </c>
      <c r="C188" s="0" t="n">
        <v>203</v>
      </c>
      <c r="D188" s="0" t="n">
        <v>39</v>
      </c>
      <c r="E188" s="0" t="n">
        <v>0</v>
      </c>
      <c r="F188" s="0" t="n">
        <v>21</v>
      </c>
      <c r="G188" s="0" t="n">
        <v>0</v>
      </c>
      <c r="H188" s="0" t="n">
        <v>3</v>
      </c>
      <c r="I188" s="0" t="n">
        <v>0</v>
      </c>
      <c r="J188" s="0" t="n">
        <v>10</v>
      </c>
      <c r="L188" s="0" t="n">
        <f aca="false">C188/(A188/60)</f>
        <v>28.7603305785124</v>
      </c>
      <c r="M188" s="0" t="n">
        <f aca="false">D188/(A188/60)</f>
        <v>5.52538370720189</v>
      </c>
      <c r="N188" s="0" t="n">
        <f aca="false">SUM(E188:J188)/(A188/60)</f>
        <v>4.81700118063754</v>
      </c>
    </row>
    <row r="189" customFormat="false" ht="14.25" hidden="false" customHeight="false" outlineLevel="0" collapsed="false">
      <c r="A189" s="0" t="n">
        <v>355.5</v>
      </c>
      <c r="B189" s="0" t="n">
        <v>22</v>
      </c>
      <c r="C189" s="0" t="n">
        <v>44</v>
      </c>
      <c r="D189" s="0" t="n">
        <v>0</v>
      </c>
      <c r="E189" s="0" t="n">
        <v>0</v>
      </c>
      <c r="F189" s="0" t="n">
        <v>2</v>
      </c>
      <c r="G189" s="0" t="n">
        <v>5</v>
      </c>
      <c r="H189" s="0" t="n">
        <v>5</v>
      </c>
      <c r="I189" s="0" t="n">
        <v>0</v>
      </c>
      <c r="J189" s="0" t="n">
        <v>21</v>
      </c>
      <c r="L189" s="0" t="n">
        <f aca="false">C189/(A189/60)</f>
        <v>7.42616033755274</v>
      </c>
      <c r="M189" s="0" t="n">
        <f aca="false">D189/(A189/60)</f>
        <v>0</v>
      </c>
      <c r="N189" s="0" t="n">
        <f aca="false">SUM(E189:J189)/(A189/60)</f>
        <v>5.56962025316456</v>
      </c>
    </row>
    <row r="190" customFormat="false" ht="14.25" hidden="false" customHeight="false" outlineLevel="0" collapsed="false">
      <c r="A190" s="0" t="n">
        <v>407</v>
      </c>
      <c r="B190" s="0" t="n">
        <v>38</v>
      </c>
      <c r="C190" s="0" t="n">
        <v>140</v>
      </c>
      <c r="D190" s="0" t="n">
        <v>0</v>
      </c>
      <c r="E190" s="0" t="n">
        <v>0</v>
      </c>
      <c r="F190" s="0" t="n">
        <v>0</v>
      </c>
      <c r="G190" s="0" t="n">
        <v>9</v>
      </c>
      <c r="H190" s="0" t="n">
        <v>4</v>
      </c>
      <c r="I190" s="0" t="n">
        <v>0</v>
      </c>
      <c r="J190" s="0" t="n">
        <v>40</v>
      </c>
      <c r="L190" s="0" t="n">
        <f aca="false">C190/(A190/60)</f>
        <v>20.6388206388206</v>
      </c>
      <c r="M190" s="0" t="n">
        <f aca="false">D190/(A190/60)</f>
        <v>0</v>
      </c>
      <c r="N190" s="0" t="n">
        <f aca="false">SUM(E190:J190)/(A190/60)</f>
        <v>7.81326781326781</v>
      </c>
    </row>
    <row r="191" customFormat="false" ht="14.25" hidden="false" customHeight="false" outlineLevel="0" collapsed="false">
      <c r="A191" s="0" t="n">
        <v>315.5</v>
      </c>
      <c r="B191" s="0" t="n">
        <v>45</v>
      </c>
      <c r="C191" s="0" t="n">
        <v>150</v>
      </c>
      <c r="D191" s="0" t="n">
        <v>0</v>
      </c>
      <c r="E191" s="0" t="n">
        <v>0</v>
      </c>
      <c r="F191" s="0" t="n">
        <v>0</v>
      </c>
      <c r="G191" s="0" t="n">
        <v>2</v>
      </c>
      <c r="H191" s="0" t="n">
        <v>0</v>
      </c>
      <c r="I191" s="0" t="n">
        <v>0</v>
      </c>
      <c r="J191" s="0" t="n">
        <v>60</v>
      </c>
      <c r="L191" s="0" t="n">
        <f aca="false">C191/(A191/60)</f>
        <v>28.5261489698891</v>
      </c>
      <c r="M191" s="0" t="n">
        <f aca="false">D191/(A191/60)</f>
        <v>0</v>
      </c>
      <c r="N191" s="0" t="n">
        <f aca="false">SUM(E191:J191)/(A191/60)</f>
        <v>11.7908082408875</v>
      </c>
    </row>
    <row r="192" customFormat="false" ht="14.25" hidden="false" customHeight="false" outlineLevel="0" collapsed="false">
      <c r="A192" s="0" t="n">
        <v>356.5</v>
      </c>
      <c r="C192" s="0" t="n">
        <v>40</v>
      </c>
      <c r="D192" s="0" t="n">
        <v>0</v>
      </c>
      <c r="E192" s="0" t="n">
        <v>0</v>
      </c>
      <c r="F192" s="0" t="n">
        <v>17</v>
      </c>
      <c r="G192" s="0" t="n">
        <v>2</v>
      </c>
      <c r="H192" s="0" t="n">
        <v>6</v>
      </c>
      <c r="I192" s="0" t="n">
        <v>0</v>
      </c>
      <c r="J192" s="0" t="n">
        <v>2</v>
      </c>
      <c r="L192" s="0" t="n">
        <f aca="false">C192/(A192/60)</f>
        <v>6.73211781206171</v>
      </c>
      <c r="M192" s="0" t="n">
        <f aca="false">D192/(A192/60)</f>
        <v>0</v>
      </c>
      <c r="N192" s="0" t="n">
        <f aca="false">SUM(E192:J192)/(A192/60)</f>
        <v>4.54417952314166</v>
      </c>
    </row>
    <row r="193" customFormat="false" ht="14.25" hidden="false" customHeight="false" outlineLevel="0" collapsed="false">
      <c r="A193" s="0" t="n">
        <v>355</v>
      </c>
      <c r="B193" s="0" t="n">
        <v>64</v>
      </c>
      <c r="C193" s="0" t="n">
        <v>100</v>
      </c>
      <c r="D193" s="0" t="n">
        <v>0</v>
      </c>
      <c r="E193" s="0" t="n">
        <v>6</v>
      </c>
      <c r="F193" s="0" t="n">
        <v>54</v>
      </c>
      <c r="G193" s="0" t="n">
        <v>0</v>
      </c>
      <c r="H193" s="0" t="n">
        <v>1</v>
      </c>
      <c r="I193" s="0" t="n">
        <v>0</v>
      </c>
      <c r="J193" s="0" t="n">
        <v>10</v>
      </c>
      <c r="L193" s="0" t="n">
        <f aca="false">C193/(A193/60)</f>
        <v>16.9014084507042</v>
      </c>
      <c r="M193" s="0" t="n">
        <f aca="false">D193/(A193/60)</f>
        <v>0</v>
      </c>
      <c r="N193" s="0" t="n">
        <f aca="false">SUM(E193:J193)/(A193/60)</f>
        <v>12</v>
      </c>
    </row>
    <row r="194" customFormat="false" ht="14.25" hidden="false" customHeight="false" outlineLevel="0" collapsed="false">
      <c r="A194" s="0" t="n">
        <v>361.5</v>
      </c>
      <c r="B194" s="0" t="n">
        <v>66</v>
      </c>
      <c r="C194" s="0" t="n">
        <v>156</v>
      </c>
      <c r="D194" s="0" t="n">
        <v>20</v>
      </c>
      <c r="E194" s="0" t="n">
        <v>4</v>
      </c>
      <c r="F194" s="0" t="n">
        <v>122</v>
      </c>
      <c r="G194" s="0" t="n">
        <v>0</v>
      </c>
      <c r="H194" s="0" t="n">
        <v>5</v>
      </c>
      <c r="I194" s="0" t="n">
        <v>0</v>
      </c>
      <c r="J194" s="0" t="n">
        <v>14</v>
      </c>
      <c r="L194" s="0" t="n">
        <f aca="false">C194/(A194/60)</f>
        <v>25.8921161825726</v>
      </c>
      <c r="M194" s="0" t="n">
        <f aca="false">D194/(A194/60)</f>
        <v>3.3195020746888</v>
      </c>
      <c r="N194" s="0" t="n">
        <f aca="false">SUM(E194:J194)/(A194/60)</f>
        <v>24.0663900414938</v>
      </c>
    </row>
    <row r="195" customFormat="false" ht="14.25" hidden="false" customHeight="false" outlineLevel="0" collapsed="false">
      <c r="A195" s="0" t="n">
        <v>378.5</v>
      </c>
      <c r="B195" s="0" t="n">
        <v>39</v>
      </c>
      <c r="C195" s="0" t="n">
        <v>11</v>
      </c>
      <c r="D195" s="0" t="n">
        <v>21</v>
      </c>
      <c r="E195" s="0" t="n">
        <v>0</v>
      </c>
      <c r="F195" s="0" t="n">
        <v>27</v>
      </c>
      <c r="G195" s="0" t="n">
        <v>0</v>
      </c>
      <c r="H195" s="0" t="n">
        <v>8</v>
      </c>
      <c r="I195" s="0" t="n">
        <v>0</v>
      </c>
      <c r="J195" s="0" t="n">
        <v>10</v>
      </c>
      <c r="L195" s="0" t="n">
        <f aca="false">C195/(A195/60)</f>
        <v>1.74372523117569</v>
      </c>
      <c r="M195" s="0" t="n">
        <f aca="false">D195/(A195/60)</f>
        <v>3.32892998678996</v>
      </c>
      <c r="N195" s="0" t="n">
        <f aca="false">SUM(E195:J195)/(A195/60)</f>
        <v>7.1334214002642</v>
      </c>
    </row>
    <row r="196" customFormat="false" ht="14.25" hidden="false" customHeight="false" outlineLevel="0" collapsed="false">
      <c r="A196" s="0" t="n">
        <v>385.5</v>
      </c>
      <c r="B196" s="0" t="n">
        <v>36</v>
      </c>
      <c r="C196" s="0" t="n">
        <v>38</v>
      </c>
      <c r="D196" s="0" t="n">
        <v>23</v>
      </c>
      <c r="E196" s="0" t="n">
        <v>1</v>
      </c>
      <c r="F196" s="0" t="n">
        <v>6</v>
      </c>
      <c r="G196" s="0" t="n">
        <v>0</v>
      </c>
      <c r="H196" s="0" t="n">
        <v>2</v>
      </c>
      <c r="I196" s="0" t="n">
        <v>0</v>
      </c>
      <c r="J196" s="0" t="n">
        <v>13</v>
      </c>
      <c r="L196" s="0" t="n">
        <f aca="false">C196/(A196/60)</f>
        <v>5.91439688715953</v>
      </c>
      <c r="M196" s="0" t="n">
        <f aca="false">D196/(A196/60)</f>
        <v>3.57976653696498</v>
      </c>
      <c r="N196" s="0" t="n">
        <f aca="false">SUM(E196:J196)/(A196/60)</f>
        <v>3.42412451361868</v>
      </c>
    </row>
    <row r="197" customFormat="false" ht="14.25" hidden="false" customHeight="false" outlineLevel="0" collapsed="false">
      <c r="A197" s="0" t="n">
        <v>392</v>
      </c>
      <c r="B197" s="0" t="n">
        <v>65</v>
      </c>
      <c r="C197" s="0" t="n">
        <v>171</v>
      </c>
      <c r="D197" s="0" t="n">
        <v>129</v>
      </c>
      <c r="E197" s="0" t="n">
        <v>4</v>
      </c>
      <c r="F197" s="0" t="n">
        <v>27</v>
      </c>
      <c r="G197" s="0" t="n">
        <v>9</v>
      </c>
      <c r="H197" s="0" t="n">
        <v>1</v>
      </c>
      <c r="I197" s="0" t="n">
        <v>0</v>
      </c>
      <c r="J197" s="0" t="n">
        <v>117</v>
      </c>
      <c r="L197" s="0" t="n">
        <f aca="false">C197/(A197/60)</f>
        <v>26.1734693877551</v>
      </c>
      <c r="M197" s="0" t="n">
        <f aca="false">D197/(A197/60)</f>
        <v>19.7448979591837</v>
      </c>
      <c r="N197" s="0" t="n">
        <f aca="false">SUM(E197:J197)/(A197/60)</f>
        <v>24.1836734693878</v>
      </c>
    </row>
    <row r="198" customFormat="false" ht="14.25" hidden="false" customHeight="false" outlineLevel="0" collapsed="false">
      <c r="A198" s="0" t="n">
        <v>399.5</v>
      </c>
      <c r="B198" s="0" t="n">
        <v>79</v>
      </c>
      <c r="C198" s="0" t="n">
        <v>43</v>
      </c>
      <c r="D198" s="0" t="n">
        <v>0</v>
      </c>
      <c r="E198" s="0" t="n">
        <v>1</v>
      </c>
      <c r="F198" s="0" t="n">
        <v>9</v>
      </c>
      <c r="G198" s="0" t="n">
        <v>38</v>
      </c>
      <c r="H198" s="0" t="n">
        <v>93</v>
      </c>
      <c r="I198" s="0" t="n">
        <v>0</v>
      </c>
      <c r="J198" s="0" t="n">
        <v>0</v>
      </c>
      <c r="K198" s="0" t="s">
        <v>1687</v>
      </c>
      <c r="L198" s="0" t="n">
        <f aca="false">C198/(A198/60)</f>
        <v>6.45807259073842</v>
      </c>
      <c r="M198" s="0" t="n">
        <f aca="false">D198/(A198/60)</f>
        <v>0</v>
      </c>
      <c r="N198" s="0" t="n">
        <f aca="false">SUM(E198:J198)/(A198/60)</f>
        <v>21.1764705882353</v>
      </c>
    </row>
    <row r="199" customFormat="false" ht="14.25" hidden="false" customHeight="false" outlineLevel="0" collapsed="false">
      <c r="A199" s="0" t="n">
        <v>206</v>
      </c>
      <c r="B199" s="0" t="n">
        <v>79</v>
      </c>
      <c r="C199" s="0" t="n">
        <v>26</v>
      </c>
      <c r="D199" s="0" t="n">
        <v>0</v>
      </c>
      <c r="E199" s="0" t="n">
        <v>32</v>
      </c>
      <c r="F199" s="0" t="n">
        <v>33</v>
      </c>
      <c r="G199" s="0" t="n">
        <v>0</v>
      </c>
      <c r="H199" s="0" t="n">
        <v>12</v>
      </c>
      <c r="I199" s="0" t="n">
        <v>0</v>
      </c>
      <c r="J199" s="0" t="n">
        <v>3</v>
      </c>
      <c r="L199" s="0" t="n">
        <f aca="false">C199/(A199/60)</f>
        <v>7.57281553398058</v>
      </c>
      <c r="M199" s="0" t="n">
        <f aca="false">D199/(A199/60)</f>
        <v>0</v>
      </c>
      <c r="N199" s="0" t="n">
        <f aca="false">SUM(E199:J199)/(A199/60)</f>
        <v>23.3009708737864</v>
      </c>
    </row>
    <row r="200" customFormat="false" ht="14.25" hidden="false" customHeight="false" outlineLevel="0" collapsed="false">
      <c r="A200" s="0" t="n">
        <v>237.5</v>
      </c>
      <c r="B200" s="0" t="n">
        <v>79</v>
      </c>
      <c r="C200" s="0" t="n">
        <v>72</v>
      </c>
      <c r="D200" s="0" t="n">
        <v>0</v>
      </c>
      <c r="E200" s="0" t="n">
        <v>78</v>
      </c>
      <c r="F200" s="0" t="n">
        <v>32</v>
      </c>
      <c r="G200" s="0" t="n">
        <v>14</v>
      </c>
      <c r="H200" s="0" t="n">
        <v>11</v>
      </c>
      <c r="I200" s="0" t="n">
        <v>64</v>
      </c>
      <c r="J200" s="0" t="n">
        <v>3</v>
      </c>
      <c r="L200" s="0" t="n">
        <f aca="false">C200/(A200/60)</f>
        <v>18.1894736842105</v>
      </c>
      <c r="M200" s="0" t="n">
        <f aca="false">D200/(A200/60)</f>
        <v>0</v>
      </c>
      <c r="N200" s="0" t="n">
        <f aca="false">SUM(E200:J200)/(A200/60)</f>
        <v>51.0315789473684</v>
      </c>
    </row>
    <row r="201" customFormat="false" ht="14.25" hidden="false" customHeight="false" outlineLevel="0" collapsed="false">
      <c r="A201" s="0" t="n">
        <v>291</v>
      </c>
      <c r="B201" s="0" t="n">
        <v>81</v>
      </c>
      <c r="C201" s="0" t="n">
        <v>115</v>
      </c>
      <c r="D201" s="0" t="n">
        <v>0</v>
      </c>
      <c r="E201" s="0" t="n">
        <v>0</v>
      </c>
      <c r="F201" s="0" t="n">
        <v>4</v>
      </c>
      <c r="G201" s="0" t="n">
        <v>11</v>
      </c>
      <c r="H201" s="0" t="n">
        <v>3</v>
      </c>
      <c r="I201" s="0" t="n">
        <v>0</v>
      </c>
      <c r="J201" s="0" t="n">
        <v>0</v>
      </c>
      <c r="L201" s="0" t="n">
        <f aca="false">C201/(A201/60)</f>
        <v>23.7113402061856</v>
      </c>
      <c r="M201" s="0" t="n">
        <f aca="false">D201/(A201/60)</f>
        <v>0</v>
      </c>
      <c r="N201" s="0" t="n">
        <f aca="false">SUM(E201:J201)/(A201/60)</f>
        <v>3.71134020618557</v>
      </c>
    </row>
    <row r="202" customFormat="false" ht="14.25" hidden="false" customHeight="false" outlineLevel="0" collapsed="false">
      <c r="A202" s="0" t="n">
        <v>396.5</v>
      </c>
      <c r="B202" s="0" t="n">
        <v>43</v>
      </c>
      <c r="C202" s="0" t="n">
        <v>193</v>
      </c>
      <c r="D202" s="0" t="n">
        <v>151</v>
      </c>
      <c r="E202" s="0" t="n">
        <v>0</v>
      </c>
      <c r="F202" s="0" t="n">
        <v>40</v>
      </c>
      <c r="G202" s="0" t="n">
        <v>0</v>
      </c>
      <c r="H202" s="0" t="n">
        <v>5</v>
      </c>
      <c r="I202" s="0" t="n">
        <v>0</v>
      </c>
      <c r="J202" s="0" t="n">
        <v>24</v>
      </c>
      <c r="L202" s="0" t="n">
        <f aca="false">C202/(A202/60)</f>
        <v>29.2055485498108</v>
      </c>
      <c r="M202" s="0" t="n">
        <f aca="false">D202/(A202/60)</f>
        <v>22.8499369482976</v>
      </c>
      <c r="N202" s="0" t="n">
        <f aca="false">SUM(E202:J202)/(A202/60)</f>
        <v>10.4413619167718</v>
      </c>
    </row>
    <row r="203" customFormat="false" ht="14.25" hidden="false" customHeight="false" outlineLevel="0" collapsed="false">
      <c r="A203" s="0" t="n">
        <v>375</v>
      </c>
      <c r="B203" s="0" t="n">
        <v>43</v>
      </c>
      <c r="C203" s="0" t="n">
        <v>147</v>
      </c>
      <c r="D203" s="0" t="n">
        <v>0</v>
      </c>
      <c r="E203" s="0" t="n">
        <v>0</v>
      </c>
      <c r="F203" s="0" t="n">
        <v>0</v>
      </c>
      <c r="G203" s="0" t="n">
        <v>0</v>
      </c>
      <c r="H203" s="0" t="n">
        <v>2</v>
      </c>
      <c r="I203" s="0" t="n">
        <v>0</v>
      </c>
      <c r="J203" s="0" t="n">
        <v>0</v>
      </c>
      <c r="L203" s="0" t="n">
        <f aca="false">C203/(A203/60)</f>
        <v>23.52</v>
      </c>
      <c r="M203" s="0" t="n">
        <f aca="false">D203/(A203/60)</f>
        <v>0</v>
      </c>
      <c r="N203" s="0" t="n">
        <f aca="false">SUM(E203:J203)/(A203/60)</f>
        <v>0.32</v>
      </c>
    </row>
    <row r="204" customFormat="false" ht="14.25" hidden="false" customHeight="false" outlineLevel="0" collapsed="false">
      <c r="A204" s="0" t="n">
        <v>410</v>
      </c>
      <c r="B204" s="0" t="n">
        <v>37</v>
      </c>
      <c r="C204" s="0" t="n">
        <v>75</v>
      </c>
      <c r="D204" s="0" t="n">
        <v>0</v>
      </c>
      <c r="E204" s="0" t="n">
        <v>66</v>
      </c>
      <c r="F204" s="0" t="n">
        <v>78</v>
      </c>
      <c r="G204" s="0" t="n">
        <v>2</v>
      </c>
      <c r="H204" s="0" t="n">
        <v>11</v>
      </c>
      <c r="I204" s="0" t="n">
        <v>0</v>
      </c>
      <c r="J204" s="0" t="n">
        <v>11</v>
      </c>
      <c r="L204" s="0" t="n">
        <f aca="false">C204/(A204/60)</f>
        <v>10.9756097560976</v>
      </c>
      <c r="M204" s="0" t="n">
        <f aca="false">D204/(A204/60)</f>
        <v>0</v>
      </c>
      <c r="N204" s="0" t="n">
        <f aca="false">SUM(E204:J204)/(A204/60)</f>
        <v>24.5853658536585</v>
      </c>
    </row>
    <row r="205" customFormat="false" ht="14.25" hidden="false" customHeight="false" outlineLevel="0" collapsed="false">
      <c r="A205" s="0" t="n">
        <v>391.5</v>
      </c>
      <c r="B205" s="0" t="n">
        <v>38</v>
      </c>
      <c r="C205" s="0" t="n">
        <v>142</v>
      </c>
      <c r="D205" s="0" t="n">
        <v>0</v>
      </c>
      <c r="E205" s="0" t="n">
        <v>4</v>
      </c>
      <c r="F205" s="0" t="n">
        <v>1</v>
      </c>
      <c r="G205" s="0" t="n">
        <v>0</v>
      </c>
      <c r="H205" s="0" t="n">
        <v>10</v>
      </c>
      <c r="I205" s="0" t="n">
        <v>0</v>
      </c>
      <c r="J205" s="0" t="n">
        <v>0</v>
      </c>
      <c r="L205" s="0" t="n">
        <f aca="false">C205/(A205/60)</f>
        <v>21.7624521072797</v>
      </c>
      <c r="M205" s="0" t="n">
        <f aca="false">D205/(A205/60)</f>
        <v>0</v>
      </c>
      <c r="N205" s="0" t="n">
        <f aca="false">SUM(E205:J205)/(A205/60)</f>
        <v>2.29885057471264</v>
      </c>
    </row>
    <row r="206" customFormat="false" ht="14.25" hidden="false" customHeight="false" outlineLevel="0" collapsed="false">
      <c r="A206" s="0" t="n">
        <v>373.5</v>
      </c>
      <c r="B206" s="0" t="n">
        <v>41</v>
      </c>
      <c r="C206" s="0" t="n">
        <v>31</v>
      </c>
      <c r="D206" s="0" t="n">
        <v>13</v>
      </c>
      <c r="E206" s="0" t="n">
        <v>0</v>
      </c>
      <c r="F206" s="0" t="n">
        <v>7</v>
      </c>
      <c r="G206" s="0" t="n">
        <v>1</v>
      </c>
      <c r="H206" s="0" t="n">
        <v>1</v>
      </c>
      <c r="I206" s="0" t="n">
        <v>0</v>
      </c>
      <c r="J206" s="0" t="n">
        <v>3</v>
      </c>
      <c r="L206" s="0" t="n">
        <f aca="false">C206/(A206/60)</f>
        <v>4.97991967871486</v>
      </c>
      <c r="M206" s="0" t="n">
        <f aca="false">D206/(A206/60)</f>
        <v>2.08835341365462</v>
      </c>
      <c r="N206" s="0" t="n">
        <f aca="false">SUM(E206:J206)/(A206/60)</f>
        <v>1.92771084337349</v>
      </c>
    </row>
    <row r="207" customFormat="false" ht="14.25" hidden="false" customHeight="false" outlineLevel="0" collapsed="false">
      <c r="A207" s="0" t="n">
        <v>397</v>
      </c>
      <c r="B207" s="0" t="n">
        <v>43</v>
      </c>
      <c r="C207" s="0" t="n">
        <v>145</v>
      </c>
      <c r="D207" s="0" t="n">
        <v>0</v>
      </c>
      <c r="E207" s="0" t="n">
        <v>0</v>
      </c>
      <c r="F207" s="0" t="n">
        <v>0</v>
      </c>
      <c r="G207" s="0" t="n">
        <v>0</v>
      </c>
      <c r="H207" s="0" t="n">
        <v>1</v>
      </c>
      <c r="I207" s="0" t="n">
        <v>0</v>
      </c>
      <c r="J207" s="0" t="n">
        <v>0</v>
      </c>
      <c r="L207" s="0" t="n">
        <f aca="false">C207/(A207/60)</f>
        <v>21.9143576826197</v>
      </c>
      <c r="M207" s="0" t="n">
        <f aca="false">D207/(A207/60)</f>
        <v>0</v>
      </c>
      <c r="N207" s="0" t="n">
        <f aca="false">SUM(E207:J207)/(A207/60)</f>
        <v>0.151133501259446</v>
      </c>
    </row>
    <row r="208" customFormat="false" ht="14.25" hidden="false" customHeight="false" outlineLevel="0" collapsed="false">
      <c r="A208" s="0" t="n">
        <v>435.5</v>
      </c>
      <c r="B208" s="0" t="n">
        <v>29</v>
      </c>
      <c r="C208" s="0" t="n">
        <v>154</v>
      </c>
      <c r="D208" s="0" t="n">
        <v>0</v>
      </c>
      <c r="E208" s="0" t="n">
        <v>0</v>
      </c>
      <c r="F208" s="0" t="n">
        <v>13</v>
      </c>
      <c r="G208" s="0" t="n">
        <v>2</v>
      </c>
      <c r="H208" s="0" t="n">
        <v>3</v>
      </c>
      <c r="I208" s="0" t="n">
        <v>0</v>
      </c>
      <c r="J208" s="0" t="n">
        <v>59</v>
      </c>
      <c r="L208" s="0" t="n">
        <f aca="false">C208/(A208/60)</f>
        <v>21.2169919632606</v>
      </c>
      <c r="M208" s="0" t="n">
        <f aca="false">D208/(A208/60)</f>
        <v>0</v>
      </c>
      <c r="N208" s="0" t="n">
        <f aca="false">SUM(E208:J208)/(A208/60)</f>
        <v>10.6084959816303</v>
      </c>
    </row>
    <row r="209" customFormat="false" ht="14.25" hidden="false" customHeight="false" outlineLevel="0" collapsed="false">
      <c r="A209" s="0" t="n">
        <v>425.5</v>
      </c>
      <c r="B209" s="0" t="n">
        <v>29</v>
      </c>
      <c r="C209" s="0" t="n">
        <v>157</v>
      </c>
      <c r="D209" s="0" t="n">
        <v>0</v>
      </c>
      <c r="E209" s="0" t="n">
        <v>1</v>
      </c>
      <c r="F209" s="0" t="n">
        <v>37</v>
      </c>
      <c r="G209" s="0" t="n">
        <v>0</v>
      </c>
      <c r="H209" s="0" t="n">
        <v>4</v>
      </c>
      <c r="I209" s="0" t="n">
        <v>0</v>
      </c>
      <c r="J209" s="0" t="n">
        <v>9</v>
      </c>
      <c r="L209" s="0" t="n">
        <f aca="false">C209/(A209/60)</f>
        <v>22.13866039953</v>
      </c>
      <c r="M209" s="0" t="n">
        <f aca="false">D209/(A209/60)</f>
        <v>0</v>
      </c>
      <c r="N209" s="0" t="n">
        <f aca="false">SUM(E209:J209)/(A209/60)</f>
        <v>7.19153936545241</v>
      </c>
    </row>
    <row r="210" customFormat="false" ht="14.25" hidden="false" customHeight="false" outlineLevel="0" collapsed="false">
      <c r="A210" s="0" t="n">
        <v>410.5</v>
      </c>
      <c r="B210" s="0" t="n">
        <v>48</v>
      </c>
      <c r="C210" s="0" t="n">
        <v>198</v>
      </c>
      <c r="D210" s="0" t="n">
        <v>0</v>
      </c>
      <c r="E210" s="0" t="n">
        <v>6</v>
      </c>
      <c r="F210" s="0" t="n">
        <v>9</v>
      </c>
      <c r="G210" s="0" t="n">
        <v>0</v>
      </c>
      <c r="H210" s="0" t="n">
        <v>4</v>
      </c>
      <c r="I210" s="0" t="n">
        <v>0</v>
      </c>
      <c r="J210" s="0" t="n">
        <v>136</v>
      </c>
      <c r="L210" s="0" t="n">
        <f aca="false">C210/(A210/60)</f>
        <v>28.9403166869671</v>
      </c>
      <c r="M210" s="0" t="n">
        <f aca="false">D210/(A210/60)</f>
        <v>0</v>
      </c>
      <c r="N210" s="0" t="n">
        <f aca="false">SUM(E210:J210)/(A210/60)</f>
        <v>22.6552984165652</v>
      </c>
    </row>
    <row r="211" customFormat="false" ht="14.25" hidden="false" customHeight="false" outlineLevel="0" collapsed="false">
      <c r="A211" s="0" t="n">
        <v>427</v>
      </c>
      <c r="B211" s="0" t="n">
        <v>48</v>
      </c>
      <c r="C211" s="0" t="n">
        <v>18</v>
      </c>
      <c r="D211" s="0" t="n">
        <v>0</v>
      </c>
      <c r="E211" s="0" t="n">
        <v>0</v>
      </c>
      <c r="F211" s="0" t="n">
        <v>1</v>
      </c>
      <c r="G211" s="0" t="n">
        <v>0</v>
      </c>
      <c r="H211" s="0" t="n">
        <v>0</v>
      </c>
      <c r="I211" s="0" t="n">
        <v>0</v>
      </c>
      <c r="J211" s="0" t="n">
        <v>0</v>
      </c>
      <c r="L211" s="0" t="n">
        <f aca="false">C211/(A211/60)</f>
        <v>2.52927400468384</v>
      </c>
      <c r="M211" s="0" t="n">
        <f aca="false">D211/(A211/60)</f>
        <v>0</v>
      </c>
      <c r="N211" s="0" t="n">
        <f aca="false">SUM(E211:J211)/(A211/60)</f>
        <v>0.140515222482436</v>
      </c>
    </row>
    <row r="212" customFormat="false" ht="14.25" hidden="false" customHeight="false" outlineLevel="0" collapsed="false">
      <c r="A212" s="0" t="n">
        <v>391</v>
      </c>
      <c r="B212" s="0" t="n">
        <v>26</v>
      </c>
      <c r="C212" s="0" t="n">
        <v>44</v>
      </c>
      <c r="D212" s="0" t="n">
        <v>0</v>
      </c>
      <c r="E212" s="0" t="n">
        <v>4</v>
      </c>
      <c r="F212" s="0" t="n">
        <v>23</v>
      </c>
      <c r="G212" s="0" t="n">
        <v>2</v>
      </c>
      <c r="H212" s="0" t="n">
        <v>7</v>
      </c>
      <c r="I212" s="0" t="n">
        <v>0</v>
      </c>
      <c r="J212" s="0" t="n">
        <v>8</v>
      </c>
      <c r="L212" s="0" t="n">
        <f aca="false">C212/(A212/60)</f>
        <v>6.75191815856778</v>
      </c>
      <c r="M212" s="0" t="n">
        <f aca="false">D212/(A212/60)</f>
        <v>0</v>
      </c>
      <c r="N212" s="0" t="n">
        <f aca="false">SUM(E212:J212)/(A212/60)</f>
        <v>6.75191815856778</v>
      </c>
    </row>
    <row r="213" customFormat="false" ht="14.25" hidden="false" customHeight="false" outlineLevel="0" collapsed="false">
      <c r="A213" s="0" t="n">
        <v>428.5</v>
      </c>
      <c r="B213" s="0" t="n">
        <v>27</v>
      </c>
      <c r="C213" s="0" t="n">
        <v>134</v>
      </c>
      <c r="D213" s="0" t="n">
        <v>5</v>
      </c>
      <c r="E213" s="0" t="n">
        <v>0</v>
      </c>
      <c r="F213" s="0" t="n">
        <v>8</v>
      </c>
      <c r="G213" s="0" t="n">
        <v>0</v>
      </c>
      <c r="H213" s="0" t="n">
        <v>6</v>
      </c>
      <c r="I213" s="0" t="n">
        <v>0</v>
      </c>
      <c r="J213" s="0" t="n">
        <v>47</v>
      </c>
      <c r="L213" s="0" t="n">
        <f aca="false">C213/(A213/60)</f>
        <v>18.7631271878646</v>
      </c>
      <c r="M213" s="0" t="n">
        <f aca="false">D213/(A213/60)</f>
        <v>0.700116686114352</v>
      </c>
      <c r="N213" s="0" t="n">
        <f aca="false">SUM(E213:J213)/(A213/60)</f>
        <v>8.5414235705951</v>
      </c>
    </row>
    <row r="214" customFormat="false" ht="14.25" hidden="false" customHeight="false" outlineLevel="0" collapsed="false">
      <c r="A214" s="0" t="n">
        <v>394.5</v>
      </c>
      <c r="B214" s="0" t="n">
        <v>30</v>
      </c>
      <c r="C214" s="0" t="n">
        <v>128</v>
      </c>
      <c r="D214" s="0" t="n">
        <v>0</v>
      </c>
      <c r="E214" s="0" t="n">
        <v>0</v>
      </c>
      <c r="F214" s="0" t="n">
        <v>4</v>
      </c>
      <c r="G214" s="0" t="n">
        <v>0</v>
      </c>
      <c r="H214" s="0" t="n">
        <v>2</v>
      </c>
      <c r="I214" s="0" t="n">
        <v>0</v>
      </c>
      <c r="J214" s="0" t="n">
        <v>5</v>
      </c>
      <c r="K214" s="0" t="s">
        <v>1688</v>
      </c>
      <c r="L214" s="0" t="n">
        <f aca="false">C214/(A214/60)</f>
        <v>19.467680608365</v>
      </c>
      <c r="M214" s="0" t="n">
        <f aca="false">D214/(A214/60)</f>
        <v>0</v>
      </c>
      <c r="N214" s="0" t="n">
        <f aca="false">SUM(E214:J214)/(A214/60)</f>
        <v>1.67300380228137</v>
      </c>
    </row>
    <row r="215" customFormat="false" ht="14.25" hidden="false" customHeight="false" outlineLevel="0" collapsed="false">
      <c r="A215" s="0" t="n">
        <v>413</v>
      </c>
      <c r="B215" s="0" t="n">
        <v>41</v>
      </c>
      <c r="C215" s="0" t="n">
        <v>132</v>
      </c>
      <c r="D215" s="0" t="n">
        <v>27</v>
      </c>
      <c r="E215" s="0" t="n">
        <v>0</v>
      </c>
      <c r="F215" s="0" t="n">
        <v>2</v>
      </c>
      <c r="G215" s="0" t="n">
        <v>0</v>
      </c>
      <c r="H215" s="0" t="n">
        <v>3</v>
      </c>
      <c r="I215" s="0" t="n">
        <v>0</v>
      </c>
      <c r="J215" s="0" t="n">
        <v>23</v>
      </c>
      <c r="L215" s="0" t="n">
        <f aca="false">C215/(A215/60)</f>
        <v>19.1767554479419</v>
      </c>
      <c r="M215" s="0" t="n">
        <f aca="false">D215/(A215/60)</f>
        <v>3.9225181598063</v>
      </c>
      <c r="N215" s="0" t="n">
        <f aca="false">SUM(E215:J215)/(A215/60)</f>
        <v>4.06779661016949</v>
      </c>
    </row>
    <row r="216" customFormat="false" ht="14.25" hidden="false" customHeight="false" outlineLevel="0" collapsed="false">
      <c r="A216" s="0" t="n">
        <v>367.5</v>
      </c>
      <c r="C216" s="0" t="n">
        <v>94</v>
      </c>
      <c r="D216" s="0" t="n">
        <v>13</v>
      </c>
      <c r="E216" s="0" t="n">
        <v>4</v>
      </c>
      <c r="F216" s="0" t="n">
        <v>20</v>
      </c>
      <c r="G216" s="0" t="n">
        <v>0</v>
      </c>
      <c r="H216" s="0" t="n">
        <v>3</v>
      </c>
      <c r="I216" s="0" t="n">
        <v>21</v>
      </c>
      <c r="J216" s="0" t="n">
        <v>4</v>
      </c>
      <c r="L216" s="0" t="n">
        <f aca="false">C216/(A216/60)</f>
        <v>15.3469387755102</v>
      </c>
      <c r="M216" s="0" t="n">
        <f aca="false">D216/(A216/60)</f>
        <v>2.12244897959184</v>
      </c>
      <c r="N216" s="0" t="n">
        <f aca="false">SUM(E216:J216)/(A216/60)</f>
        <v>8.48979591836735</v>
      </c>
    </row>
    <row r="217" customFormat="false" ht="14.25" hidden="false" customHeight="false" outlineLevel="0" collapsed="false">
      <c r="A217" s="0" t="n">
        <v>310</v>
      </c>
      <c r="C217" s="0" t="n">
        <v>113</v>
      </c>
      <c r="D217" s="0" t="n">
        <v>4</v>
      </c>
      <c r="E217" s="0" t="n">
        <v>0</v>
      </c>
      <c r="F217" s="0" t="n">
        <v>4</v>
      </c>
      <c r="G217" s="0" t="n">
        <v>0</v>
      </c>
      <c r="H217" s="0" t="n">
        <v>8</v>
      </c>
      <c r="I217" s="0" t="n">
        <v>0</v>
      </c>
      <c r="J217" s="0" t="n">
        <v>27</v>
      </c>
      <c r="L217" s="0" t="n">
        <f aca="false">C217/(A217/60)</f>
        <v>21.8709677419355</v>
      </c>
      <c r="M217" s="0" t="n">
        <f aca="false">D217/(A217/60)</f>
        <v>0.774193548387097</v>
      </c>
      <c r="N217" s="0" t="n">
        <f aca="false">SUM(E217:J217)/(A217/60)</f>
        <v>7.54838709677419</v>
      </c>
    </row>
    <row r="218" customFormat="false" ht="14.25" hidden="false" customHeight="false" outlineLevel="0" collapsed="false">
      <c r="A218" s="0" t="n">
        <v>321</v>
      </c>
      <c r="C218" s="0" t="n">
        <v>73</v>
      </c>
      <c r="D218" s="0" t="n">
        <v>55</v>
      </c>
      <c r="E218" s="0" t="n">
        <v>0</v>
      </c>
      <c r="F218" s="0" t="n">
        <v>0</v>
      </c>
      <c r="G218" s="0" t="n">
        <v>0</v>
      </c>
      <c r="H218" s="0" t="n">
        <v>14</v>
      </c>
      <c r="I218" s="0" t="n">
        <v>0</v>
      </c>
      <c r="J218" s="0" t="n">
        <v>0</v>
      </c>
      <c r="L218" s="0" t="n">
        <f aca="false">C218/(A218/60)</f>
        <v>13.6448598130841</v>
      </c>
      <c r="M218" s="0" t="n">
        <f aca="false">D218/(A218/60)</f>
        <v>10.2803738317757</v>
      </c>
      <c r="N218" s="0" t="n">
        <f aca="false">SUM(E218:J218)/(A218/60)</f>
        <v>2.61682242990654</v>
      </c>
    </row>
    <row r="219" customFormat="false" ht="14.25" hidden="false" customHeight="false" outlineLevel="0" collapsed="false">
      <c r="A219" s="0" t="n">
        <v>387.5</v>
      </c>
      <c r="B219" s="0" t="n">
        <v>39</v>
      </c>
      <c r="C219" s="0" t="n">
        <v>135</v>
      </c>
      <c r="D219" s="0" t="n">
        <v>0</v>
      </c>
      <c r="E219" s="0" t="n">
        <v>5</v>
      </c>
      <c r="F219" s="0" t="n">
        <v>9</v>
      </c>
      <c r="G219" s="0" t="n">
        <v>0</v>
      </c>
      <c r="H219" s="0" t="n">
        <v>2</v>
      </c>
      <c r="I219" s="0" t="n">
        <v>0</v>
      </c>
      <c r="J219" s="0" t="n">
        <v>62</v>
      </c>
      <c r="L219" s="0" t="n">
        <f aca="false">C219/(A219/60)</f>
        <v>20.9032258064516</v>
      </c>
      <c r="M219" s="0" t="n">
        <f aca="false">D219/(A219/60)</f>
        <v>0</v>
      </c>
      <c r="N219" s="0" t="n">
        <f aca="false">SUM(E219:J219)/(A219/60)</f>
        <v>12.0774193548387</v>
      </c>
    </row>
    <row r="220" customFormat="false" ht="14.25" hidden="false" customHeight="false" outlineLevel="0" collapsed="false">
      <c r="A220" s="0" t="n">
        <v>396</v>
      </c>
      <c r="B220" s="0" t="n">
        <v>31</v>
      </c>
      <c r="C220" s="0" t="n">
        <v>93</v>
      </c>
      <c r="D220" s="0" t="n">
        <v>0</v>
      </c>
      <c r="E220" s="0" t="n">
        <v>0</v>
      </c>
      <c r="F220" s="0" t="n">
        <v>0</v>
      </c>
      <c r="G220" s="0" t="n">
        <v>2</v>
      </c>
      <c r="H220" s="0" t="n">
        <v>6</v>
      </c>
      <c r="I220" s="0" t="n">
        <v>0</v>
      </c>
      <c r="J220" s="0" t="n">
        <v>15</v>
      </c>
      <c r="L220" s="0" t="n">
        <f aca="false">C220/(A220/60)</f>
        <v>14.0909090909091</v>
      </c>
      <c r="M220" s="0" t="n">
        <f aca="false">D220/(A220/60)</f>
        <v>0</v>
      </c>
      <c r="N220" s="0" t="n">
        <f aca="false">SUM(E220:J220)/(A220/60)</f>
        <v>3.48484848484849</v>
      </c>
    </row>
    <row r="221" customFormat="false" ht="14.25" hidden="false" customHeight="false" outlineLevel="0" collapsed="false">
      <c r="A221" s="0" t="n">
        <v>312</v>
      </c>
      <c r="B221" s="0" t="n">
        <v>49</v>
      </c>
      <c r="C221" s="0" t="n">
        <v>75</v>
      </c>
      <c r="D221" s="0" t="n">
        <v>75</v>
      </c>
      <c r="E221" s="0" t="n">
        <v>3</v>
      </c>
      <c r="F221" s="0" t="n">
        <v>24</v>
      </c>
      <c r="G221" s="0" t="n">
        <v>9</v>
      </c>
      <c r="H221" s="0" t="n">
        <v>11</v>
      </c>
      <c r="I221" s="0" t="n">
        <v>5</v>
      </c>
      <c r="J221" s="0" t="n">
        <v>0</v>
      </c>
      <c r="L221" s="0" t="n">
        <f aca="false">C221/(A221/60)</f>
        <v>14.4230769230769</v>
      </c>
      <c r="M221" s="0" t="n">
        <f aca="false">D221/(A221/60)</f>
        <v>14.4230769230769</v>
      </c>
      <c r="N221" s="0" t="n">
        <f aca="false">SUM(E221:J221)/(A221/60)</f>
        <v>10</v>
      </c>
    </row>
    <row r="222" customFormat="false" ht="14.25" hidden="false" customHeight="false" outlineLevel="0" collapsed="false">
      <c r="A222" s="0" t="n">
        <v>410</v>
      </c>
      <c r="B222" s="0" t="n">
        <v>33</v>
      </c>
      <c r="C222" s="0" t="n">
        <v>99</v>
      </c>
      <c r="D222" s="0" t="n">
        <v>0</v>
      </c>
      <c r="E222" s="0" t="n">
        <v>1</v>
      </c>
      <c r="F222" s="0" t="n">
        <v>0</v>
      </c>
      <c r="G222" s="0" t="n">
        <v>0</v>
      </c>
      <c r="H222" s="0" t="n">
        <v>8</v>
      </c>
      <c r="I222" s="0" t="n">
        <v>0</v>
      </c>
      <c r="J222" s="0" t="n">
        <v>43</v>
      </c>
      <c r="L222" s="0" t="n">
        <f aca="false">C222/(A222/60)</f>
        <v>14.4878048780488</v>
      </c>
      <c r="M222" s="0" t="n">
        <f aca="false">D222/(A222/60)</f>
        <v>0</v>
      </c>
      <c r="N222" s="0" t="n">
        <f aca="false">SUM(E222:J222)/(A222/60)</f>
        <v>7.60975609756098</v>
      </c>
    </row>
    <row r="223" customFormat="false" ht="14.25" hidden="false" customHeight="false" outlineLevel="0" collapsed="false">
      <c r="A223" s="0" t="n">
        <v>324.5</v>
      </c>
      <c r="B223" s="0" t="n">
        <v>33</v>
      </c>
      <c r="C223" s="0" t="n">
        <v>97</v>
      </c>
      <c r="D223" s="0" t="n">
        <v>4</v>
      </c>
      <c r="E223" s="0" t="n">
        <v>2</v>
      </c>
      <c r="F223" s="0" t="n">
        <v>39</v>
      </c>
      <c r="G223" s="0" t="n">
        <v>0</v>
      </c>
      <c r="H223" s="0" t="n">
        <v>8</v>
      </c>
      <c r="I223" s="0" t="n">
        <v>1</v>
      </c>
      <c r="J223" s="0" t="n">
        <v>36</v>
      </c>
      <c r="L223" s="0" t="n">
        <f aca="false">C223/(A223/60)</f>
        <v>17.9352850539291</v>
      </c>
      <c r="M223" s="0" t="n">
        <f aca="false">D223/(A223/60)</f>
        <v>0.73959938366718</v>
      </c>
      <c r="N223" s="0" t="n">
        <f aca="false">SUM(E223:J223)/(A223/60)</f>
        <v>15.9013867488444</v>
      </c>
    </row>
    <row r="224" customFormat="false" ht="14.25" hidden="false" customHeight="false" outlineLevel="0" collapsed="false">
      <c r="B224" s="0" t="s">
        <v>1695</v>
      </c>
      <c r="C224" s="0" t="s">
        <v>1704</v>
      </c>
      <c r="D224" s="0" t="s">
        <v>1705</v>
      </c>
      <c r="E224" s="0" t="s">
        <v>1706</v>
      </c>
    </row>
    <row r="225" customFormat="false" ht="14.25" hidden="false" customHeight="false" outlineLevel="0" collapsed="false">
      <c r="A225" s="0" t="s">
        <v>1692</v>
      </c>
      <c r="B225" s="0" t="n">
        <f aca="false">AVERAGE(B99:B223)</f>
        <v>49.5546218487395</v>
      </c>
      <c r="C225" s="0" t="n">
        <f aca="false">AVERAGE(L99:L223)</f>
        <v>16.8724493959667</v>
      </c>
      <c r="D225" s="0" t="n">
        <f aca="false">AVERAGE(M99:M223)</f>
        <v>6.19518372980612</v>
      </c>
      <c r="E225" s="0" t="n">
        <f aca="false">AVERAGE(N99:N223)</f>
        <v>14.6401475626492</v>
      </c>
    </row>
    <row r="226" customFormat="false" ht="14.25" hidden="false" customHeight="false" outlineLevel="0" collapsed="false">
      <c r="A226" s="0" t="s">
        <v>1693</v>
      </c>
      <c r="B226" s="0" t="n">
        <f aca="false">_xlfn.STDEV.S(B99:B223)</f>
        <v>16.4258464575594</v>
      </c>
      <c r="C226" s="0" t="n">
        <f aca="false">_xlfn.STDEV.S(L99:L223)</f>
        <v>9.14643354904884</v>
      </c>
      <c r="D226" s="0" t="n">
        <f aca="false">_xlfn.STDEV.S(M99:M223)</f>
        <v>20.7639184957494</v>
      </c>
      <c r="E226" s="0" t="n">
        <f aca="false">_xlfn.STDEV.S(N99:N223)</f>
        <v>14.4919476868788</v>
      </c>
    </row>
    <row r="227" customFormat="false" ht="14.25" hidden="false" customHeight="false" outlineLevel="0" collapsed="false">
      <c r="A227" s="0" t="s">
        <v>1707</v>
      </c>
      <c r="B227" s="0" t="n">
        <f aca="false">MIN(B99:B223)</f>
        <v>20</v>
      </c>
    </row>
    <row r="228" customFormat="false" ht="14.25" hidden="false" customHeight="false" outlineLevel="0" collapsed="false">
      <c r="A228" s="0" t="s">
        <v>1708</v>
      </c>
      <c r="B228" s="0" t="n">
        <f aca="false">MAX(B99:B223)</f>
        <v>85</v>
      </c>
    </row>
    <row r="231" customFormat="false" ht="14.25" hidden="false" customHeight="false" outlineLevel="0" collapsed="false">
      <c r="A231" s="0" t="s">
        <v>1709</v>
      </c>
      <c r="B231" s="0" t="s">
        <v>1710</v>
      </c>
      <c r="C231" s="0" t="s">
        <v>1711</v>
      </c>
      <c r="D231" s="0" t="s">
        <v>1712</v>
      </c>
      <c r="E231" s="0" t="s">
        <v>1713</v>
      </c>
      <c r="F231" s="0" t="s">
        <v>1714</v>
      </c>
      <c r="G231" s="0" t="s">
        <v>1715</v>
      </c>
      <c r="H231" s="0" t="s">
        <v>1716</v>
      </c>
      <c r="K231" s="0" t="n">
        <f aca="false">COUNT(A:A)</f>
        <v>209</v>
      </c>
      <c r="L231" s="66" t="s">
        <v>1717</v>
      </c>
    </row>
    <row r="232" customFormat="false" ht="14.25" hidden="false" customHeight="false" outlineLevel="0" collapsed="false">
      <c r="A232" s="0" t="n">
        <f aca="false">COUNTIF($D:$E,"*AR*")</f>
        <v>0</v>
      </c>
      <c r="B232" s="0" t="n">
        <f aca="false">COUNTIF($D:$E,"*PLM*")</f>
        <v>2</v>
      </c>
      <c r="C232" s="0" t="n">
        <f aca="false">COUNTIF($D:$E,"*OA*")</f>
        <v>1</v>
      </c>
      <c r="D232" s="0" t="n">
        <f aca="false">COUNTIF($D:$E,"*OH*")</f>
        <v>1</v>
      </c>
      <c r="E232" s="0" t="n">
        <f aca="false">COUNTIF($D:$E,"*CA*")</f>
        <v>1</v>
      </c>
      <c r="F232" s="0" t="n">
        <f aca="false">COUNTIF($D:$E,"*CH*")</f>
        <v>0</v>
      </c>
      <c r="G232" s="0" t="n">
        <f aca="false">COUNTIF($D:$E,"*MA*")</f>
        <v>0</v>
      </c>
      <c r="H232" s="0" t="n">
        <f aca="false">COUNTIF($D:$E,"*MH*")</f>
        <v>0</v>
      </c>
      <c r="K232" s="0" t="n">
        <f aca="false">COUNTIF(B:B,"W")</f>
        <v>0</v>
      </c>
      <c r="L232" s="66" t="s">
        <v>1718</v>
      </c>
    </row>
    <row r="233" customFormat="false" ht="14.25" hidden="false" customHeight="false" outlineLevel="0" collapsed="false">
      <c r="B233" s="66"/>
      <c r="K233" s="0" t="e">
        <f aca="false">$K$1-$K$2</f>
        <v>#VALUE!</v>
      </c>
      <c r="L233" s="66" t="s">
        <v>1719</v>
      </c>
    </row>
    <row r="234" customFormat="false" ht="14.25" hidden="false" customHeight="false" outlineLevel="0" collapsed="false">
      <c r="B234" s="66"/>
      <c r="K234" s="0" t="n">
        <f aca="false">$K$3/2</f>
        <v>14.6938775510204</v>
      </c>
      <c r="L234" s="66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8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44" activePane="bottomRight" state="frozen"/>
      <selection pane="topLeft" activeCell="A1" activeCellId="0" sqref="A1"/>
      <selection pane="topRight" activeCell="B1" activeCellId="0" sqref="B1"/>
      <selection pane="bottomLeft" activeCell="A44" activeCellId="0" sqref="A44"/>
      <selection pane="bottomRight" activeCell="F69" activeCellId="0" sqref="F6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0" width="10.91"/>
    <col collapsed="false" customWidth="true" hidden="false" outlineLevel="0" max="3" min="3" style="26" width="10.91"/>
    <col collapsed="false" customWidth="true" hidden="false" outlineLevel="0" max="5" min="5" style="26" width="9.82"/>
    <col collapsed="false" customWidth="true" hidden="false" outlineLevel="0" max="6" min="6" style="26" width="13.82"/>
    <col collapsed="false" customWidth="true" hidden="false" outlineLevel="0" max="7" min="7" style="87" width="17.54"/>
    <col collapsed="false" customWidth="true" hidden="false" outlineLevel="0" max="8" min="8" style="87" width="14.91"/>
    <col collapsed="false" customWidth="true" hidden="false" outlineLevel="0" max="9" min="9" style="88" width="19.37"/>
    <col collapsed="false" customWidth="true" hidden="false" outlineLevel="0" max="11" min="10" style="87" width="20.73"/>
    <col collapsed="false" customWidth="true" hidden="false" outlineLevel="0" max="12" min="12" style="88" width="20.73"/>
    <col collapsed="false" customWidth="true" hidden="false" outlineLevel="0" max="13" min="13" style="87" width="12.73"/>
    <col collapsed="false" customWidth="true" hidden="false" outlineLevel="0" max="20" min="14" style="87" width="19.37"/>
    <col collapsed="false" customWidth="true" hidden="false" outlineLevel="0" max="27" min="21" style="87" width="12.73"/>
    <col collapsed="false" customWidth="true" hidden="false" outlineLevel="0" max="28" min="28" style="88" width="12.73"/>
    <col collapsed="false" customWidth="true" hidden="false" outlineLevel="0" max="29" min="29" style="87" width="17.82"/>
    <col collapsed="false" customWidth="true" hidden="false" outlineLevel="0" max="30" min="30" style="87" width="13.18"/>
    <col collapsed="false" customWidth="true" hidden="false" outlineLevel="0" max="36" min="31" style="87" width="12.73"/>
    <col collapsed="false" customWidth="true" hidden="false" outlineLevel="0" max="37" min="37" style="88" width="12.73"/>
    <col collapsed="false" customWidth="true" hidden="false" outlineLevel="0" max="38" min="38" style="89" width="49.36"/>
    <col collapsed="false" customWidth="true" hidden="false" outlineLevel="0" max="39" min="39" style="89" width="11.73"/>
    <col collapsed="false" customWidth="true" hidden="false" outlineLevel="0" max="40" min="40" style="0" width="48"/>
    <col collapsed="false" customWidth="true" hidden="false" outlineLevel="0" max="41" min="41" style="0" width="35.27"/>
    <col collapsed="false" customWidth="true" hidden="false" outlineLevel="0" max="43" min="43" style="0" width="16.36"/>
    <col collapsed="false" customWidth="true" hidden="false" outlineLevel="0" max="44" min="44" style="0" width="15.82"/>
    <col collapsed="false" customWidth="true" hidden="false" outlineLevel="0" max="45" min="45" style="0" width="14.82"/>
    <col collapsed="false" customWidth="true" hidden="false" outlineLevel="0" max="46" min="46" style="0" width="15"/>
  </cols>
  <sheetData>
    <row r="1" customFormat="false" ht="14.25" hidden="false" customHeight="false" outlineLevel="0" collapsed="false">
      <c r="A1" s="86" t="s">
        <v>1720</v>
      </c>
      <c r="B1" s="86" t="s">
        <v>1721</v>
      </c>
      <c r="C1" s="90" t="s">
        <v>3</v>
      </c>
      <c r="D1" s="86" t="s">
        <v>1722</v>
      </c>
      <c r="E1" s="90" t="s">
        <v>1723</v>
      </c>
      <c r="F1" s="90" t="s">
        <v>1724</v>
      </c>
      <c r="G1" s="91" t="s">
        <v>15</v>
      </c>
      <c r="H1" s="91" t="s">
        <v>1725</v>
      </c>
      <c r="I1" s="92" t="s">
        <v>1691</v>
      </c>
      <c r="J1" s="93" t="s">
        <v>1726</v>
      </c>
      <c r="K1" s="91" t="s">
        <v>1727</v>
      </c>
      <c r="L1" s="92" t="s">
        <v>1728</v>
      </c>
      <c r="M1" s="91" t="s">
        <v>1729</v>
      </c>
      <c r="N1" s="91" t="s">
        <v>1730</v>
      </c>
      <c r="O1" s="91" t="s">
        <v>1731</v>
      </c>
      <c r="P1" s="91" t="s">
        <v>1732</v>
      </c>
      <c r="Q1" s="93" t="s">
        <v>1733</v>
      </c>
      <c r="R1" s="93" t="s">
        <v>1734</v>
      </c>
      <c r="S1" s="93" t="s">
        <v>1735</v>
      </c>
      <c r="T1" s="93" t="s">
        <v>1736</v>
      </c>
      <c r="U1" s="91" t="s">
        <v>1737</v>
      </c>
      <c r="V1" s="91" t="s">
        <v>1738</v>
      </c>
      <c r="W1" s="93" t="s">
        <v>1739</v>
      </c>
      <c r="X1" s="91" t="s">
        <v>1740</v>
      </c>
      <c r="Y1" s="91" t="s">
        <v>1741</v>
      </c>
      <c r="Z1" s="93" t="s">
        <v>1742</v>
      </c>
      <c r="AA1" s="93" t="s">
        <v>1743</v>
      </c>
      <c r="AB1" s="92" t="s">
        <v>1744</v>
      </c>
      <c r="AC1" s="91" t="s">
        <v>1745</v>
      </c>
      <c r="AD1" s="91" t="s">
        <v>1746</v>
      </c>
      <c r="AE1" s="91" t="s">
        <v>1747</v>
      </c>
      <c r="AF1" s="91" t="s">
        <v>1748</v>
      </c>
      <c r="AG1" s="91" t="s">
        <v>1749</v>
      </c>
      <c r="AH1" s="91" t="s">
        <v>1750</v>
      </c>
      <c r="AI1" s="91" t="s">
        <v>1751</v>
      </c>
      <c r="AJ1" s="91" t="s">
        <v>1752</v>
      </c>
      <c r="AK1" s="92" t="s">
        <v>1753</v>
      </c>
      <c r="AL1" s="94" t="s">
        <v>1754</v>
      </c>
      <c r="AM1" s="94" t="s">
        <v>1755</v>
      </c>
      <c r="AN1" s="86" t="s">
        <v>1756</v>
      </c>
      <c r="AO1" s="95" t="s">
        <v>1757</v>
      </c>
      <c r="AP1" s="1"/>
    </row>
    <row r="2" customFormat="false" ht="14.25" hidden="false" customHeight="false" outlineLevel="0" collapsed="false">
      <c r="A2" s="96" t="s">
        <v>1758</v>
      </c>
      <c r="B2" s="0" t="n">
        <v>1</v>
      </c>
      <c r="C2" s="26" t="s">
        <v>4</v>
      </c>
      <c r="D2" s="0" t="n">
        <v>49</v>
      </c>
      <c r="E2" s="97" t="n">
        <v>132</v>
      </c>
      <c r="F2" s="26" t="s">
        <v>67</v>
      </c>
      <c r="G2" s="98" t="s">
        <v>1759</v>
      </c>
      <c r="H2" s="87" t="s">
        <v>1760</v>
      </c>
      <c r="I2" s="88" t="s">
        <v>1761</v>
      </c>
      <c r="J2" s="87" t="s">
        <v>1762</v>
      </c>
      <c r="M2" s="87" t="s">
        <v>1763</v>
      </c>
      <c r="N2" s="87" t="s">
        <v>84</v>
      </c>
      <c r="Q2" s="87" t="s">
        <v>84</v>
      </c>
      <c r="R2" s="87" t="s">
        <v>84</v>
      </c>
      <c r="S2" s="87" t="s">
        <v>84</v>
      </c>
      <c r="T2" s="87" t="s">
        <v>84</v>
      </c>
      <c r="U2" s="87" t="s">
        <v>84</v>
      </c>
      <c r="X2" s="87" t="s">
        <v>84</v>
      </c>
      <c r="Z2" s="72"/>
      <c r="AA2" s="72"/>
      <c r="AB2" s="88" t="s">
        <v>84</v>
      </c>
      <c r="AC2" s="87" t="s">
        <v>1764</v>
      </c>
      <c r="AD2" s="98" t="s">
        <v>1765</v>
      </c>
      <c r="AE2" s="87" t="s">
        <v>1766</v>
      </c>
      <c r="AF2" s="87" t="s">
        <v>1767</v>
      </c>
      <c r="AG2" s="87" t="s">
        <v>1768</v>
      </c>
      <c r="AH2" s="98" t="s">
        <v>1769</v>
      </c>
      <c r="AI2" s="98" t="s">
        <v>1770</v>
      </c>
      <c r="AJ2" s="98" t="s">
        <v>1771</v>
      </c>
      <c r="AK2" s="99" t="s">
        <v>1772</v>
      </c>
      <c r="AL2" s="89" t="s">
        <v>1773</v>
      </c>
      <c r="AM2" s="89" t="s">
        <v>1774</v>
      </c>
      <c r="AN2" s="0" t="s">
        <v>1775</v>
      </c>
      <c r="AO2" s="8" t="s">
        <v>1776</v>
      </c>
      <c r="AP2" s="13"/>
    </row>
    <row r="3" customFormat="false" ht="14.25" hidden="false" customHeight="false" outlineLevel="0" collapsed="false">
      <c r="A3" s="96" t="s">
        <v>81</v>
      </c>
      <c r="B3" s="0" t="n">
        <v>1</v>
      </c>
      <c r="C3" s="26" t="n">
        <v>2024</v>
      </c>
      <c r="D3" s="0" t="n">
        <v>29</v>
      </c>
      <c r="E3" s="97" t="n">
        <v>29</v>
      </c>
      <c r="F3" s="26" t="s">
        <v>67</v>
      </c>
      <c r="G3" s="87" t="s">
        <v>1777</v>
      </c>
      <c r="H3" s="87" t="s">
        <v>86</v>
      </c>
      <c r="I3" s="88" t="s">
        <v>1778</v>
      </c>
      <c r="J3" s="87" t="s">
        <v>1779</v>
      </c>
      <c r="K3" s="87" t="s">
        <v>84</v>
      </c>
      <c r="L3" s="88" t="s">
        <v>84</v>
      </c>
      <c r="M3" s="87" t="s">
        <v>84</v>
      </c>
      <c r="N3" s="87" t="s">
        <v>84</v>
      </c>
      <c r="Q3" s="87" t="s">
        <v>84</v>
      </c>
      <c r="R3" s="87" t="s">
        <v>84</v>
      </c>
      <c r="S3" s="87" t="s">
        <v>84</v>
      </c>
      <c r="T3" s="87" t="s">
        <v>84</v>
      </c>
      <c r="U3" s="87" t="s">
        <v>84</v>
      </c>
      <c r="X3" s="87" t="s">
        <v>84</v>
      </c>
      <c r="AB3" s="88" t="s">
        <v>84</v>
      </c>
      <c r="AC3" s="98" t="s">
        <v>1780</v>
      </c>
      <c r="AD3" s="98" t="s">
        <v>1781</v>
      </c>
      <c r="AE3" s="98" t="s">
        <v>1782</v>
      </c>
      <c r="AF3" s="98" t="s">
        <v>1783</v>
      </c>
      <c r="AG3" s="98" t="s">
        <v>1784</v>
      </c>
      <c r="AH3" s="98" t="s">
        <v>1785</v>
      </c>
      <c r="AI3" s="98" t="s">
        <v>1786</v>
      </c>
      <c r="AJ3" s="98" t="s">
        <v>1787</v>
      </c>
      <c r="AK3" s="99" t="s">
        <v>1788</v>
      </c>
      <c r="AL3" s="89" t="s">
        <v>1789</v>
      </c>
      <c r="AM3" s="89" t="s">
        <v>1790</v>
      </c>
      <c r="AN3" s="0" t="s">
        <v>1791</v>
      </c>
      <c r="AO3" s="8" t="s">
        <v>1792</v>
      </c>
      <c r="AP3" s="1"/>
    </row>
    <row r="4" customFormat="false" ht="14.25" hidden="false" customHeight="false" outlineLevel="0" collapsed="false">
      <c r="A4" s="96" t="s">
        <v>1793</v>
      </c>
      <c r="B4" s="0" t="n">
        <v>1</v>
      </c>
      <c r="C4" s="26" t="s">
        <v>106</v>
      </c>
      <c r="D4" s="0" t="n">
        <v>712</v>
      </c>
      <c r="E4" s="97" t="n">
        <v>712</v>
      </c>
      <c r="F4" s="26" t="s">
        <v>114</v>
      </c>
      <c r="G4" s="98" t="s">
        <v>1794</v>
      </c>
      <c r="H4" s="87" t="s">
        <v>111</v>
      </c>
      <c r="I4" s="88" t="s">
        <v>1795</v>
      </c>
      <c r="J4" s="87" t="s">
        <v>84</v>
      </c>
      <c r="M4" s="87" t="s">
        <v>84</v>
      </c>
      <c r="N4" s="87" t="s">
        <v>84</v>
      </c>
      <c r="Q4" s="87" t="s">
        <v>84</v>
      </c>
      <c r="R4" s="87" t="s">
        <v>84</v>
      </c>
      <c r="S4" s="87" t="s">
        <v>84</v>
      </c>
      <c r="T4" s="87" t="s">
        <v>84</v>
      </c>
      <c r="U4" s="87" t="s">
        <v>84</v>
      </c>
      <c r="X4" s="87" t="s">
        <v>84</v>
      </c>
      <c r="AB4" s="88" t="s">
        <v>84</v>
      </c>
      <c r="AC4" s="87" t="s">
        <v>1796</v>
      </c>
      <c r="AD4" s="98" t="s">
        <v>1797</v>
      </c>
      <c r="AE4" s="87" t="s">
        <v>1798</v>
      </c>
      <c r="AF4" s="87" t="s">
        <v>1799</v>
      </c>
      <c r="AG4" s="87" t="s">
        <v>1800</v>
      </c>
      <c r="AH4" s="98" t="s">
        <v>1801</v>
      </c>
      <c r="AI4" s="98" t="s">
        <v>1802</v>
      </c>
      <c r="AJ4" s="98" t="s">
        <v>1803</v>
      </c>
      <c r="AK4" s="99" t="s">
        <v>1804</v>
      </c>
      <c r="AL4" s="100" t="s">
        <v>1805</v>
      </c>
      <c r="AM4" s="89" t="s">
        <v>1774</v>
      </c>
      <c r="AN4" s="0" t="s">
        <v>1806</v>
      </c>
      <c r="AO4" s="8" t="s">
        <v>1807</v>
      </c>
      <c r="AP4" s="1"/>
    </row>
    <row r="5" customFormat="false" ht="14.25" hidden="false" customHeight="false" outlineLevel="0" collapsed="false">
      <c r="A5" s="96" t="s">
        <v>1808</v>
      </c>
      <c r="B5" s="0" t="n">
        <v>1</v>
      </c>
      <c r="C5" s="26" t="s">
        <v>121</v>
      </c>
      <c r="D5" s="0" t="n">
        <v>1516</v>
      </c>
      <c r="E5" s="97" t="n">
        <v>1104</v>
      </c>
      <c r="F5" s="26" t="s">
        <v>114</v>
      </c>
      <c r="G5" s="98" t="s">
        <v>1809</v>
      </c>
      <c r="H5" s="87" t="s">
        <v>129</v>
      </c>
      <c r="I5" s="88" t="s">
        <v>1810</v>
      </c>
      <c r="J5" s="87" t="s">
        <v>1811</v>
      </c>
      <c r="K5" s="87" t="s">
        <v>1812</v>
      </c>
      <c r="L5" s="88" t="s">
        <v>1813</v>
      </c>
      <c r="M5" s="87" t="s">
        <v>84</v>
      </c>
      <c r="N5" s="87" t="s">
        <v>84</v>
      </c>
      <c r="Q5" s="87" t="s">
        <v>84</v>
      </c>
      <c r="R5" s="87" t="s">
        <v>1814</v>
      </c>
      <c r="S5" s="87" t="s">
        <v>84</v>
      </c>
      <c r="T5" s="87" t="s">
        <v>84</v>
      </c>
      <c r="U5" s="87" t="s">
        <v>84</v>
      </c>
      <c r="X5" s="87" t="s">
        <v>1815</v>
      </c>
      <c r="AB5" s="88" t="s">
        <v>1816</v>
      </c>
      <c r="AC5" s="98" t="s">
        <v>1817</v>
      </c>
      <c r="AD5" s="98" t="s">
        <v>1818</v>
      </c>
      <c r="AE5" s="98" t="s">
        <v>1819</v>
      </c>
      <c r="AF5" s="98" t="s">
        <v>1820</v>
      </c>
      <c r="AG5" s="98" t="s">
        <v>1821</v>
      </c>
      <c r="AH5" s="98" t="s">
        <v>1822</v>
      </c>
      <c r="AI5" s="98" t="s">
        <v>1823</v>
      </c>
      <c r="AJ5" s="98" t="s">
        <v>1824</v>
      </c>
      <c r="AK5" s="99" t="s">
        <v>1825</v>
      </c>
      <c r="AL5" s="89" t="s">
        <v>1826</v>
      </c>
      <c r="AM5" s="89" t="s">
        <v>1774</v>
      </c>
      <c r="AN5" s="0" t="s">
        <v>1827</v>
      </c>
      <c r="AO5" s="8" t="s">
        <v>1828</v>
      </c>
      <c r="AP5" s="1"/>
    </row>
    <row r="6" customFormat="false" ht="14.25" hidden="false" customHeight="false" outlineLevel="0" collapsed="false">
      <c r="A6" s="96" t="s">
        <v>1829</v>
      </c>
      <c r="B6" s="0" t="n">
        <v>1</v>
      </c>
      <c r="C6" s="26" t="s">
        <v>4</v>
      </c>
      <c r="D6" s="0" t="n">
        <v>169</v>
      </c>
      <c r="E6" s="97" t="n">
        <v>518</v>
      </c>
      <c r="F6" s="26" t="s">
        <v>1830</v>
      </c>
      <c r="G6" s="98" t="s">
        <v>1831</v>
      </c>
      <c r="H6" s="87" t="s">
        <v>168</v>
      </c>
      <c r="I6" s="88" t="s">
        <v>1832</v>
      </c>
      <c r="J6" s="87" t="s">
        <v>1833</v>
      </c>
      <c r="K6" s="87" t="s">
        <v>84</v>
      </c>
      <c r="L6" s="88" t="s">
        <v>84</v>
      </c>
      <c r="M6" s="87" t="s">
        <v>1834</v>
      </c>
      <c r="N6" s="87" t="s">
        <v>1835</v>
      </c>
      <c r="Q6" s="87" t="s">
        <v>84</v>
      </c>
      <c r="R6" s="87" t="s">
        <v>84</v>
      </c>
      <c r="S6" s="87" t="s">
        <v>84</v>
      </c>
      <c r="T6" s="87" t="s">
        <v>84</v>
      </c>
      <c r="U6" s="87" t="s">
        <v>84</v>
      </c>
      <c r="W6" s="87" t="s">
        <v>1836</v>
      </c>
      <c r="X6" s="87" t="s">
        <v>84</v>
      </c>
      <c r="Z6" s="87" t="s">
        <v>1837</v>
      </c>
      <c r="AB6" s="88" t="s">
        <v>84</v>
      </c>
      <c r="AC6" s="87" t="s">
        <v>84</v>
      </c>
      <c r="AD6" s="87" t="s">
        <v>84</v>
      </c>
      <c r="AE6" s="87" t="s">
        <v>1838</v>
      </c>
      <c r="AF6" s="87" t="s">
        <v>84</v>
      </c>
      <c r="AG6" s="87" t="s">
        <v>1839</v>
      </c>
      <c r="AH6" s="98" t="s">
        <v>84</v>
      </c>
      <c r="AI6" s="98" t="s">
        <v>84</v>
      </c>
      <c r="AJ6" s="98" t="s">
        <v>84</v>
      </c>
      <c r="AK6" s="99" t="s">
        <v>84</v>
      </c>
      <c r="AL6" s="89" t="s">
        <v>1840</v>
      </c>
      <c r="AM6" s="89" t="s">
        <v>1774</v>
      </c>
      <c r="AN6" s="0" t="s">
        <v>1841</v>
      </c>
      <c r="AO6" s="8" t="s">
        <v>1842</v>
      </c>
      <c r="AP6" s="1"/>
    </row>
    <row r="7" customFormat="false" ht="14.25" hidden="false" customHeight="false" outlineLevel="0" collapsed="false">
      <c r="A7" s="96" t="s">
        <v>1677</v>
      </c>
      <c r="B7" s="0" t="n">
        <v>1</v>
      </c>
      <c r="C7" s="26" t="n">
        <v>2012</v>
      </c>
      <c r="D7" s="0" t="n">
        <v>108</v>
      </c>
      <c r="E7" s="97" t="n">
        <v>108</v>
      </c>
      <c r="F7" s="26" t="s">
        <v>114</v>
      </c>
      <c r="G7" s="98" t="s">
        <v>1843</v>
      </c>
      <c r="H7" s="87" t="s">
        <v>1844</v>
      </c>
      <c r="I7" s="88" t="s">
        <v>84</v>
      </c>
      <c r="J7" s="87" t="s">
        <v>84</v>
      </c>
      <c r="K7" s="87" t="s">
        <v>84</v>
      </c>
      <c r="L7" s="88" t="s">
        <v>84</v>
      </c>
      <c r="M7" s="87" t="s">
        <v>84</v>
      </c>
      <c r="N7" s="87" t="s">
        <v>84</v>
      </c>
      <c r="Q7" s="87" t="s">
        <v>84</v>
      </c>
      <c r="R7" s="87" t="s">
        <v>84</v>
      </c>
      <c r="S7" s="87" t="s">
        <v>84</v>
      </c>
      <c r="T7" s="87" t="s">
        <v>84</v>
      </c>
      <c r="U7" s="87" t="s">
        <v>84</v>
      </c>
      <c r="W7" s="87" t="s">
        <v>84</v>
      </c>
      <c r="X7" s="87" t="s">
        <v>84</v>
      </c>
      <c r="Z7" s="87" t="s">
        <v>84</v>
      </c>
      <c r="AB7" s="88" t="s">
        <v>84</v>
      </c>
      <c r="AC7" s="87" t="s">
        <v>1845</v>
      </c>
      <c r="AD7" s="87" t="s">
        <v>1846</v>
      </c>
      <c r="AE7" s="87" t="s">
        <v>1847</v>
      </c>
      <c r="AF7" s="87" t="s">
        <v>1848</v>
      </c>
      <c r="AG7" s="87" t="s">
        <v>1849</v>
      </c>
      <c r="AH7" s="87" t="s">
        <v>1850</v>
      </c>
      <c r="AI7" s="87" t="s">
        <v>1851</v>
      </c>
      <c r="AJ7" s="87" t="s">
        <v>1852</v>
      </c>
      <c r="AK7" s="88" t="s">
        <v>1853</v>
      </c>
      <c r="AL7" s="89" t="s">
        <v>1854</v>
      </c>
      <c r="AM7" s="89" t="s">
        <v>1790</v>
      </c>
      <c r="AN7" s="0" t="s">
        <v>1855</v>
      </c>
      <c r="AO7" s="8" t="s">
        <v>1856</v>
      </c>
      <c r="AP7" s="1"/>
    </row>
    <row r="8" customFormat="false" ht="14.25" hidden="false" customHeight="false" outlineLevel="0" collapsed="false">
      <c r="A8" s="96" t="s">
        <v>1857</v>
      </c>
      <c r="B8" s="0" t="n">
        <v>1</v>
      </c>
      <c r="C8" s="26" t="s">
        <v>1858</v>
      </c>
      <c r="D8" s="0" t="n">
        <v>517</v>
      </c>
      <c r="E8" s="97" t="n">
        <v>515</v>
      </c>
      <c r="F8" s="26" t="s">
        <v>67</v>
      </c>
      <c r="G8" s="98" t="s">
        <v>1859</v>
      </c>
      <c r="H8" s="87" t="s">
        <v>1860</v>
      </c>
      <c r="I8" s="88" t="s">
        <v>1861</v>
      </c>
      <c r="J8" s="87" t="s">
        <v>1862</v>
      </c>
      <c r="K8" s="87" t="s">
        <v>1863</v>
      </c>
      <c r="L8" s="88" t="s">
        <v>1864</v>
      </c>
      <c r="M8" s="87" t="s">
        <v>1865</v>
      </c>
      <c r="N8" s="87" t="s">
        <v>84</v>
      </c>
      <c r="Q8" s="87" t="s">
        <v>84</v>
      </c>
      <c r="R8" s="87" t="s">
        <v>84</v>
      </c>
      <c r="S8" s="87" t="s">
        <v>84</v>
      </c>
      <c r="T8" s="87" t="s">
        <v>84</v>
      </c>
      <c r="U8" s="87" t="s">
        <v>84</v>
      </c>
      <c r="W8" s="87" t="s">
        <v>84</v>
      </c>
      <c r="X8" s="87" t="s">
        <v>84</v>
      </c>
      <c r="Z8" s="87" t="s">
        <v>84</v>
      </c>
      <c r="AB8" s="88" t="s">
        <v>84</v>
      </c>
      <c r="AC8" s="87" t="s">
        <v>1866</v>
      </c>
      <c r="AD8" s="98" t="s">
        <v>1867</v>
      </c>
      <c r="AE8" s="87" t="s">
        <v>1868</v>
      </c>
      <c r="AF8" s="87" t="s">
        <v>1869</v>
      </c>
      <c r="AG8" s="87" t="s">
        <v>1870</v>
      </c>
      <c r="AH8" s="98" t="s">
        <v>1871</v>
      </c>
      <c r="AI8" s="98" t="s">
        <v>1872</v>
      </c>
      <c r="AJ8" s="98" t="s">
        <v>1873</v>
      </c>
      <c r="AK8" s="99" t="s">
        <v>1874</v>
      </c>
      <c r="AL8" s="89" t="s">
        <v>1875</v>
      </c>
      <c r="AM8" s="89" t="s">
        <v>1774</v>
      </c>
      <c r="AN8" s="0" t="s">
        <v>1876</v>
      </c>
      <c r="AO8" s="8" t="s">
        <v>1877</v>
      </c>
      <c r="AP8" s="1"/>
    </row>
    <row r="9" customFormat="false" ht="14.25" hidden="false" customHeight="false" outlineLevel="0" collapsed="false">
      <c r="A9" s="96" t="s">
        <v>1878</v>
      </c>
      <c r="B9" s="0" t="n">
        <v>1</v>
      </c>
      <c r="C9" s="26" t="s">
        <v>1879</v>
      </c>
      <c r="D9" s="0" t="n">
        <v>735</v>
      </c>
      <c r="E9" s="97" t="n">
        <v>730</v>
      </c>
      <c r="F9" s="26" t="s">
        <v>114</v>
      </c>
      <c r="G9" s="87" t="s">
        <v>1880</v>
      </c>
      <c r="H9" s="87" t="s">
        <v>207</v>
      </c>
      <c r="I9" s="88" t="s">
        <v>1881</v>
      </c>
      <c r="J9" s="87" t="s">
        <v>1882</v>
      </c>
      <c r="K9" s="87" t="s">
        <v>1883</v>
      </c>
      <c r="L9" s="88" t="s">
        <v>1884</v>
      </c>
      <c r="M9" s="87" t="s">
        <v>1885</v>
      </c>
      <c r="N9" s="87" t="s">
        <v>84</v>
      </c>
      <c r="Q9" s="87" t="s">
        <v>84</v>
      </c>
      <c r="R9" s="87" t="s">
        <v>84</v>
      </c>
      <c r="S9" s="87" t="s">
        <v>84</v>
      </c>
      <c r="T9" s="87" t="s">
        <v>1886</v>
      </c>
      <c r="U9" s="87" t="s">
        <v>84</v>
      </c>
      <c r="W9" s="87" t="s">
        <v>84</v>
      </c>
      <c r="X9" s="87" t="s">
        <v>84</v>
      </c>
      <c r="Z9" s="87" t="s">
        <v>84</v>
      </c>
      <c r="AB9" s="88" t="s">
        <v>84</v>
      </c>
      <c r="AC9" s="87" t="s">
        <v>1887</v>
      </c>
      <c r="AD9" s="98" t="s">
        <v>1888</v>
      </c>
      <c r="AE9" s="87" t="s">
        <v>1889</v>
      </c>
      <c r="AF9" s="87" t="s">
        <v>1890</v>
      </c>
      <c r="AG9" s="98" t="s">
        <v>1891</v>
      </c>
      <c r="AH9" s="98" t="s">
        <v>1892</v>
      </c>
      <c r="AI9" s="98" t="s">
        <v>1893</v>
      </c>
      <c r="AJ9" s="98" t="s">
        <v>1894</v>
      </c>
      <c r="AK9" s="88" t="s">
        <v>1895</v>
      </c>
      <c r="AL9" s="89" t="s">
        <v>1896</v>
      </c>
      <c r="AM9" s="89" t="s">
        <v>1774</v>
      </c>
      <c r="AN9" s="0" t="s">
        <v>1897</v>
      </c>
      <c r="AO9" s="8" t="s">
        <v>1898</v>
      </c>
      <c r="AP9" s="1"/>
    </row>
    <row r="10" customFormat="false" ht="14.25" hidden="false" customHeight="false" outlineLevel="0" collapsed="false">
      <c r="A10" s="101" t="s">
        <v>1899</v>
      </c>
      <c r="B10" s="0" t="n">
        <v>1</v>
      </c>
      <c r="C10" s="26" t="s">
        <v>1900</v>
      </c>
      <c r="D10" s="0" t="n">
        <v>464</v>
      </c>
      <c r="E10" s="97" t="n">
        <v>1639</v>
      </c>
      <c r="F10" s="26" t="s">
        <v>67</v>
      </c>
      <c r="G10" s="87" t="s">
        <v>1901</v>
      </c>
      <c r="H10" s="87" t="s">
        <v>1902</v>
      </c>
      <c r="I10" s="88" t="s">
        <v>1903</v>
      </c>
      <c r="J10" s="87" t="s">
        <v>1904</v>
      </c>
      <c r="K10" s="87" t="s">
        <v>1905</v>
      </c>
      <c r="L10" s="88" t="s">
        <v>1906</v>
      </c>
      <c r="M10" s="87" t="s">
        <v>84</v>
      </c>
      <c r="N10" s="87" t="s">
        <v>84</v>
      </c>
      <c r="Q10" s="87" t="s">
        <v>84</v>
      </c>
      <c r="R10" s="87" t="s">
        <v>84</v>
      </c>
      <c r="S10" s="87" t="s">
        <v>84</v>
      </c>
      <c r="T10" s="87" t="s">
        <v>84</v>
      </c>
      <c r="U10" s="87" t="s">
        <v>84</v>
      </c>
      <c r="W10" s="87" t="s">
        <v>84</v>
      </c>
      <c r="X10" s="87" t="s">
        <v>84</v>
      </c>
      <c r="Z10" s="87" t="s">
        <v>84</v>
      </c>
      <c r="AB10" s="88" t="s">
        <v>84</v>
      </c>
      <c r="AC10" s="87" t="s">
        <v>1907</v>
      </c>
      <c r="AD10" s="87" t="s">
        <v>1908</v>
      </c>
      <c r="AE10" s="87" t="s">
        <v>1909</v>
      </c>
      <c r="AF10" s="87" t="s">
        <v>1910</v>
      </c>
      <c r="AG10" s="87" t="s">
        <v>1911</v>
      </c>
      <c r="AH10" s="87" t="s">
        <v>1912</v>
      </c>
      <c r="AI10" s="87" t="s">
        <v>1913</v>
      </c>
      <c r="AJ10" s="87" t="s">
        <v>1914</v>
      </c>
      <c r="AK10" s="88" t="s">
        <v>1915</v>
      </c>
      <c r="AL10" s="89" t="s">
        <v>1916</v>
      </c>
      <c r="AM10" s="89" t="s">
        <v>1774</v>
      </c>
      <c r="AN10" s="0" t="s">
        <v>1917</v>
      </c>
      <c r="AO10" s="8" t="s">
        <v>1918</v>
      </c>
      <c r="AP10" s="1"/>
    </row>
    <row r="11" customFormat="false" ht="14.25" hidden="false" customHeight="false" outlineLevel="0" collapsed="false">
      <c r="A11" s="96" t="s">
        <v>1919</v>
      </c>
      <c r="B11" s="0" t="n">
        <v>1</v>
      </c>
      <c r="C11" s="26" t="s">
        <v>247</v>
      </c>
      <c r="D11" s="0" t="n">
        <v>113</v>
      </c>
      <c r="E11" s="97" t="n">
        <v>113</v>
      </c>
      <c r="F11" s="26" t="s">
        <v>67</v>
      </c>
      <c r="G11" s="72" t="s">
        <v>1920</v>
      </c>
      <c r="H11" s="72" t="s">
        <v>1921</v>
      </c>
      <c r="I11" s="88" t="s">
        <v>1922</v>
      </c>
      <c r="J11" s="87" t="s">
        <v>1923</v>
      </c>
      <c r="K11" s="87" t="s">
        <v>1924</v>
      </c>
      <c r="L11" s="88" t="s">
        <v>84</v>
      </c>
      <c r="M11" s="87" t="s">
        <v>1925</v>
      </c>
      <c r="N11" s="87" t="s">
        <v>84</v>
      </c>
      <c r="Q11" s="87" t="s">
        <v>84</v>
      </c>
      <c r="R11" s="87" t="s">
        <v>84</v>
      </c>
      <c r="S11" s="87" t="s">
        <v>84</v>
      </c>
      <c r="T11" s="87" t="s">
        <v>84</v>
      </c>
      <c r="U11" s="87" t="s">
        <v>84</v>
      </c>
      <c r="W11" s="87" t="s">
        <v>84</v>
      </c>
      <c r="X11" s="87" t="s">
        <v>84</v>
      </c>
      <c r="Z11" s="87" t="s">
        <v>84</v>
      </c>
      <c r="AB11" s="88" t="s">
        <v>84</v>
      </c>
      <c r="AC11" s="98" t="s">
        <v>1926</v>
      </c>
      <c r="AD11" s="87" t="s">
        <v>1927</v>
      </c>
      <c r="AE11" s="98" t="s">
        <v>1928</v>
      </c>
      <c r="AF11" s="87" t="s">
        <v>1929</v>
      </c>
      <c r="AG11" s="98" t="s">
        <v>1930</v>
      </c>
      <c r="AH11" s="98" t="s">
        <v>1931</v>
      </c>
      <c r="AI11" s="98" t="s">
        <v>1932</v>
      </c>
      <c r="AJ11" s="98" t="s">
        <v>1933</v>
      </c>
      <c r="AK11" s="99" t="s">
        <v>1934</v>
      </c>
      <c r="AL11" s="89" t="s">
        <v>1935</v>
      </c>
      <c r="AM11" s="89" t="s">
        <v>1774</v>
      </c>
      <c r="AN11" s="0" t="s">
        <v>1936</v>
      </c>
      <c r="AO11" s="8" t="s">
        <v>1937</v>
      </c>
      <c r="AP11" s="1"/>
      <c r="AQ11" s="1"/>
      <c r="AR11" s="1"/>
      <c r="AS11" s="1"/>
      <c r="AT11" s="1"/>
      <c r="AV11" s="0" t="s">
        <v>362</v>
      </c>
    </row>
    <row r="12" customFormat="false" ht="14.25" hidden="false" customHeight="false" outlineLevel="0" collapsed="false">
      <c r="A12" s="96" t="s">
        <v>1938</v>
      </c>
      <c r="B12" s="0" t="n">
        <v>1</v>
      </c>
      <c r="C12" s="26" t="s">
        <v>292</v>
      </c>
      <c r="D12" s="0" t="n">
        <v>255</v>
      </c>
      <c r="E12" s="26" t="n">
        <v>255</v>
      </c>
      <c r="F12" s="26" t="s">
        <v>67</v>
      </c>
      <c r="G12" s="87" t="s">
        <v>84</v>
      </c>
      <c r="H12" s="87" t="s">
        <v>84</v>
      </c>
      <c r="I12" s="88" t="s">
        <v>84</v>
      </c>
      <c r="J12" s="87" t="s">
        <v>84</v>
      </c>
      <c r="K12" s="87" t="s">
        <v>84</v>
      </c>
      <c r="L12" s="88" t="s">
        <v>84</v>
      </c>
      <c r="M12" s="87" t="s">
        <v>84</v>
      </c>
      <c r="N12" s="87" t="s">
        <v>84</v>
      </c>
      <c r="O12" s="87" t="s">
        <v>84</v>
      </c>
      <c r="P12" s="87" t="s">
        <v>84</v>
      </c>
      <c r="Q12" s="87" t="s">
        <v>84</v>
      </c>
      <c r="R12" s="87" t="s">
        <v>84</v>
      </c>
      <c r="S12" s="87" t="s">
        <v>84</v>
      </c>
      <c r="T12" s="87" t="s">
        <v>84</v>
      </c>
      <c r="U12" s="87" t="s">
        <v>84</v>
      </c>
      <c r="W12" s="87" t="s">
        <v>84</v>
      </c>
      <c r="X12" s="87" t="s">
        <v>84</v>
      </c>
      <c r="Z12" s="87" t="s">
        <v>84</v>
      </c>
      <c r="AB12" s="88" t="s">
        <v>84</v>
      </c>
      <c r="AC12" s="98" t="s">
        <v>84</v>
      </c>
      <c r="AD12" s="87" t="s">
        <v>1939</v>
      </c>
      <c r="AE12" s="98" t="s">
        <v>84</v>
      </c>
      <c r="AF12" s="98" t="s">
        <v>84</v>
      </c>
      <c r="AG12" s="98" t="s">
        <v>84</v>
      </c>
      <c r="AH12" s="87" t="s">
        <v>1940</v>
      </c>
      <c r="AI12" s="87" t="s">
        <v>1941</v>
      </c>
      <c r="AJ12" s="87" t="s">
        <v>1942</v>
      </c>
      <c r="AK12" s="88" t="s">
        <v>1943</v>
      </c>
      <c r="AL12" s="89" t="s">
        <v>1944</v>
      </c>
      <c r="AM12" s="89" t="s">
        <v>1790</v>
      </c>
      <c r="AN12" s="0" t="s">
        <v>1945</v>
      </c>
      <c r="AO12" s="8" t="s">
        <v>1946</v>
      </c>
      <c r="AP12" s="1"/>
      <c r="AQ12" s="1"/>
      <c r="AR12" s="1"/>
      <c r="AS12" s="1"/>
      <c r="AT12" s="1"/>
      <c r="AU12" s="1"/>
      <c r="AV12" s="1" t="n">
        <v>64</v>
      </c>
    </row>
    <row r="13" customFormat="false" ht="14.25" hidden="false" customHeight="false" outlineLevel="0" collapsed="false">
      <c r="A13" s="96" t="s">
        <v>1947</v>
      </c>
      <c r="B13" s="0" t="n">
        <v>1</v>
      </c>
      <c r="C13" s="26" t="n">
        <v>2020</v>
      </c>
      <c r="D13" s="0" t="n">
        <v>25</v>
      </c>
      <c r="E13" s="97" t="n">
        <v>25</v>
      </c>
      <c r="F13" s="26" t="s">
        <v>67</v>
      </c>
      <c r="G13" s="87" t="s">
        <v>1948</v>
      </c>
      <c r="H13" s="87" t="s">
        <v>1949</v>
      </c>
      <c r="I13" s="88" t="s">
        <v>1950</v>
      </c>
      <c r="J13" s="87" t="s">
        <v>84</v>
      </c>
      <c r="K13" s="87" t="s">
        <v>84</v>
      </c>
      <c r="L13" s="88" t="s">
        <v>84</v>
      </c>
      <c r="M13" s="87" t="s">
        <v>84</v>
      </c>
      <c r="N13" s="87" t="s">
        <v>84</v>
      </c>
      <c r="O13" s="87" t="s">
        <v>84</v>
      </c>
      <c r="P13" s="87" t="s">
        <v>84</v>
      </c>
      <c r="Q13" s="87" t="s">
        <v>84</v>
      </c>
      <c r="R13" s="87" t="s">
        <v>84</v>
      </c>
      <c r="S13" s="87" t="s">
        <v>84</v>
      </c>
      <c r="T13" s="87" t="s">
        <v>84</v>
      </c>
      <c r="U13" s="87" t="s">
        <v>84</v>
      </c>
      <c r="W13" s="87" t="s">
        <v>84</v>
      </c>
      <c r="X13" s="87" t="s">
        <v>84</v>
      </c>
      <c r="Z13" s="87" t="s">
        <v>84</v>
      </c>
      <c r="AB13" s="88" t="s">
        <v>84</v>
      </c>
      <c r="AC13" s="87" t="s">
        <v>1951</v>
      </c>
      <c r="AD13" s="98" t="s">
        <v>1952</v>
      </c>
      <c r="AE13" s="98" t="s">
        <v>1953</v>
      </c>
      <c r="AF13" s="87" t="s">
        <v>1954</v>
      </c>
      <c r="AG13" s="87" t="s">
        <v>1955</v>
      </c>
      <c r="AH13" s="98" t="s">
        <v>1956</v>
      </c>
      <c r="AI13" s="98" t="s">
        <v>1957</v>
      </c>
      <c r="AJ13" s="98" t="s">
        <v>1958</v>
      </c>
      <c r="AK13" s="99" t="s">
        <v>1959</v>
      </c>
      <c r="AL13" s="100" t="s">
        <v>1960</v>
      </c>
      <c r="AM13" s="89" t="s">
        <v>1790</v>
      </c>
      <c r="AN13" s="0" t="s">
        <v>1961</v>
      </c>
      <c r="AO13" s="0" t="s">
        <v>1962</v>
      </c>
      <c r="AP13" s="1"/>
      <c r="AZ13" s="31"/>
    </row>
    <row r="14" customFormat="false" ht="14.25" hidden="false" customHeight="false" outlineLevel="0" collapsed="false">
      <c r="A14" s="96" t="s">
        <v>1963</v>
      </c>
      <c r="B14" s="0" t="n">
        <v>1</v>
      </c>
      <c r="C14" s="26" t="n">
        <v>2020</v>
      </c>
      <c r="D14" s="0" t="n">
        <v>55</v>
      </c>
      <c r="E14" s="97" t="n">
        <v>56</v>
      </c>
      <c r="F14" s="26" t="s">
        <v>67</v>
      </c>
      <c r="G14" s="87" t="s">
        <v>1964</v>
      </c>
      <c r="H14" s="87" t="s">
        <v>344</v>
      </c>
      <c r="I14" s="88" t="s">
        <v>1965</v>
      </c>
      <c r="J14" s="87" t="s">
        <v>1966</v>
      </c>
      <c r="K14" s="87" t="s">
        <v>84</v>
      </c>
      <c r="L14" s="88" t="s">
        <v>84</v>
      </c>
      <c r="M14" s="87" t="s">
        <v>84</v>
      </c>
      <c r="N14" s="87" t="s">
        <v>84</v>
      </c>
      <c r="O14" s="87" t="s">
        <v>84</v>
      </c>
      <c r="P14" s="87" t="s">
        <v>84</v>
      </c>
      <c r="Q14" s="87" t="s">
        <v>84</v>
      </c>
      <c r="R14" s="87" t="s">
        <v>84</v>
      </c>
      <c r="S14" s="87" t="s">
        <v>84</v>
      </c>
      <c r="T14" s="87" t="s">
        <v>84</v>
      </c>
      <c r="U14" s="87" t="s">
        <v>84</v>
      </c>
      <c r="W14" s="87" t="s">
        <v>84</v>
      </c>
      <c r="X14" s="87" t="s">
        <v>84</v>
      </c>
      <c r="Z14" s="87" t="s">
        <v>84</v>
      </c>
      <c r="AB14" s="88" t="s">
        <v>84</v>
      </c>
      <c r="AC14" s="87" t="s">
        <v>1967</v>
      </c>
      <c r="AD14" s="98" t="s">
        <v>1968</v>
      </c>
      <c r="AE14" s="98" t="s">
        <v>1969</v>
      </c>
      <c r="AF14" s="98" t="s">
        <v>1970</v>
      </c>
      <c r="AG14" s="87" t="s">
        <v>1971</v>
      </c>
      <c r="AH14" s="98" t="s">
        <v>1972</v>
      </c>
      <c r="AI14" s="98" t="s">
        <v>1973</v>
      </c>
      <c r="AJ14" s="98" t="s">
        <v>1974</v>
      </c>
      <c r="AK14" s="99" t="s">
        <v>1975</v>
      </c>
      <c r="AL14" s="100" t="s">
        <v>1976</v>
      </c>
      <c r="AM14" s="89" t="s">
        <v>1790</v>
      </c>
      <c r="AN14" s="0" t="s">
        <v>1961</v>
      </c>
      <c r="AO14" s="0" t="s">
        <v>1962</v>
      </c>
      <c r="AP14" s="1"/>
    </row>
    <row r="15" customFormat="false" ht="14.25" hidden="false" customHeight="false" outlineLevel="0" collapsed="false">
      <c r="A15" s="101" t="s">
        <v>1977</v>
      </c>
      <c r="B15" s="0" t="n">
        <v>1</v>
      </c>
      <c r="C15" s="26" t="n">
        <v>2022</v>
      </c>
      <c r="D15" s="0" t="n">
        <v>100</v>
      </c>
      <c r="E15" s="26" t="n">
        <v>100</v>
      </c>
      <c r="F15" s="26" t="s">
        <v>67</v>
      </c>
      <c r="G15" s="87" t="s">
        <v>1978</v>
      </c>
      <c r="H15" s="87" t="s">
        <v>1979</v>
      </c>
      <c r="I15" s="88" t="s">
        <v>1980</v>
      </c>
      <c r="J15" s="87" t="s">
        <v>1981</v>
      </c>
      <c r="AL15" s="89" t="s">
        <v>1982</v>
      </c>
      <c r="AM15" s="89" t="s">
        <v>1774</v>
      </c>
      <c r="AN15" s="0" t="s">
        <v>1983</v>
      </c>
      <c r="AO15" s="0" t="s">
        <v>1984</v>
      </c>
      <c r="AP15" s="1"/>
    </row>
    <row r="16" customFormat="false" ht="16.4" hidden="false" customHeight="false" outlineLevel="0" collapsed="false">
      <c r="A16" s="96" t="s">
        <v>1985</v>
      </c>
      <c r="B16" s="0" t="n">
        <v>1</v>
      </c>
      <c r="C16" s="26" t="n">
        <v>2017</v>
      </c>
      <c r="D16" s="0" t="n">
        <v>9</v>
      </c>
      <c r="E16" s="26" t="n">
        <v>9</v>
      </c>
      <c r="F16" s="26" t="s">
        <v>67</v>
      </c>
      <c r="G16" s="87" t="s">
        <v>1986</v>
      </c>
      <c r="H16" s="87" t="s">
        <v>1987</v>
      </c>
      <c r="I16" s="88" t="s">
        <v>84</v>
      </c>
      <c r="J16" s="87" t="s">
        <v>1988</v>
      </c>
      <c r="K16" s="87" t="s">
        <v>1989</v>
      </c>
      <c r="L16" s="88" t="s">
        <v>84</v>
      </c>
      <c r="M16" s="87" t="s">
        <v>84</v>
      </c>
      <c r="N16" s="87" t="s">
        <v>84</v>
      </c>
      <c r="O16" s="87" t="s">
        <v>84</v>
      </c>
      <c r="P16" s="87" t="s">
        <v>84</v>
      </c>
      <c r="Q16" s="87" t="s">
        <v>84</v>
      </c>
      <c r="R16" s="87" t="s">
        <v>84</v>
      </c>
      <c r="S16" s="87" t="s">
        <v>84</v>
      </c>
      <c r="T16" s="87" t="s">
        <v>84</v>
      </c>
      <c r="U16" s="87" t="s">
        <v>84</v>
      </c>
      <c r="W16" s="87" t="s">
        <v>84</v>
      </c>
      <c r="X16" s="87" t="s">
        <v>84</v>
      </c>
      <c r="Z16" s="87" t="s">
        <v>84</v>
      </c>
      <c r="AB16" s="88" t="s">
        <v>84</v>
      </c>
      <c r="AC16" s="98" t="s">
        <v>1990</v>
      </c>
      <c r="AD16" s="87" t="s">
        <v>1991</v>
      </c>
      <c r="AE16" s="87" t="s">
        <v>1992</v>
      </c>
      <c r="AF16" s="87" t="s">
        <v>1993</v>
      </c>
      <c r="AG16" s="87" t="s">
        <v>1994</v>
      </c>
      <c r="AH16" s="87" t="s">
        <v>1995</v>
      </c>
      <c r="AI16" s="87" t="s">
        <v>1996</v>
      </c>
      <c r="AJ16" s="87" t="s">
        <v>1997</v>
      </c>
      <c r="AK16" s="88" t="s">
        <v>1998</v>
      </c>
      <c r="AL16" s="89" t="s">
        <v>1999</v>
      </c>
      <c r="AM16" s="89" t="s">
        <v>1790</v>
      </c>
      <c r="AN16" s="0" t="s">
        <v>2000</v>
      </c>
      <c r="AO16" s="0" t="s">
        <v>2001</v>
      </c>
      <c r="AP16" s="1"/>
    </row>
    <row r="17" customFormat="false" ht="14.25" hidden="false" customHeight="false" outlineLevel="0" collapsed="false">
      <c r="A17" s="96" t="s">
        <v>2002</v>
      </c>
      <c r="B17" s="0" t="n">
        <v>1</v>
      </c>
      <c r="C17" s="26" t="n">
        <v>2019</v>
      </c>
      <c r="D17" s="0" t="n">
        <v>20</v>
      </c>
      <c r="E17" s="102" t="n">
        <v>80</v>
      </c>
      <c r="F17" s="26" t="s">
        <v>2003</v>
      </c>
      <c r="G17" s="87" t="s">
        <v>2004</v>
      </c>
      <c r="H17" s="87" t="s">
        <v>2005</v>
      </c>
      <c r="I17" s="88" t="s">
        <v>84</v>
      </c>
      <c r="J17" s="87" t="s">
        <v>84</v>
      </c>
      <c r="K17" s="87" t="s">
        <v>84</v>
      </c>
      <c r="L17" s="88" t="s">
        <v>84</v>
      </c>
      <c r="M17" s="87" t="s">
        <v>84</v>
      </c>
      <c r="N17" s="87" t="s">
        <v>84</v>
      </c>
      <c r="O17" s="87" t="s">
        <v>84</v>
      </c>
      <c r="P17" s="87" t="s">
        <v>84</v>
      </c>
      <c r="Q17" s="87" t="s">
        <v>84</v>
      </c>
      <c r="R17" s="87" t="s">
        <v>84</v>
      </c>
      <c r="S17" s="87" t="s">
        <v>84</v>
      </c>
      <c r="T17" s="87" t="s">
        <v>84</v>
      </c>
      <c r="U17" s="87" t="s">
        <v>84</v>
      </c>
      <c r="W17" s="87" t="s">
        <v>84</v>
      </c>
      <c r="X17" s="87" t="s">
        <v>84</v>
      </c>
      <c r="Y17" s="87" t="s">
        <v>2006</v>
      </c>
      <c r="Z17" s="87" t="s">
        <v>84</v>
      </c>
      <c r="AB17" s="88" t="s">
        <v>84</v>
      </c>
      <c r="AC17" s="87" t="s">
        <v>2007</v>
      </c>
      <c r="AD17" s="87" t="s">
        <v>2008</v>
      </c>
      <c r="AE17" s="87" t="s">
        <v>2009</v>
      </c>
      <c r="AF17" s="87" t="s">
        <v>2010</v>
      </c>
      <c r="AG17" s="87" t="s">
        <v>2011</v>
      </c>
      <c r="AH17" s="87" t="s">
        <v>2012</v>
      </c>
      <c r="AI17" s="87" t="s">
        <v>2013</v>
      </c>
      <c r="AJ17" s="87" t="s">
        <v>2014</v>
      </c>
      <c r="AK17" s="88" t="s">
        <v>2015</v>
      </c>
      <c r="AL17" s="89" t="s">
        <v>1999</v>
      </c>
      <c r="AM17" s="89" t="s">
        <v>1790</v>
      </c>
      <c r="AN17" s="0" t="s">
        <v>2016</v>
      </c>
      <c r="AO17" s="8" t="s">
        <v>2017</v>
      </c>
      <c r="AP17" s="1"/>
    </row>
    <row r="18" customFormat="false" ht="14.25" hidden="false" customHeight="false" outlineLevel="0" collapsed="false">
      <c r="A18" s="96" t="s">
        <v>2018</v>
      </c>
      <c r="B18" s="0" t="n">
        <v>1</v>
      </c>
      <c r="C18" s="26" t="n">
        <v>2023</v>
      </c>
      <c r="D18" s="0" t="n">
        <v>10</v>
      </c>
      <c r="E18" s="97" t="n">
        <v>120</v>
      </c>
      <c r="F18" s="26" t="s">
        <v>2019</v>
      </c>
      <c r="G18" s="87" t="s">
        <v>2020</v>
      </c>
      <c r="H18" s="87" t="s">
        <v>2021</v>
      </c>
      <c r="I18" s="88" t="s">
        <v>84</v>
      </c>
      <c r="J18" s="87" t="s">
        <v>84</v>
      </c>
      <c r="K18" s="87" t="s">
        <v>84</v>
      </c>
      <c r="L18" s="88" t="s">
        <v>84</v>
      </c>
      <c r="M18" s="87" t="s">
        <v>84</v>
      </c>
      <c r="N18" s="87" t="s">
        <v>84</v>
      </c>
      <c r="O18" s="87" t="s">
        <v>84</v>
      </c>
      <c r="P18" s="87" t="s">
        <v>84</v>
      </c>
      <c r="Q18" s="87" t="s">
        <v>84</v>
      </c>
      <c r="R18" s="87" t="s">
        <v>84</v>
      </c>
      <c r="S18" s="87" t="s">
        <v>84</v>
      </c>
      <c r="T18" s="87" t="s">
        <v>84</v>
      </c>
      <c r="U18" s="87" t="s">
        <v>84</v>
      </c>
      <c r="W18" s="87" t="s">
        <v>84</v>
      </c>
      <c r="X18" s="87" t="s">
        <v>84</v>
      </c>
      <c r="Y18" s="87" t="s">
        <v>84</v>
      </c>
      <c r="Z18" s="87" t="s">
        <v>84</v>
      </c>
      <c r="AB18" s="88" t="s">
        <v>84</v>
      </c>
      <c r="AC18" s="87" t="s">
        <v>2022</v>
      </c>
      <c r="AD18" s="87" t="s">
        <v>2023</v>
      </c>
      <c r="AE18" s="87" t="s">
        <v>2024</v>
      </c>
      <c r="AF18" s="87" t="s">
        <v>2025</v>
      </c>
      <c r="AG18" s="87" t="s">
        <v>2026</v>
      </c>
      <c r="AH18" s="87" t="s">
        <v>2027</v>
      </c>
      <c r="AI18" s="87" t="s">
        <v>2028</v>
      </c>
      <c r="AJ18" s="87" t="s">
        <v>2029</v>
      </c>
      <c r="AK18" s="88" t="s">
        <v>2030</v>
      </c>
      <c r="AL18" s="89" t="s">
        <v>1999</v>
      </c>
      <c r="AM18" s="89" t="s">
        <v>1790</v>
      </c>
      <c r="AN18" s="0" t="s">
        <v>2031</v>
      </c>
      <c r="AO18" s="8" t="s">
        <v>2032</v>
      </c>
      <c r="AP18" s="20"/>
    </row>
    <row r="19" customFormat="false" ht="14.25" hidden="false" customHeight="false" outlineLevel="0" collapsed="false">
      <c r="A19" s="101" t="s">
        <v>2033</v>
      </c>
      <c r="B19" s="0" t="n">
        <v>1</v>
      </c>
      <c r="C19" s="26" t="s">
        <v>366</v>
      </c>
      <c r="D19" s="0" t="n">
        <v>28</v>
      </c>
      <c r="E19" s="97" t="n">
        <v>868</v>
      </c>
      <c r="F19" s="26" t="s">
        <v>114</v>
      </c>
      <c r="G19" s="87" t="s">
        <v>370</v>
      </c>
      <c r="H19" s="87" t="s">
        <v>371</v>
      </c>
      <c r="I19" s="88" t="s">
        <v>84</v>
      </c>
      <c r="J19" s="87" t="s">
        <v>84</v>
      </c>
      <c r="K19" s="87" t="s">
        <v>84</v>
      </c>
      <c r="L19" s="88" t="s">
        <v>84</v>
      </c>
      <c r="M19" s="87" t="s">
        <v>84</v>
      </c>
      <c r="N19" s="87" t="s">
        <v>84</v>
      </c>
      <c r="O19" s="87" t="s">
        <v>84</v>
      </c>
      <c r="P19" s="87" t="s">
        <v>84</v>
      </c>
      <c r="Q19" s="87" t="s">
        <v>84</v>
      </c>
      <c r="R19" s="87" t="s">
        <v>84</v>
      </c>
      <c r="S19" s="87" t="s">
        <v>84</v>
      </c>
      <c r="T19" s="87" t="s">
        <v>84</v>
      </c>
      <c r="U19" s="87" t="s">
        <v>84</v>
      </c>
      <c r="W19" s="87" t="s">
        <v>84</v>
      </c>
      <c r="X19" s="87" t="s">
        <v>84</v>
      </c>
      <c r="Y19" s="87" t="s">
        <v>84</v>
      </c>
      <c r="Z19" s="87" t="s">
        <v>84</v>
      </c>
      <c r="AB19" s="88" t="s">
        <v>84</v>
      </c>
      <c r="AC19" s="87" t="s">
        <v>2034</v>
      </c>
      <c r="AD19" s="87" t="s">
        <v>2035</v>
      </c>
      <c r="AE19" s="87" t="s">
        <v>2036</v>
      </c>
      <c r="AF19" s="87" t="s">
        <v>2037</v>
      </c>
      <c r="AG19" s="103" t="s">
        <v>2038</v>
      </c>
      <c r="AH19" s="103" t="s">
        <v>2039</v>
      </c>
      <c r="AI19" s="87" t="s">
        <v>2040</v>
      </c>
      <c r="AJ19" s="87" t="s">
        <v>2041</v>
      </c>
      <c r="AK19" s="88" t="s">
        <v>2042</v>
      </c>
      <c r="AL19" s="3" t="s">
        <v>2043</v>
      </c>
      <c r="AM19" s="89" t="s">
        <v>1774</v>
      </c>
      <c r="AN19" s="0" t="s">
        <v>2044</v>
      </c>
      <c r="AO19" s="104" t="s">
        <v>2045</v>
      </c>
      <c r="AP19" s="8"/>
      <c r="AQ19" s="34"/>
    </row>
    <row r="20" customFormat="false" ht="14.25" hidden="false" customHeight="false" outlineLevel="0" collapsed="false">
      <c r="A20" s="101" t="s">
        <v>2046</v>
      </c>
      <c r="B20" s="0" t="n">
        <v>1</v>
      </c>
      <c r="C20" s="26" t="s">
        <v>401</v>
      </c>
      <c r="D20" s="0" t="n">
        <v>318</v>
      </c>
      <c r="E20" s="26" t="n">
        <v>591</v>
      </c>
      <c r="F20" s="26" t="s">
        <v>2047</v>
      </c>
      <c r="G20" s="87" t="s">
        <v>2048</v>
      </c>
      <c r="H20" s="87" t="s">
        <v>406</v>
      </c>
      <c r="I20" s="88" t="s">
        <v>2049</v>
      </c>
      <c r="J20" s="87" t="s">
        <v>2050</v>
      </c>
      <c r="K20" s="87" t="s">
        <v>84</v>
      </c>
      <c r="L20" s="88" t="s">
        <v>84</v>
      </c>
      <c r="M20" s="87" t="s">
        <v>2051</v>
      </c>
      <c r="N20" s="87" t="s">
        <v>2052</v>
      </c>
      <c r="O20" s="87" t="s">
        <v>2053</v>
      </c>
      <c r="P20" s="87" t="s">
        <v>2054</v>
      </c>
      <c r="Q20" s="87" t="s">
        <v>84</v>
      </c>
      <c r="R20" s="87" t="s">
        <v>84</v>
      </c>
      <c r="S20" s="87" t="s">
        <v>84</v>
      </c>
      <c r="T20" s="87" t="s">
        <v>84</v>
      </c>
      <c r="U20" s="87" t="s">
        <v>84</v>
      </c>
      <c r="W20" s="87" t="s">
        <v>84</v>
      </c>
      <c r="X20" s="87" t="s">
        <v>84</v>
      </c>
      <c r="Y20" s="87" t="s">
        <v>84</v>
      </c>
      <c r="Z20" s="87" t="s">
        <v>84</v>
      </c>
      <c r="AB20" s="88" t="s">
        <v>84</v>
      </c>
      <c r="AC20" s="87" t="s">
        <v>84</v>
      </c>
      <c r="AD20" s="87" t="s">
        <v>84</v>
      </c>
      <c r="AE20" s="87" t="s">
        <v>84</v>
      </c>
      <c r="AF20" s="87" t="s">
        <v>84</v>
      </c>
      <c r="AG20" s="87" t="s">
        <v>84</v>
      </c>
      <c r="AH20" s="87" t="s">
        <v>84</v>
      </c>
      <c r="AI20" s="87" t="s">
        <v>84</v>
      </c>
      <c r="AJ20" s="87" t="s">
        <v>84</v>
      </c>
      <c r="AK20" s="88" t="s">
        <v>84</v>
      </c>
      <c r="AL20" s="89" t="s">
        <v>2055</v>
      </c>
      <c r="AM20" s="89" t="s">
        <v>1774</v>
      </c>
      <c r="AN20" s="0" t="s">
        <v>2056</v>
      </c>
      <c r="AO20" s="104" t="s">
        <v>2057</v>
      </c>
      <c r="AP20" s="8"/>
      <c r="AQ20" s="34"/>
    </row>
    <row r="21" customFormat="false" ht="14.25" hidden="false" customHeight="false" outlineLevel="0" collapsed="false">
      <c r="A21" s="101" t="s">
        <v>2058</v>
      </c>
      <c r="B21" s="0" t="n">
        <v>1</v>
      </c>
      <c r="C21" s="26" t="n">
        <v>2018</v>
      </c>
      <c r="D21" s="0" t="n">
        <v>151</v>
      </c>
      <c r="E21" s="97" t="n">
        <v>151</v>
      </c>
      <c r="F21" s="26" t="s">
        <v>67</v>
      </c>
      <c r="G21" s="87" t="s">
        <v>2059</v>
      </c>
      <c r="H21" s="87" t="s">
        <v>460</v>
      </c>
      <c r="I21" s="88" t="s">
        <v>84</v>
      </c>
      <c r="J21" s="87" t="s">
        <v>2060</v>
      </c>
      <c r="K21" s="87" t="s">
        <v>2061</v>
      </c>
      <c r="L21" s="88" t="s">
        <v>84</v>
      </c>
      <c r="M21" s="87" t="s">
        <v>84</v>
      </c>
      <c r="N21" s="87" t="s">
        <v>84</v>
      </c>
      <c r="O21" s="87" t="s">
        <v>84</v>
      </c>
      <c r="P21" s="87" t="s">
        <v>84</v>
      </c>
      <c r="Q21" s="87" t="s">
        <v>84</v>
      </c>
      <c r="R21" s="87" t="s">
        <v>84</v>
      </c>
      <c r="S21" s="87" t="s">
        <v>84</v>
      </c>
      <c r="T21" s="87" t="s">
        <v>84</v>
      </c>
      <c r="U21" s="87" t="s">
        <v>84</v>
      </c>
      <c r="W21" s="87" t="s">
        <v>84</v>
      </c>
      <c r="X21" s="87" t="s">
        <v>84</v>
      </c>
      <c r="Y21" s="87" t="s">
        <v>84</v>
      </c>
      <c r="Z21" s="87" t="s">
        <v>84</v>
      </c>
      <c r="AB21" s="88" t="s">
        <v>84</v>
      </c>
      <c r="AC21" s="87" t="s">
        <v>2062</v>
      </c>
      <c r="AD21" s="87" t="s">
        <v>2063</v>
      </c>
      <c r="AE21" s="87" t="s">
        <v>2064</v>
      </c>
      <c r="AF21" s="87" t="s">
        <v>84</v>
      </c>
      <c r="AG21" s="87" t="s">
        <v>84</v>
      </c>
      <c r="AH21" s="87" t="s">
        <v>84</v>
      </c>
      <c r="AI21" s="87" t="s">
        <v>84</v>
      </c>
      <c r="AJ21" s="87" t="s">
        <v>84</v>
      </c>
      <c r="AK21" s="88" t="s">
        <v>84</v>
      </c>
      <c r="AL21" s="3" t="s">
        <v>2065</v>
      </c>
      <c r="AM21" s="89" t="s">
        <v>1790</v>
      </c>
      <c r="AN21" s="0" t="s">
        <v>2066</v>
      </c>
      <c r="AO21" s="0" t="s">
        <v>2067</v>
      </c>
      <c r="AP21" s="8"/>
      <c r="AQ21" s="13"/>
    </row>
    <row r="22" customFormat="false" ht="14.25" hidden="false" customHeight="false" outlineLevel="0" collapsed="false">
      <c r="A22" s="101" t="s">
        <v>2068</v>
      </c>
      <c r="B22" s="0" t="n">
        <v>1</v>
      </c>
      <c r="C22" s="26" t="s">
        <v>468</v>
      </c>
      <c r="D22" s="0" t="n">
        <v>197</v>
      </c>
      <c r="E22" s="97" t="n">
        <v>414</v>
      </c>
      <c r="F22" s="26" t="s">
        <v>67</v>
      </c>
      <c r="G22" s="87" t="s">
        <v>2069</v>
      </c>
      <c r="H22" s="87" t="s">
        <v>2070</v>
      </c>
      <c r="I22" s="88" t="s">
        <v>2071</v>
      </c>
      <c r="J22" s="87" t="s">
        <v>2072</v>
      </c>
      <c r="K22" s="87" t="s">
        <v>84</v>
      </c>
      <c r="L22" s="88" t="s">
        <v>84</v>
      </c>
      <c r="M22" s="87" t="s">
        <v>2073</v>
      </c>
      <c r="N22" s="87" t="s">
        <v>84</v>
      </c>
      <c r="O22" s="87" t="s">
        <v>2074</v>
      </c>
      <c r="P22" s="87" t="s">
        <v>2075</v>
      </c>
      <c r="Q22" s="87" t="s">
        <v>84</v>
      </c>
      <c r="R22" s="87" t="s">
        <v>84</v>
      </c>
      <c r="S22" s="87" t="s">
        <v>84</v>
      </c>
      <c r="T22" s="87" t="s">
        <v>2076</v>
      </c>
      <c r="U22" s="87" t="s">
        <v>84</v>
      </c>
      <c r="W22" s="87" t="s">
        <v>84</v>
      </c>
      <c r="X22" s="87" t="s">
        <v>84</v>
      </c>
      <c r="Y22" s="87" t="s">
        <v>84</v>
      </c>
      <c r="Z22" s="87" t="s">
        <v>2077</v>
      </c>
      <c r="AB22" s="88" t="s">
        <v>84</v>
      </c>
      <c r="AC22" s="87" t="s">
        <v>84</v>
      </c>
      <c r="AD22" s="87" t="s">
        <v>2078</v>
      </c>
      <c r="AE22" s="87" t="s">
        <v>84</v>
      </c>
      <c r="AF22" s="87" t="s">
        <v>84</v>
      </c>
      <c r="AG22" s="87" t="s">
        <v>84</v>
      </c>
      <c r="AH22" s="87" t="s">
        <v>2079</v>
      </c>
      <c r="AI22" s="87" t="s">
        <v>84</v>
      </c>
      <c r="AJ22" s="87" t="s">
        <v>84</v>
      </c>
      <c r="AK22" s="88" t="s">
        <v>2080</v>
      </c>
      <c r="AL22" s="89" t="s">
        <v>2081</v>
      </c>
      <c r="AM22" s="89" t="s">
        <v>1774</v>
      </c>
      <c r="AN22" s="0" t="s">
        <v>2082</v>
      </c>
      <c r="AO22" s="0" t="s">
        <v>2083</v>
      </c>
      <c r="AP22" s="8"/>
      <c r="AQ22" s="34"/>
    </row>
    <row r="23" customFormat="false" ht="14.25" hidden="false" customHeight="false" outlineLevel="0" collapsed="false">
      <c r="A23" s="101" t="s">
        <v>481</v>
      </c>
      <c r="B23" s="0" t="n">
        <v>1</v>
      </c>
      <c r="C23" s="26" t="s">
        <v>482</v>
      </c>
      <c r="D23" s="0" t="s">
        <v>2084</v>
      </c>
      <c r="E23" s="98" t="s">
        <v>2085</v>
      </c>
      <c r="F23" s="26" t="s">
        <v>67</v>
      </c>
      <c r="G23" s="87" t="s">
        <v>2086</v>
      </c>
      <c r="H23" s="26" t="s">
        <v>2087</v>
      </c>
      <c r="I23" s="105" t="s">
        <v>2088</v>
      </c>
      <c r="J23" s="26" t="s">
        <v>2089</v>
      </c>
      <c r="K23" s="26" t="s">
        <v>2090</v>
      </c>
      <c r="L23" s="106" t="s">
        <v>2091</v>
      </c>
      <c r="M23" s="26" t="s">
        <v>84</v>
      </c>
      <c r="N23" s="26" t="s">
        <v>84</v>
      </c>
      <c r="O23" s="26" t="s">
        <v>84</v>
      </c>
      <c r="P23" s="26" t="s">
        <v>84</v>
      </c>
      <c r="Q23" s="26" t="s">
        <v>84</v>
      </c>
      <c r="R23" s="26" t="s">
        <v>84</v>
      </c>
      <c r="S23" s="26" t="s">
        <v>84</v>
      </c>
      <c r="T23" s="26" t="s">
        <v>84</v>
      </c>
      <c r="U23" s="26" t="s">
        <v>84</v>
      </c>
      <c r="V23" s="26"/>
      <c r="W23" s="26" t="s">
        <v>84</v>
      </c>
      <c r="X23" s="26" t="s">
        <v>84</v>
      </c>
      <c r="Y23" s="26" t="s">
        <v>84</v>
      </c>
      <c r="Z23" s="26" t="s">
        <v>84</v>
      </c>
      <c r="AA23" s="26"/>
      <c r="AB23" s="106" t="s">
        <v>84</v>
      </c>
      <c r="AC23" s="26" t="n">
        <v>450</v>
      </c>
      <c r="AD23" s="87" t="s">
        <v>2092</v>
      </c>
      <c r="AE23" s="26" t="s">
        <v>84</v>
      </c>
      <c r="AF23" s="26" t="s">
        <v>84</v>
      </c>
      <c r="AG23" s="26" t="s">
        <v>84</v>
      </c>
      <c r="AH23" s="26" t="s">
        <v>2093</v>
      </c>
      <c r="AI23" s="26" t="s">
        <v>2094</v>
      </c>
      <c r="AJ23" s="26" t="s">
        <v>2095</v>
      </c>
      <c r="AK23" s="106" t="s">
        <v>2096</v>
      </c>
      <c r="AL23" s="100" t="s">
        <v>2097</v>
      </c>
      <c r="AM23" s="100" t="s">
        <v>1790</v>
      </c>
      <c r="AN23" s="0" t="s">
        <v>2098</v>
      </c>
      <c r="AO23" s="0" t="s">
        <v>2099</v>
      </c>
      <c r="AP23" s="8"/>
      <c r="AQ23" s="34"/>
    </row>
    <row r="24" customFormat="false" ht="14.25" hidden="false" customHeight="false" outlineLevel="0" collapsed="false">
      <c r="A24" s="101" t="s">
        <v>2100</v>
      </c>
      <c r="B24" s="0" t="n">
        <v>1</v>
      </c>
      <c r="C24" s="26" t="s">
        <v>401</v>
      </c>
      <c r="D24" s="0" t="n">
        <v>2237</v>
      </c>
      <c r="E24" s="26" t="n">
        <v>2237</v>
      </c>
      <c r="F24" s="26" t="s">
        <v>67</v>
      </c>
      <c r="G24" s="87" t="s">
        <v>2101</v>
      </c>
      <c r="H24" s="87" t="s">
        <v>525</v>
      </c>
      <c r="I24" s="88" t="s">
        <v>2102</v>
      </c>
      <c r="J24" s="87" t="s">
        <v>2103</v>
      </c>
      <c r="K24" s="87" t="s">
        <v>2104</v>
      </c>
      <c r="L24" s="88" t="s">
        <v>2105</v>
      </c>
      <c r="M24" s="87" t="s">
        <v>2106</v>
      </c>
      <c r="N24" s="26" t="s">
        <v>84</v>
      </c>
      <c r="O24" s="26" t="s">
        <v>84</v>
      </c>
      <c r="P24" s="26" t="s">
        <v>84</v>
      </c>
      <c r="Q24" s="26" t="s">
        <v>84</v>
      </c>
      <c r="R24" s="72" t="s">
        <v>2107</v>
      </c>
      <c r="S24" s="26" t="s">
        <v>84</v>
      </c>
      <c r="T24" s="26" t="s">
        <v>84</v>
      </c>
      <c r="U24" s="26" t="s">
        <v>84</v>
      </c>
      <c r="V24" s="26"/>
      <c r="W24" s="87" t="s">
        <v>2108</v>
      </c>
      <c r="X24" s="26" t="s">
        <v>84</v>
      </c>
      <c r="Y24" s="26" t="s">
        <v>84</v>
      </c>
      <c r="Z24" s="26" t="s">
        <v>84</v>
      </c>
      <c r="AA24" s="26"/>
      <c r="AB24" s="106" t="s">
        <v>84</v>
      </c>
      <c r="AC24" s="87" t="s">
        <v>2109</v>
      </c>
      <c r="AD24" s="87" t="s">
        <v>2110</v>
      </c>
      <c r="AE24" s="87" t="s">
        <v>2111</v>
      </c>
      <c r="AF24" s="87" t="s">
        <v>2112</v>
      </c>
      <c r="AG24" s="87" t="s">
        <v>2113</v>
      </c>
      <c r="AH24" s="87" t="s">
        <v>2114</v>
      </c>
      <c r="AI24" s="87" t="s">
        <v>2115</v>
      </c>
      <c r="AJ24" s="87" t="s">
        <v>2116</v>
      </c>
      <c r="AK24" s="88" t="s">
        <v>2117</v>
      </c>
      <c r="AL24" s="89" t="s">
        <v>2118</v>
      </c>
      <c r="AM24" s="89" t="s">
        <v>1774</v>
      </c>
      <c r="AN24" s="0" t="s">
        <v>2119</v>
      </c>
      <c r="AO24" s="0" t="s">
        <v>2120</v>
      </c>
    </row>
    <row r="25" customFormat="false" ht="14.25" hidden="false" customHeight="false" outlineLevel="0" collapsed="false">
      <c r="A25" s="96" t="s">
        <v>2121</v>
      </c>
      <c r="B25" s="0" t="n">
        <v>1</v>
      </c>
      <c r="C25" s="26" t="n">
        <v>1999</v>
      </c>
      <c r="D25" s="0" t="n">
        <v>16</v>
      </c>
      <c r="E25" s="26" t="n">
        <v>19</v>
      </c>
      <c r="F25" s="26" t="s">
        <v>114</v>
      </c>
      <c r="G25" s="87" t="s">
        <v>2122</v>
      </c>
      <c r="H25" s="87" t="s">
        <v>2123</v>
      </c>
      <c r="I25" s="88" t="s">
        <v>2124</v>
      </c>
      <c r="J25" s="87" t="s">
        <v>2125</v>
      </c>
      <c r="K25" s="87" t="s">
        <v>84</v>
      </c>
      <c r="L25" s="88" t="s">
        <v>84</v>
      </c>
      <c r="M25" s="87" t="s">
        <v>84</v>
      </c>
      <c r="N25" s="87" t="s">
        <v>84</v>
      </c>
      <c r="O25" s="87" t="s">
        <v>84</v>
      </c>
      <c r="P25" s="87" t="s">
        <v>84</v>
      </c>
      <c r="Q25" s="87" t="s">
        <v>84</v>
      </c>
      <c r="R25" s="87" t="s">
        <v>84</v>
      </c>
      <c r="S25" s="87" t="s">
        <v>84</v>
      </c>
      <c r="T25" s="87" t="s">
        <v>84</v>
      </c>
      <c r="U25" s="87" t="s">
        <v>84</v>
      </c>
      <c r="W25" s="87" t="s">
        <v>84</v>
      </c>
      <c r="X25" s="87" t="s">
        <v>84</v>
      </c>
      <c r="Y25" s="87" t="s">
        <v>84</v>
      </c>
      <c r="Z25" s="87" t="s">
        <v>84</v>
      </c>
      <c r="AB25" s="88" t="s">
        <v>84</v>
      </c>
      <c r="AC25" s="87" t="s">
        <v>2126</v>
      </c>
      <c r="AD25" s="98" t="s">
        <v>2127</v>
      </c>
      <c r="AE25" s="98" t="s">
        <v>2128</v>
      </c>
      <c r="AF25" s="98" t="s">
        <v>2129</v>
      </c>
      <c r="AG25" s="98" t="s">
        <v>2130</v>
      </c>
      <c r="AH25" s="98" t="s">
        <v>2131</v>
      </c>
      <c r="AI25" s="98" t="s">
        <v>2132</v>
      </c>
      <c r="AJ25" s="98" t="s">
        <v>2133</v>
      </c>
      <c r="AK25" s="99" t="s">
        <v>2134</v>
      </c>
      <c r="AL25" s="89" t="s">
        <v>2135</v>
      </c>
      <c r="AM25" s="89" t="s">
        <v>1774</v>
      </c>
      <c r="AN25" s="0" t="s">
        <v>2136</v>
      </c>
      <c r="AO25" s="0" t="s">
        <v>2137</v>
      </c>
    </row>
    <row r="26" customFormat="false" ht="14.25" hidden="false" customHeight="false" outlineLevel="0" collapsed="false">
      <c r="A26" s="107"/>
      <c r="AD26" s="108"/>
      <c r="AE26" s="108"/>
      <c r="AF26" s="108"/>
      <c r="AG26" s="108"/>
      <c r="AH26" s="108"/>
      <c r="AI26" s="108"/>
      <c r="AJ26" s="108"/>
      <c r="AK26" s="109"/>
    </row>
    <row r="27" customFormat="false" ht="14.25" hidden="false" customHeight="false" outlineLevel="0" collapsed="false">
      <c r="A27" s="86" t="s">
        <v>2138</v>
      </c>
      <c r="B27" s="0" t="n">
        <v>1</v>
      </c>
      <c r="C27" s="26" t="s">
        <v>571</v>
      </c>
      <c r="E27" s="97" t="n">
        <v>1438</v>
      </c>
      <c r="F27" s="26" t="s">
        <v>2139</v>
      </c>
      <c r="AM27" s="89" t="s">
        <v>1774</v>
      </c>
      <c r="AN27" s="0" t="s">
        <v>2140</v>
      </c>
    </row>
    <row r="28" customFormat="false" ht="14.25" hidden="false" customHeight="false" outlineLevel="0" collapsed="false">
      <c r="A28" s="0" t="s">
        <v>2141</v>
      </c>
      <c r="B28" s="0" t="n">
        <v>2</v>
      </c>
      <c r="E28" s="26" t="n">
        <v>139</v>
      </c>
      <c r="G28" s="87" t="s">
        <v>2142</v>
      </c>
      <c r="H28" s="87" t="s">
        <v>583</v>
      </c>
      <c r="AN28" s="0" t="s">
        <v>2143</v>
      </c>
    </row>
    <row r="29" customFormat="false" ht="14.25" hidden="false" customHeight="false" outlineLevel="0" collapsed="false">
      <c r="A29" s="0" t="s">
        <v>2144</v>
      </c>
      <c r="B29" s="0" t="n">
        <v>2</v>
      </c>
      <c r="G29" s="87" t="s">
        <v>2145</v>
      </c>
      <c r="H29" s="87" t="s">
        <v>582</v>
      </c>
    </row>
    <row r="30" customFormat="false" ht="14.25" hidden="false" customHeight="false" outlineLevel="0" collapsed="false">
      <c r="A30" s="0" t="s">
        <v>2146</v>
      </c>
      <c r="B30" s="0" t="n">
        <v>2</v>
      </c>
      <c r="G30" s="87" t="s">
        <v>2147</v>
      </c>
      <c r="H30" s="87" t="s">
        <v>2148</v>
      </c>
    </row>
    <row r="31" customFormat="false" ht="14.25" hidden="false" customHeight="false" outlineLevel="0" collapsed="false">
      <c r="A31" s="0" t="s">
        <v>2149</v>
      </c>
      <c r="B31" s="0" t="n">
        <v>2</v>
      </c>
      <c r="G31" s="87" t="s">
        <v>2150</v>
      </c>
      <c r="H31" s="87" t="s">
        <v>2151</v>
      </c>
    </row>
    <row r="32" customFormat="false" ht="14.25" hidden="false" customHeight="false" outlineLevel="0" collapsed="false">
      <c r="A32" s="0" t="s">
        <v>2152</v>
      </c>
      <c r="B32" s="0" t="n">
        <v>2</v>
      </c>
      <c r="G32" s="87" t="s">
        <v>2153</v>
      </c>
      <c r="H32" s="87" t="s">
        <v>2154</v>
      </c>
    </row>
    <row r="33" customFormat="false" ht="14.25" hidden="false" customHeight="false" outlineLevel="0" collapsed="false">
      <c r="A33" s="0" t="s">
        <v>2155</v>
      </c>
      <c r="B33" s="0" t="n">
        <v>2</v>
      </c>
      <c r="G33" s="87" t="s">
        <v>2156</v>
      </c>
      <c r="H33" s="87" t="s">
        <v>581</v>
      </c>
    </row>
    <row r="35" customFormat="false" ht="14.25" hidden="false" customHeight="false" outlineLevel="0" collapsed="false">
      <c r="A35" s="101" t="s">
        <v>2157</v>
      </c>
      <c r="B35" s="0" t="n">
        <v>1</v>
      </c>
      <c r="C35" s="26" t="s">
        <v>605</v>
      </c>
      <c r="D35" s="0" t="n">
        <v>2909</v>
      </c>
      <c r="E35" s="26" t="n">
        <v>3930</v>
      </c>
      <c r="F35" s="26" t="s">
        <v>67</v>
      </c>
      <c r="G35" s="87" t="s">
        <v>2158</v>
      </c>
      <c r="H35" s="87" t="s">
        <v>610</v>
      </c>
      <c r="I35" s="88" t="s">
        <v>2159</v>
      </c>
      <c r="J35" s="87" t="s">
        <v>2160</v>
      </c>
      <c r="K35" s="87" t="s">
        <v>2161</v>
      </c>
      <c r="L35" s="88" t="s">
        <v>2162</v>
      </c>
      <c r="M35" s="87" t="s">
        <v>2163</v>
      </c>
      <c r="N35" s="87" t="s">
        <v>84</v>
      </c>
      <c r="O35" s="87" t="s">
        <v>84</v>
      </c>
      <c r="P35" s="87" t="s">
        <v>84</v>
      </c>
      <c r="Q35" s="87" t="s">
        <v>84</v>
      </c>
      <c r="R35" s="87" t="s">
        <v>84</v>
      </c>
      <c r="S35" s="87" t="s">
        <v>84</v>
      </c>
      <c r="T35" s="87" t="s">
        <v>2164</v>
      </c>
      <c r="U35" s="87" t="s">
        <v>2165</v>
      </c>
      <c r="V35" s="87" t="s">
        <v>2166</v>
      </c>
      <c r="W35" s="87" t="s">
        <v>84</v>
      </c>
      <c r="X35" s="87" t="s">
        <v>84</v>
      </c>
      <c r="Y35" s="87" t="s">
        <v>84</v>
      </c>
      <c r="Z35" s="87" t="s">
        <v>84</v>
      </c>
      <c r="AB35" s="88" t="s">
        <v>84</v>
      </c>
      <c r="AC35" s="87" t="s">
        <v>84</v>
      </c>
      <c r="AD35" s="87" t="s">
        <v>2167</v>
      </c>
      <c r="AE35" s="87" t="s">
        <v>2168</v>
      </c>
      <c r="AF35" s="87" t="s">
        <v>84</v>
      </c>
      <c r="AG35" s="87" t="s">
        <v>2169</v>
      </c>
      <c r="AH35" s="87" t="s">
        <v>2170</v>
      </c>
      <c r="AI35" s="87" t="s">
        <v>2171</v>
      </c>
      <c r="AJ35" s="87" t="s">
        <v>2172</v>
      </c>
      <c r="AK35" s="88" t="s">
        <v>2173</v>
      </c>
      <c r="AL35" s="3" t="s">
        <v>2174</v>
      </c>
      <c r="AM35" s="89" t="s">
        <v>1774</v>
      </c>
      <c r="AN35" s="0" t="s">
        <v>2175</v>
      </c>
      <c r="AO35" s="0" t="s">
        <v>2176</v>
      </c>
      <c r="AP35" s="8"/>
      <c r="AQ35" s="1"/>
    </row>
    <row r="36" customFormat="false" ht="14.25" hidden="false" customHeight="false" outlineLevel="0" collapsed="false">
      <c r="A36" s="96" t="s">
        <v>2177</v>
      </c>
      <c r="B36" s="0" t="n">
        <v>1</v>
      </c>
      <c r="C36" s="26" t="n">
        <v>2021</v>
      </c>
      <c r="D36" s="0" t="n">
        <v>106</v>
      </c>
      <c r="E36" s="97" t="n">
        <v>106</v>
      </c>
      <c r="F36" s="26" t="s">
        <v>67</v>
      </c>
      <c r="G36" s="87" t="s">
        <v>2178</v>
      </c>
      <c r="H36" s="87" t="s">
        <v>651</v>
      </c>
      <c r="I36" s="88" t="s">
        <v>2179</v>
      </c>
      <c r="J36" s="87" t="s">
        <v>2180</v>
      </c>
      <c r="K36" s="87" t="s">
        <v>84</v>
      </c>
      <c r="L36" s="88" t="s">
        <v>84</v>
      </c>
      <c r="M36" s="87" t="s">
        <v>84</v>
      </c>
      <c r="N36" s="87" t="s">
        <v>84</v>
      </c>
      <c r="O36" s="87" t="s">
        <v>84</v>
      </c>
      <c r="P36" s="87" t="s">
        <v>84</v>
      </c>
      <c r="Q36" s="87" t="s">
        <v>84</v>
      </c>
      <c r="R36" s="87" t="s">
        <v>84</v>
      </c>
      <c r="S36" s="87" t="s">
        <v>84</v>
      </c>
      <c r="T36" s="87" t="s">
        <v>84</v>
      </c>
      <c r="U36" s="87" t="s">
        <v>84</v>
      </c>
      <c r="V36" s="87" t="s">
        <v>84</v>
      </c>
      <c r="W36" s="87" t="s">
        <v>84</v>
      </c>
      <c r="X36" s="87" t="s">
        <v>84</v>
      </c>
      <c r="Y36" s="87" t="s">
        <v>84</v>
      </c>
      <c r="Z36" s="87" t="s">
        <v>84</v>
      </c>
      <c r="AB36" s="88" t="s">
        <v>84</v>
      </c>
      <c r="AC36" s="87" t="s">
        <v>2181</v>
      </c>
      <c r="AD36" s="98" t="s">
        <v>2182</v>
      </c>
      <c r="AE36" s="98" t="s">
        <v>2183</v>
      </c>
      <c r="AF36" s="87" t="s">
        <v>2184</v>
      </c>
      <c r="AG36" s="87" t="s">
        <v>2185</v>
      </c>
      <c r="AH36" s="87" t="s">
        <v>2186</v>
      </c>
      <c r="AI36" s="87" t="s">
        <v>2187</v>
      </c>
      <c r="AJ36" s="98" t="s">
        <v>2188</v>
      </c>
      <c r="AK36" s="99" t="s">
        <v>2189</v>
      </c>
      <c r="AL36" s="3" t="s">
        <v>2190</v>
      </c>
      <c r="AM36" s="89" t="s">
        <v>1774</v>
      </c>
      <c r="AN36" s="0" t="s">
        <v>2191</v>
      </c>
      <c r="AO36" s="56" t="s">
        <v>2192</v>
      </c>
      <c r="AP36" s="1"/>
    </row>
    <row r="37" customFormat="false" ht="14.25" hidden="false" customHeight="false" outlineLevel="0" collapsed="false">
      <c r="A37" s="101" t="s">
        <v>1679</v>
      </c>
      <c r="B37" s="0" t="n">
        <v>1</v>
      </c>
      <c r="C37" s="26" t="n">
        <v>2019</v>
      </c>
      <c r="D37" s="0" t="n">
        <v>76</v>
      </c>
      <c r="E37" s="97" t="n">
        <v>76</v>
      </c>
      <c r="F37" s="26" t="s">
        <v>2193</v>
      </c>
      <c r="G37" s="87" t="s">
        <v>663</v>
      </c>
      <c r="H37" s="87" t="s">
        <v>664</v>
      </c>
      <c r="I37" s="88" t="s">
        <v>84</v>
      </c>
      <c r="J37" s="87" t="s">
        <v>84</v>
      </c>
      <c r="K37" s="87" t="s">
        <v>84</v>
      </c>
      <c r="L37" s="88" t="s">
        <v>84</v>
      </c>
      <c r="M37" s="87" t="s">
        <v>84</v>
      </c>
      <c r="N37" s="87" t="s">
        <v>84</v>
      </c>
      <c r="O37" s="87" t="s">
        <v>84</v>
      </c>
      <c r="P37" s="87" t="s">
        <v>84</v>
      </c>
      <c r="Q37" s="87" t="s">
        <v>84</v>
      </c>
      <c r="R37" s="87" t="s">
        <v>84</v>
      </c>
      <c r="S37" s="87" t="s">
        <v>84</v>
      </c>
      <c r="T37" s="87" t="s">
        <v>84</v>
      </c>
      <c r="U37" s="87" t="s">
        <v>84</v>
      </c>
      <c r="V37" s="87" t="s">
        <v>84</v>
      </c>
      <c r="W37" s="87" t="s">
        <v>84</v>
      </c>
      <c r="X37" s="87" t="s">
        <v>84</v>
      </c>
      <c r="Y37" s="87" t="s">
        <v>84</v>
      </c>
      <c r="Z37" s="87" t="s">
        <v>84</v>
      </c>
      <c r="AB37" s="88" t="s">
        <v>84</v>
      </c>
      <c r="AC37" s="87" t="s">
        <v>84</v>
      </c>
      <c r="AD37" s="87" t="s">
        <v>84</v>
      </c>
      <c r="AE37" s="87" t="s">
        <v>84</v>
      </c>
      <c r="AF37" s="87" t="s">
        <v>84</v>
      </c>
      <c r="AG37" s="87" t="s">
        <v>84</v>
      </c>
      <c r="AH37" s="87" t="s">
        <v>84</v>
      </c>
      <c r="AI37" s="87" t="s">
        <v>84</v>
      </c>
      <c r="AJ37" s="87" t="s">
        <v>84</v>
      </c>
      <c r="AK37" s="88" t="s">
        <v>84</v>
      </c>
      <c r="AL37" s="89" t="s">
        <v>2194</v>
      </c>
      <c r="AM37" s="89" t="s">
        <v>1790</v>
      </c>
      <c r="AN37" s="0" t="s">
        <v>2195</v>
      </c>
      <c r="AO37" s="56" t="s">
        <v>2196</v>
      </c>
      <c r="AP37" s="1"/>
    </row>
    <row r="38" customFormat="false" ht="14.25" hidden="false" customHeight="false" outlineLevel="0" collapsed="false">
      <c r="A38" s="101" t="s">
        <v>1680</v>
      </c>
      <c r="B38" s="0" t="n">
        <v>1</v>
      </c>
      <c r="C38" s="26" t="s">
        <v>674</v>
      </c>
      <c r="D38" s="0" t="n">
        <v>3672</v>
      </c>
      <c r="E38" s="97" t="n">
        <v>3982</v>
      </c>
      <c r="F38" s="26" t="s">
        <v>67</v>
      </c>
      <c r="G38" s="87" t="s">
        <v>2197</v>
      </c>
      <c r="H38" s="87" t="s">
        <v>2198</v>
      </c>
      <c r="I38" s="88" t="s">
        <v>2199</v>
      </c>
      <c r="J38" s="110" t="s">
        <v>2200</v>
      </c>
      <c r="K38" s="110" t="s">
        <v>2200</v>
      </c>
      <c r="L38" s="111" t="s">
        <v>2200</v>
      </c>
      <c r="M38" s="87" t="s">
        <v>84</v>
      </c>
      <c r="N38" s="87" t="s">
        <v>84</v>
      </c>
      <c r="O38" s="87" t="s">
        <v>84</v>
      </c>
      <c r="P38" s="87" t="s">
        <v>84</v>
      </c>
      <c r="Q38" s="87" t="s">
        <v>84</v>
      </c>
      <c r="R38" s="87" t="s">
        <v>84</v>
      </c>
      <c r="S38" s="87" t="s">
        <v>84</v>
      </c>
      <c r="T38" s="87" t="s">
        <v>84</v>
      </c>
      <c r="U38" s="87" t="s">
        <v>84</v>
      </c>
      <c r="V38" s="87" t="s">
        <v>84</v>
      </c>
      <c r="W38" s="87" t="s">
        <v>84</v>
      </c>
      <c r="X38" s="87" t="s">
        <v>84</v>
      </c>
      <c r="Y38" s="87" t="s">
        <v>84</v>
      </c>
      <c r="Z38" s="87" t="s">
        <v>84</v>
      </c>
      <c r="AB38" s="88" t="s">
        <v>84</v>
      </c>
      <c r="AC38" s="87" t="s">
        <v>84</v>
      </c>
      <c r="AD38" s="87" t="s">
        <v>2201</v>
      </c>
      <c r="AE38" s="87" t="s">
        <v>84</v>
      </c>
      <c r="AF38" s="87" t="s">
        <v>84</v>
      </c>
      <c r="AG38" s="87" t="s">
        <v>84</v>
      </c>
      <c r="AH38" s="87" t="s">
        <v>84</v>
      </c>
      <c r="AI38" s="87" t="s">
        <v>84</v>
      </c>
      <c r="AJ38" s="87" t="s">
        <v>84</v>
      </c>
      <c r="AK38" s="88" t="s">
        <v>84</v>
      </c>
      <c r="AL38" s="89" t="s">
        <v>2202</v>
      </c>
      <c r="AM38" s="89" t="s">
        <v>1774</v>
      </c>
      <c r="AN38" s="0" t="s">
        <v>2203</v>
      </c>
      <c r="AO38" s="8" t="s">
        <v>2204</v>
      </c>
      <c r="AP38" s="1"/>
    </row>
    <row r="39" customFormat="false" ht="14.25" hidden="false" customHeight="false" outlineLevel="0" collapsed="false">
      <c r="A39" s="96" t="s">
        <v>1681</v>
      </c>
      <c r="B39" s="0" t="n">
        <v>1</v>
      </c>
      <c r="C39" s="26" t="n">
        <v>2018</v>
      </c>
      <c r="D39" s="0" t="n">
        <v>1983</v>
      </c>
      <c r="E39" s="97" t="n">
        <v>1983</v>
      </c>
      <c r="F39" s="26" t="s">
        <v>2205</v>
      </c>
      <c r="G39" s="87" t="s">
        <v>2206</v>
      </c>
      <c r="H39" s="87" t="s">
        <v>688</v>
      </c>
      <c r="I39" s="88" t="s">
        <v>2207</v>
      </c>
      <c r="J39" s="87" t="s">
        <v>2208</v>
      </c>
      <c r="K39" s="112" t="s">
        <v>2209</v>
      </c>
      <c r="L39" s="88" t="s">
        <v>84</v>
      </c>
      <c r="M39" s="87" t="s">
        <v>2210</v>
      </c>
      <c r="N39" s="87" t="s">
        <v>84</v>
      </c>
      <c r="O39" s="87" t="s">
        <v>84</v>
      </c>
      <c r="P39" s="87" t="s">
        <v>84</v>
      </c>
      <c r="Q39" s="87" t="s">
        <v>84</v>
      </c>
      <c r="R39" s="87" t="s">
        <v>84</v>
      </c>
      <c r="S39" s="87" t="s">
        <v>84</v>
      </c>
      <c r="T39" s="87" t="s">
        <v>84</v>
      </c>
      <c r="U39" s="87" t="s">
        <v>84</v>
      </c>
      <c r="V39" s="87" t="s">
        <v>84</v>
      </c>
      <c r="W39" s="87" t="s">
        <v>84</v>
      </c>
      <c r="X39" s="87" t="s">
        <v>84</v>
      </c>
      <c r="Y39" s="87" t="s">
        <v>84</v>
      </c>
      <c r="Z39" s="87" t="s">
        <v>84</v>
      </c>
      <c r="AB39" s="88" t="s">
        <v>84</v>
      </c>
      <c r="AC39" s="98" t="s">
        <v>2211</v>
      </c>
      <c r="AD39" s="98" t="s">
        <v>2212</v>
      </c>
      <c r="AE39" s="87" t="s">
        <v>2213</v>
      </c>
      <c r="AF39" s="87" t="s">
        <v>2214</v>
      </c>
      <c r="AG39" s="87" t="s">
        <v>2215</v>
      </c>
      <c r="AH39" s="98" t="s">
        <v>2216</v>
      </c>
      <c r="AI39" s="98" t="s">
        <v>2217</v>
      </c>
      <c r="AJ39" s="98" t="s">
        <v>2218</v>
      </c>
      <c r="AK39" s="99" t="s">
        <v>2219</v>
      </c>
      <c r="AL39" s="89" t="s">
        <v>2202</v>
      </c>
      <c r="AM39" s="89" t="s">
        <v>1790</v>
      </c>
      <c r="AN39" s="0" t="s">
        <v>2220</v>
      </c>
      <c r="AO39" s="1" t="s">
        <v>2221</v>
      </c>
    </row>
    <row r="40" customFormat="false" ht="14.25" hidden="false" customHeight="false" outlineLevel="0" collapsed="false">
      <c r="A40" s="101" t="s">
        <v>1682</v>
      </c>
      <c r="B40" s="0" t="n">
        <v>1</v>
      </c>
      <c r="C40" s="26" t="s">
        <v>703</v>
      </c>
      <c r="D40" s="0" t="n">
        <v>5804</v>
      </c>
      <c r="E40" s="97" t="s">
        <v>2222</v>
      </c>
      <c r="F40" s="26" t="s">
        <v>114</v>
      </c>
      <c r="G40" s="87" t="s">
        <v>2223</v>
      </c>
      <c r="H40" s="87" t="s">
        <v>2224</v>
      </c>
      <c r="I40" s="88" t="s">
        <v>2225</v>
      </c>
      <c r="J40" s="87" t="s">
        <v>2226</v>
      </c>
      <c r="K40" s="87" t="s">
        <v>2227</v>
      </c>
      <c r="L40" s="88" t="s">
        <v>84</v>
      </c>
      <c r="M40" s="87" t="s">
        <v>2228</v>
      </c>
      <c r="N40" s="87" t="s">
        <v>84</v>
      </c>
      <c r="O40" s="87" t="s">
        <v>2229</v>
      </c>
      <c r="P40" s="87" t="s">
        <v>2230</v>
      </c>
      <c r="Q40" s="87" t="s">
        <v>84</v>
      </c>
      <c r="R40" s="87" t="s">
        <v>84</v>
      </c>
      <c r="S40" s="87" t="s">
        <v>84</v>
      </c>
      <c r="T40" s="87" t="s">
        <v>2231</v>
      </c>
      <c r="U40" s="87" t="s">
        <v>84</v>
      </c>
      <c r="V40" s="87" t="s">
        <v>84</v>
      </c>
      <c r="W40" s="87" t="s">
        <v>84</v>
      </c>
      <c r="X40" s="87" t="s">
        <v>84</v>
      </c>
      <c r="Y40" s="87" t="s">
        <v>84</v>
      </c>
      <c r="Z40" s="87" t="s">
        <v>2232</v>
      </c>
      <c r="AB40" s="88" t="s">
        <v>84</v>
      </c>
      <c r="AC40" s="87" t="s">
        <v>2233</v>
      </c>
      <c r="AD40" s="87" t="s">
        <v>2234</v>
      </c>
      <c r="AE40" s="87" t="s">
        <v>2235</v>
      </c>
      <c r="AF40" s="87" t="s">
        <v>2236</v>
      </c>
      <c r="AG40" s="87" t="s">
        <v>2237</v>
      </c>
      <c r="AH40" s="87" t="s">
        <v>2238</v>
      </c>
      <c r="AI40" s="87" t="s">
        <v>2239</v>
      </c>
      <c r="AJ40" s="87" t="s">
        <v>2240</v>
      </c>
      <c r="AK40" s="88" t="s">
        <v>2241</v>
      </c>
      <c r="AL40" s="89" t="s">
        <v>2242</v>
      </c>
      <c r="AM40" s="89" t="s">
        <v>1774</v>
      </c>
      <c r="AN40" s="0" t="s">
        <v>2243</v>
      </c>
      <c r="AO40" s="8" t="s">
        <v>2244</v>
      </c>
      <c r="AP40" s="1"/>
    </row>
    <row r="41" customFormat="false" ht="14.25" hidden="false" customHeight="false" outlineLevel="0" collapsed="false">
      <c r="A41" s="101" t="s">
        <v>1683</v>
      </c>
      <c r="B41" s="0" t="n">
        <v>1</v>
      </c>
      <c r="C41" s="26" t="n">
        <v>2018</v>
      </c>
      <c r="D41" s="0" t="n">
        <v>32</v>
      </c>
      <c r="E41" s="97" t="n">
        <v>32</v>
      </c>
      <c r="F41" s="26" t="s">
        <v>67</v>
      </c>
      <c r="G41" s="87" t="s">
        <v>2245</v>
      </c>
      <c r="H41" s="87" t="s">
        <v>776</v>
      </c>
      <c r="I41" s="88" t="s">
        <v>2246</v>
      </c>
      <c r="J41" s="87" t="s">
        <v>2247</v>
      </c>
      <c r="K41" s="87" t="s">
        <v>84</v>
      </c>
      <c r="L41" s="88" t="s">
        <v>2248</v>
      </c>
      <c r="M41" s="87" t="s">
        <v>84</v>
      </c>
      <c r="N41" s="87" t="s">
        <v>84</v>
      </c>
      <c r="O41" s="87" t="s">
        <v>84</v>
      </c>
      <c r="P41" s="87" t="s">
        <v>84</v>
      </c>
      <c r="Q41" s="87" t="s">
        <v>84</v>
      </c>
      <c r="R41" s="87" t="s">
        <v>84</v>
      </c>
      <c r="S41" s="87" t="s">
        <v>84</v>
      </c>
      <c r="T41" s="87" t="s">
        <v>84</v>
      </c>
      <c r="U41" s="87" t="s">
        <v>84</v>
      </c>
      <c r="V41" s="87" t="s">
        <v>84</v>
      </c>
      <c r="W41" s="87" t="s">
        <v>84</v>
      </c>
      <c r="X41" s="87" t="s">
        <v>84</v>
      </c>
      <c r="Y41" s="87" t="s">
        <v>84</v>
      </c>
      <c r="Z41" s="87" t="s">
        <v>84</v>
      </c>
      <c r="AB41" s="88" t="s">
        <v>84</v>
      </c>
      <c r="AC41" s="87" t="s">
        <v>84</v>
      </c>
      <c r="AD41" s="87" t="s">
        <v>84</v>
      </c>
      <c r="AE41" s="87" t="s">
        <v>2249</v>
      </c>
      <c r="AF41" s="87" t="s">
        <v>84</v>
      </c>
      <c r="AG41" s="87" t="s">
        <v>84</v>
      </c>
      <c r="AH41" s="87" t="s">
        <v>84</v>
      </c>
      <c r="AI41" s="87" t="s">
        <v>84</v>
      </c>
      <c r="AJ41" s="87" t="s">
        <v>84</v>
      </c>
      <c r="AK41" s="88" t="s">
        <v>2250</v>
      </c>
      <c r="AL41" s="89" t="s">
        <v>2251</v>
      </c>
      <c r="AM41" s="89" t="s">
        <v>1790</v>
      </c>
      <c r="AN41" s="0" t="s">
        <v>2252</v>
      </c>
      <c r="AO41" s="8" t="s">
        <v>2253</v>
      </c>
      <c r="AP41" s="1"/>
    </row>
    <row r="42" customFormat="false" ht="14.25" hidden="false" customHeight="false" outlineLevel="0" collapsed="false">
      <c r="A42" s="101" t="s">
        <v>2254</v>
      </c>
      <c r="B42" s="0" t="n">
        <v>1</v>
      </c>
      <c r="C42" s="26" t="s">
        <v>2255</v>
      </c>
      <c r="D42" s="0" t="n">
        <v>122</v>
      </c>
      <c r="E42" s="97" t="n">
        <v>197</v>
      </c>
      <c r="F42" s="26" t="s">
        <v>114</v>
      </c>
      <c r="G42" s="87" t="s">
        <v>2256</v>
      </c>
      <c r="H42" s="87" t="s">
        <v>2257</v>
      </c>
      <c r="I42" s="88" t="s">
        <v>84</v>
      </c>
      <c r="J42" s="87" t="s">
        <v>84</v>
      </c>
      <c r="K42" s="87" t="s">
        <v>84</v>
      </c>
      <c r="L42" s="88" t="s">
        <v>84</v>
      </c>
      <c r="M42" s="87" t="s">
        <v>84</v>
      </c>
      <c r="N42" s="87" t="s">
        <v>84</v>
      </c>
      <c r="O42" s="87" t="s">
        <v>84</v>
      </c>
      <c r="P42" s="87" t="s">
        <v>84</v>
      </c>
      <c r="Q42" s="87" t="s">
        <v>84</v>
      </c>
      <c r="R42" s="87" t="s">
        <v>84</v>
      </c>
      <c r="S42" s="87" t="s">
        <v>84</v>
      </c>
      <c r="T42" s="87" t="s">
        <v>84</v>
      </c>
      <c r="U42" s="87" t="s">
        <v>84</v>
      </c>
      <c r="V42" s="87" t="s">
        <v>84</v>
      </c>
      <c r="W42" s="87" t="s">
        <v>84</v>
      </c>
      <c r="X42" s="87" t="s">
        <v>84</v>
      </c>
      <c r="Y42" s="87" t="s">
        <v>84</v>
      </c>
      <c r="Z42" s="87" t="s">
        <v>84</v>
      </c>
      <c r="AB42" s="88" t="s">
        <v>84</v>
      </c>
      <c r="AC42" s="87" t="s">
        <v>84</v>
      </c>
      <c r="AD42" s="87" t="s">
        <v>84</v>
      </c>
      <c r="AE42" s="87" t="s">
        <v>84</v>
      </c>
      <c r="AF42" s="87" t="s">
        <v>84</v>
      </c>
      <c r="AG42" s="87" t="s">
        <v>84</v>
      </c>
      <c r="AH42" s="87" t="s">
        <v>84</v>
      </c>
      <c r="AI42" s="87" t="s">
        <v>84</v>
      </c>
      <c r="AJ42" s="87" t="s">
        <v>84</v>
      </c>
      <c r="AK42" s="88" t="s">
        <v>84</v>
      </c>
      <c r="AL42" s="89" t="s">
        <v>2258</v>
      </c>
      <c r="AM42" s="89" t="s">
        <v>1774</v>
      </c>
      <c r="AN42" s="0" t="s">
        <v>2259</v>
      </c>
      <c r="AO42" s="8" t="s">
        <v>2260</v>
      </c>
      <c r="AP42" s="13"/>
    </row>
    <row r="43" customFormat="false" ht="14.25" hidden="false" customHeight="false" outlineLevel="0" collapsed="false">
      <c r="A43" s="0" t="s">
        <v>2261</v>
      </c>
      <c r="B43" s="0" t="n">
        <v>2</v>
      </c>
      <c r="E43" s="113"/>
      <c r="AO43" s="8"/>
      <c r="AP43" s="13"/>
    </row>
    <row r="44" customFormat="false" ht="14.25" hidden="false" customHeight="false" outlineLevel="0" collapsed="false">
      <c r="A44" s="0" t="s">
        <v>2262</v>
      </c>
      <c r="B44" s="0" t="n">
        <v>2</v>
      </c>
      <c r="E44" s="113"/>
      <c r="AO44" s="8"/>
      <c r="AP44" s="13"/>
    </row>
    <row r="45" customFormat="false" ht="14.25" hidden="false" customHeight="false" outlineLevel="0" collapsed="false">
      <c r="E45" s="113"/>
      <c r="AO45" s="8"/>
      <c r="AP45" s="13"/>
    </row>
    <row r="46" customFormat="false" ht="14.25" hidden="false" customHeight="false" outlineLevel="0" collapsed="false">
      <c r="A46" s="101" t="s">
        <v>2263</v>
      </c>
      <c r="B46" s="0" t="n">
        <v>1</v>
      </c>
      <c r="C46" s="26" t="s">
        <v>798</v>
      </c>
      <c r="D46" s="0" t="n">
        <v>461</v>
      </c>
      <c r="E46" s="97" t="n">
        <v>453</v>
      </c>
      <c r="F46" s="26" t="s">
        <v>114</v>
      </c>
      <c r="G46" s="87" t="s">
        <v>2264</v>
      </c>
      <c r="H46" s="87" t="s">
        <v>803</v>
      </c>
      <c r="I46" s="88" t="s">
        <v>2265</v>
      </c>
      <c r="J46" s="87" t="s">
        <v>2266</v>
      </c>
      <c r="K46" s="87" t="s">
        <v>2267</v>
      </c>
      <c r="L46" s="88" t="s">
        <v>2268</v>
      </c>
      <c r="M46" s="87" t="s">
        <v>84</v>
      </c>
      <c r="N46" s="87" t="s">
        <v>84</v>
      </c>
      <c r="O46" s="87" t="s">
        <v>84</v>
      </c>
      <c r="P46" s="87" t="s">
        <v>84</v>
      </c>
      <c r="Q46" s="87" t="s">
        <v>84</v>
      </c>
      <c r="R46" s="87" t="s">
        <v>84</v>
      </c>
      <c r="S46" s="87" t="s">
        <v>84</v>
      </c>
      <c r="T46" s="87" t="s">
        <v>84</v>
      </c>
      <c r="U46" s="87" t="s">
        <v>84</v>
      </c>
      <c r="V46" s="87" t="s">
        <v>84</v>
      </c>
      <c r="W46" s="87" t="s">
        <v>84</v>
      </c>
      <c r="X46" s="87" t="s">
        <v>84</v>
      </c>
      <c r="Y46" s="87" t="s">
        <v>84</v>
      </c>
      <c r="Z46" s="87" t="s">
        <v>84</v>
      </c>
      <c r="AB46" s="88" t="s">
        <v>84</v>
      </c>
      <c r="AC46" s="87" t="s">
        <v>2269</v>
      </c>
      <c r="AD46" s="98" t="s">
        <v>2270</v>
      </c>
      <c r="AE46" s="87" t="s">
        <v>2271</v>
      </c>
      <c r="AF46" s="87" t="s">
        <v>2271</v>
      </c>
      <c r="AG46" s="87" t="s">
        <v>2272</v>
      </c>
      <c r="AH46" s="98" t="s">
        <v>2273</v>
      </c>
      <c r="AI46" s="98" t="s">
        <v>2274</v>
      </c>
      <c r="AJ46" s="98" t="s">
        <v>2275</v>
      </c>
      <c r="AK46" s="99" t="s">
        <v>2276</v>
      </c>
      <c r="AM46" s="89" t="s">
        <v>1774</v>
      </c>
      <c r="AN46" s="0" t="s">
        <v>2277</v>
      </c>
      <c r="AO46" s="8"/>
      <c r="AP46" s="1"/>
    </row>
    <row r="47" customFormat="false" ht="14.25" hidden="false" customHeight="false" outlineLevel="0" collapsed="false">
      <c r="A47" s="114"/>
      <c r="E47" s="113"/>
      <c r="AD47" s="108"/>
      <c r="AE47" s="108"/>
      <c r="AF47" s="108"/>
      <c r="AG47" s="108"/>
      <c r="AH47" s="108"/>
      <c r="AI47" s="108"/>
      <c r="AJ47" s="108"/>
      <c r="AK47" s="109"/>
      <c r="AO47" s="8"/>
      <c r="AP47" s="1"/>
    </row>
    <row r="48" customFormat="false" ht="14.25" hidden="false" customHeight="false" outlineLevel="0" collapsed="false">
      <c r="A48" s="101" t="s">
        <v>1684</v>
      </c>
      <c r="B48" s="0" t="n">
        <v>1</v>
      </c>
      <c r="C48" s="26" t="s">
        <v>2278</v>
      </c>
      <c r="D48" s="0" t="n">
        <v>1775</v>
      </c>
      <c r="E48" s="97" t="n">
        <v>1914</v>
      </c>
      <c r="F48" s="26" t="s">
        <v>67</v>
      </c>
      <c r="G48" s="87" t="s">
        <v>2279</v>
      </c>
      <c r="H48" s="72" t="s">
        <v>2280</v>
      </c>
      <c r="I48" s="88" t="s">
        <v>2281</v>
      </c>
      <c r="J48" s="87" t="s">
        <v>84</v>
      </c>
      <c r="K48" s="87" t="s">
        <v>84</v>
      </c>
      <c r="L48" s="88" t="s">
        <v>84</v>
      </c>
      <c r="M48" s="87" t="s">
        <v>2282</v>
      </c>
      <c r="N48" s="87" t="s">
        <v>2283</v>
      </c>
      <c r="O48" s="87" t="s">
        <v>84</v>
      </c>
      <c r="P48" s="87" t="s">
        <v>84</v>
      </c>
      <c r="Q48" s="87" t="s">
        <v>2284</v>
      </c>
      <c r="R48" s="72" t="s">
        <v>2285</v>
      </c>
      <c r="S48" s="87" t="s">
        <v>2286</v>
      </c>
      <c r="T48" s="87" t="s">
        <v>2287</v>
      </c>
      <c r="U48" s="87" t="s">
        <v>2288</v>
      </c>
      <c r="V48" s="87" t="s">
        <v>84</v>
      </c>
      <c r="W48" s="87" t="s">
        <v>84</v>
      </c>
      <c r="X48" s="87" t="s">
        <v>84</v>
      </c>
      <c r="Y48" s="87" t="s">
        <v>84</v>
      </c>
      <c r="Z48" s="87" t="s">
        <v>84</v>
      </c>
      <c r="AB48" s="88" t="s">
        <v>84</v>
      </c>
      <c r="AC48" s="87" t="s">
        <v>84</v>
      </c>
      <c r="AD48" s="87" t="s">
        <v>84</v>
      </c>
      <c r="AE48" s="87" t="s">
        <v>84</v>
      </c>
      <c r="AF48" s="87" t="s">
        <v>84</v>
      </c>
      <c r="AG48" s="87" t="s">
        <v>84</v>
      </c>
      <c r="AH48" s="87" t="s">
        <v>84</v>
      </c>
      <c r="AI48" s="87" t="s">
        <v>84</v>
      </c>
      <c r="AJ48" s="87" t="s">
        <v>84</v>
      </c>
      <c r="AK48" s="88" t="s">
        <v>84</v>
      </c>
      <c r="AL48" s="89" t="s">
        <v>2289</v>
      </c>
      <c r="AM48" s="89" t="s">
        <v>1774</v>
      </c>
      <c r="AN48" s="0" t="s">
        <v>2290</v>
      </c>
      <c r="AO48" s="8" t="s">
        <v>2291</v>
      </c>
      <c r="AP48" s="1"/>
    </row>
    <row r="49" customFormat="false" ht="14.25" hidden="false" customHeight="false" outlineLevel="0" collapsed="false">
      <c r="H49" s="72"/>
      <c r="R49" s="72"/>
      <c r="AO49" s="8"/>
      <c r="AP49" s="1"/>
    </row>
    <row r="50" customFormat="false" ht="14.25" hidden="false" customHeight="false" outlineLevel="0" collapsed="false">
      <c r="A50" s="96" t="s">
        <v>1685</v>
      </c>
      <c r="B50" s="0" t="n">
        <v>1</v>
      </c>
      <c r="C50" s="26" t="s">
        <v>798</v>
      </c>
      <c r="D50" s="0" t="n">
        <v>25</v>
      </c>
      <c r="E50" s="97" t="n">
        <v>25</v>
      </c>
      <c r="F50" s="26" t="s">
        <v>114</v>
      </c>
      <c r="G50" s="87" t="s">
        <v>2292</v>
      </c>
      <c r="H50" s="87" t="s">
        <v>840</v>
      </c>
      <c r="I50" s="88" t="s">
        <v>2293</v>
      </c>
      <c r="J50" s="87" t="s">
        <v>2294</v>
      </c>
      <c r="K50" s="87" t="s">
        <v>84</v>
      </c>
      <c r="L50" s="88" t="s">
        <v>84</v>
      </c>
      <c r="M50" s="87" t="s">
        <v>2295</v>
      </c>
      <c r="N50" s="87" t="s">
        <v>84</v>
      </c>
      <c r="O50" s="87" t="s">
        <v>84</v>
      </c>
      <c r="P50" s="87" t="s">
        <v>84</v>
      </c>
      <c r="Q50" s="87" t="s">
        <v>84</v>
      </c>
      <c r="R50" s="87" t="s">
        <v>84</v>
      </c>
      <c r="S50" s="87" t="s">
        <v>84</v>
      </c>
      <c r="T50" s="87" t="s">
        <v>84</v>
      </c>
      <c r="U50" s="87" t="s">
        <v>84</v>
      </c>
      <c r="V50" s="87" t="s">
        <v>84</v>
      </c>
      <c r="W50" s="87" t="s">
        <v>84</v>
      </c>
      <c r="X50" s="87" t="s">
        <v>84</v>
      </c>
      <c r="Y50" s="87" t="s">
        <v>84</v>
      </c>
      <c r="Z50" s="87" t="s">
        <v>84</v>
      </c>
      <c r="AB50" s="88" t="s">
        <v>84</v>
      </c>
      <c r="AC50" s="98" t="s">
        <v>2296</v>
      </c>
      <c r="AD50" s="87" t="s">
        <v>2297</v>
      </c>
      <c r="AE50" s="98" t="s">
        <v>2298</v>
      </c>
      <c r="AF50" s="87" t="s">
        <v>2299</v>
      </c>
      <c r="AG50" s="87" t="s">
        <v>2300</v>
      </c>
      <c r="AH50" s="87" t="s">
        <v>2301</v>
      </c>
      <c r="AI50" s="87" t="s">
        <v>2302</v>
      </c>
      <c r="AJ50" s="87" t="s">
        <v>2303</v>
      </c>
      <c r="AK50" s="88" t="s">
        <v>2304</v>
      </c>
      <c r="AL50" s="3" t="s">
        <v>2305</v>
      </c>
      <c r="AM50" s="89" t="s">
        <v>1790</v>
      </c>
      <c r="AN50" s="87" t="s">
        <v>84</v>
      </c>
      <c r="AO50" s="8" t="s">
        <v>2306</v>
      </c>
      <c r="AP50" s="1"/>
    </row>
    <row r="51" customFormat="false" ht="14.25" hidden="false" customHeight="false" outlineLevel="0" collapsed="false">
      <c r="AL51" s="3"/>
      <c r="AN51" s="87"/>
      <c r="AO51" s="8"/>
      <c r="AP51" s="1"/>
    </row>
    <row r="52" customFormat="false" ht="14.25" hidden="false" customHeight="false" outlineLevel="0" collapsed="false">
      <c r="A52" s="0" t="s">
        <v>2307</v>
      </c>
      <c r="AL52" s="3"/>
      <c r="AN52" s="87"/>
      <c r="AO52" s="8"/>
      <c r="AP52" s="1"/>
    </row>
    <row r="53" customFormat="false" ht="14.25" hidden="false" customHeight="false" outlineLevel="0" collapsed="false">
      <c r="AL53" s="3"/>
      <c r="AN53" s="87"/>
      <c r="AO53" s="8"/>
      <c r="AP53" s="1"/>
    </row>
    <row r="54" customFormat="false" ht="14.25" hidden="false" customHeight="false" outlineLevel="0" collapsed="false">
      <c r="A54" s="86" t="s">
        <v>1676</v>
      </c>
      <c r="B54" s="0" t="n">
        <v>1</v>
      </c>
      <c r="C54" s="26" t="s">
        <v>857</v>
      </c>
      <c r="D54" s="0" t="n">
        <v>1123</v>
      </c>
      <c r="E54" s="97" t="n">
        <v>2569</v>
      </c>
      <c r="F54" s="26" t="s">
        <v>2308</v>
      </c>
      <c r="K54" s="87" t="s">
        <v>84</v>
      </c>
      <c r="L54" s="115" t="s">
        <v>84</v>
      </c>
      <c r="N54" s="87" t="s">
        <v>84</v>
      </c>
      <c r="O54" s="87" t="s">
        <v>84</v>
      </c>
      <c r="P54" s="87" t="s">
        <v>84</v>
      </c>
      <c r="AM54" s="89" t="s">
        <v>1774</v>
      </c>
      <c r="AO54" s="8"/>
      <c r="AP54" s="13"/>
    </row>
    <row r="55" customFormat="false" ht="14.25" hidden="false" customHeight="false" outlineLevel="0" collapsed="false">
      <c r="A55" s="0" t="s">
        <v>2309</v>
      </c>
      <c r="B55" s="0" t="n">
        <v>2</v>
      </c>
      <c r="C55" s="26" t="s">
        <v>84</v>
      </c>
      <c r="D55" s="0" t="n">
        <v>3164</v>
      </c>
      <c r="E55" s="26" t="s">
        <v>84</v>
      </c>
      <c r="G55" s="87" t="s">
        <v>2310</v>
      </c>
      <c r="H55" s="87" t="s">
        <v>2311</v>
      </c>
      <c r="I55" s="88" t="s">
        <v>84</v>
      </c>
      <c r="J55" s="87" t="s">
        <v>84</v>
      </c>
      <c r="K55" s="87" t="s">
        <v>84</v>
      </c>
      <c r="L55" s="115" t="s">
        <v>84</v>
      </c>
      <c r="M55" s="87" t="s">
        <v>84</v>
      </c>
      <c r="N55" s="87" t="s">
        <v>84</v>
      </c>
      <c r="O55" s="87" t="s">
        <v>84</v>
      </c>
      <c r="P55" s="87" t="s">
        <v>84</v>
      </c>
      <c r="R55" s="87" t="s">
        <v>84</v>
      </c>
      <c r="S55" s="87" t="s">
        <v>84</v>
      </c>
      <c r="T55" s="87" t="s">
        <v>84</v>
      </c>
      <c r="U55" s="87" t="s">
        <v>84</v>
      </c>
      <c r="V55" s="87" t="s">
        <v>84</v>
      </c>
      <c r="W55" s="87" t="s">
        <v>84</v>
      </c>
      <c r="X55" s="87" t="s">
        <v>84</v>
      </c>
      <c r="Y55" s="87" t="s">
        <v>84</v>
      </c>
      <c r="Z55" s="87" t="s">
        <v>84</v>
      </c>
      <c r="AA55" s="87" t="s">
        <v>84</v>
      </c>
      <c r="AB55" s="87" t="s">
        <v>84</v>
      </c>
      <c r="AD55" s="87" t="s">
        <v>84</v>
      </c>
      <c r="AE55" s="87" t="s">
        <v>84</v>
      </c>
      <c r="AF55" s="87" t="s">
        <v>84</v>
      </c>
      <c r="AG55" s="87" t="s">
        <v>84</v>
      </c>
      <c r="AH55" s="87" t="s">
        <v>84</v>
      </c>
      <c r="AI55" s="87" t="s">
        <v>84</v>
      </c>
      <c r="AJ55" s="87" t="s">
        <v>84</v>
      </c>
      <c r="AO55" s="8"/>
      <c r="AP55" s="13"/>
    </row>
    <row r="56" customFormat="false" ht="16.4" hidden="false" customHeight="false" outlineLevel="0" collapsed="false">
      <c r="A56" s="0" t="s">
        <v>2312</v>
      </c>
      <c r="B56" s="0" t="n">
        <v>2</v>
      </c>
      <c r="C56" s="26" t="s">
        <v>2313</v>
      </c>
      <c r="D56" s="0" t="n">
        <v>1123</v>
      </c>
      <c r="G56" s="87" t="s">
        <v>2314</v>
      </c>
      <c r="H56" s="87" t="s">
        <v>861</v>
      </c>
      <c r="I56" s="88" t="s">
        <v>2315</v>
      </c>
      <c r="J56" s="87" t="s">
        <v>2316</v>
      </c>
      <c r="K56" s="87" t="s">
        <v>84</v>
      </c>
      <c r="L56" s="115" t="s">
        <v>84</v>
      </c>
      <c r="M56" s="87" t="s">
        <v>2317</v>
      </c>
      <c r="N56" s="87" t="s">
        <v>84</v>
      </c>
      <c r="O56" s="87" t="s">
        <v>84</v>
      </c>
      <c r="P56" s="87" t="s">
        <v>84</v>
      </c>
      <c r="R56" s="72" t="s">
        <v>2318</v>
      </c>
      <c r="S56" s="87" t="s">
        <v>84</v>
      </c>
      <c r="T56" s="87" t="s">
        <v>84</v>
      </c>
      <c r="U56" s="87" t="s">
        <v>84</v>
      </c>
      <c r="V56" s="87" t="s">
        <v>84</v>
      </c>
      <c r="W56" s="87" t="s">
        <v>84</v>
      </c>
      <c r="X56" s="87" t="s">
        <v>84</v>
      </c>
      <c r="Y56" s="87" t="s">
        <v>84</v>
      </c>
      <c r="Z56" s="87" t="s">
        <v>84</v>
      </c>
      <c r="AA56" s="87" t="s">
        <v>2319</v>
      </c>
      <c r="AB56" s="87" t="s">
        <v>84</v>
      </c>
      <c r="AD56" s="87" t="s">
        <v>2320</v>
      </c>
      <c r="AE56" s="87" t="s">
        <v>2321</v>
      </c>
      <c r="AF56" s="87" t="s">
        <v>2322</v>
      </c>
      <c r="AG56" s="87" t="s">
        <v>2323</v>
      </c>
      <c r="AH56" s="87" t="s">
        <v>2324</v>
      </c>
      <c r="AI56" s="87" t="s">
        <v>2325</v>
      </c>
      <c r="AJ56" s="87" t="s">
        <v>2326</v>
      </c>
      <c r="AK56" s="88" t="s">
        <v>2327</v>
      </c>
      <c r="AO56" s="8"/>
      <c r="AP56" s="1"/>
      <c r="AT56" s="26"/>
    </row>
    <row r="57" customFormat="false" ht="16.4" hidden="false" customHeight="false" outlineLevel="0" collapsed="false">
      <c r="A57" s="0" t="s">
        <v>2328</v>
      </c>
      <c r="B57" s="0" t="n">
        <v>2</v>
      </c>
      <c r="C57" s="26" t="s">
        <v>2329</v>
      </c>
      <c r="D57" s="0" t="n">
        <v>758</v>
      </c>
      <c r="G57" s="87" t="s">
        <v>2330</v>
      </c>
      <c r="H57" s="87" t="s">
        <v>2331</v>
      </c>
      <c r="I57" s="88" t="s">
        <v>2332</v>
      </c>
      <c r="J57" s="87" t="s">
        <v>2333</v>
      </c>
      <c r="K57" s="87" t="s">
        <v>84</v>
      </c>
      <c r="L57" s="115" t="s">
        <v>84</v>
      </c>
      <c r="M57" s="87" t="s">
        <v>1912</v>
      </c>
      <c r="N57" s="87" t="s">
        <v>84</v>
      </c>
      <c r="O57" s="87" t="s">
        <v>84</v>
      </c>
      <c r="P57" s="87" t="s">
        <v>84</v>
      </c>
      <c r="R57" s="72" t="s">
        <v>2334</v>
      </c>
      <c r="S57" s="87" t="s">
        <v>84</v>
      </c>
      <c r="T57" s="87" t="s">
        <v>84</v>
      </c>
      <c r="U57" s="87" t="s">
        <v>84</v>
      </c>
      <c r="V57" s="87" t="s">
        <v>84</v>
      </c>
      <c r="W57" s="87" t="s">
        <v>84</v>
      </c>
      <c r="X57" s="87" t="s">
        <v>84</v>
      </c>
      <c r="Y57" s="87" t="s">
        <v>84</v>
      </c>
      <c r="Z57" s="87" t="s">
        <v>84</v>
      </c>
      <c r="AA57" s="87" t="s">
        <v>2335</v>
      </c>
      <c r="AB57" s="87" t="s">
        <v>84</v>
      </c>
      <c r="AD57" s="87" t="s">
        <v>2336</v>
      </c>
      <c r="AE57" s="87" t="s">
        <v>2337</v>
      </c>
      <c r="AF57" s="87" t="s">
        <v>2338</v>
      </c>
      <c r="AG57" s="87" t="s">
        <v>2339</v>
      </c>
      <c r="AH57" s="87" t="s">
        <v>2340</v>
      </c>
      <c r="AI57" s="87" t="s">
        <v>2341</v>
      </c>
      <c r="AJ57" s="87" t="s">
        <v>2342</v>
      </c>
      <c r="AK57" s="88" t="s">
        <v>2343</v>
      </c>
      <c r="AO57" s="8"/>
      <c r="AP57" s="1"/>
      <c r="AT57" s="26"/>
    </row>
    <row r="58" customFormat="false" ht="16.4" hidden="false" customHeight="false" outlineLevel="0" collapsed="false">
      <c r="A58" s="0" t="s">
        <v>2344</v>
      </c>
      <c r="B58" s="0" t="n">
        <v>2</v>
      </c>
      <c r="C58" s="26" t="s">
        <v>2345</v>
      </c>
      <c r="D58" s="0" t="n">
        <v>566</v>
      </c>
      <c r="G58" s="87" t="s">
        <v>2346</v>
      </c>
      <c r="H58" s="87" t="s">
        <v>2347</v>
      </c>
      <c r="I58" s="88" t="s">
        <v>2348</v>
      </c>
      <c r="J58" s="87" t="s">
        <v>2349</v>
      </c>
      <c r="K58" s="87" t="s">
        <v>84</v>
      </c>
      <c r="L58" s="115" t="s">
        <v>84</v>
      </c>
      <c r="M58" s="87" t="s">
        <v>2350</v>
      </c>
      <c r="N58" s="87" t="s">
        <v>84</v>
      </c>
      <c r="O58" s="87" t="s">
        <v>84</v>
      </c>
      <c r="P58" s="87" t="s">
        <v>84</v>
      </c>
      <c r="R58" s="72" t="s">
        <v>2351</v>
      </c>
      <c r="S58" s="87" t="s">
        <v>84</v>
      </c>
      <c r="T58" s="87" t="s">
        <v>84</v>
      </c>
      <c r="U58" s="87" t="s">
        <v>84</v>
      </c>
      <c r="V58" s="87" t="s">
        <v>84</v>
      </c>
      <c r="W58" s="87" t="s">
        <v>84</v>
      </c>
      <c r="X58" s="87" t="s">
        <v>84</v>
      </c>
      <c r="Y58" s="87" t="s">
        <v>84</v>
      </c>
      <c r="Z58" s="87" t="s">
        <v>84</v>
      </c>
      <c r="AA58" s="87" t="s">
        <v>2352</v>
      </c>
      <c r="AB58" s="87" t="s">
        <v>84</v>
      </c>
      <c r="AD58" s="87" t="s">
        <v>2353</v>
      </c>
      <c r="AE58" s="87" t="s">
        <v>2354</v>
      </c>
      <c r="AF58" s="87" t="s">
        <v>2355</v>
      </c>
      <c r="AG58" s="87" t="s">
        <v>2356</v>
      </c>
      <c r="AH58" s="87" t="s">
        <v>2357</v>
      </c>
      <c r="AI58" s="87" t="s">
        <v>2358</v>
      </c>
      <c r="AJ58" s="87" t="s">
        <v>2359</v>
      </c>
      <c r="AK58" s="88" t="s">
        <v>2360</v>
      </c>
      <c r="AO58" s="8"/>
      <c r="AP58" s="1"/>
      <c r="AT58" s="26"/>
    </row>
    <row r="59" customFormat="false" ht="16.4" hidden="false" customHeight="false" outlineLevel="0" collapsed="false">
      <c r="A59" s="0" t="s">
        <v>2361</v>
      </c>
      <c r="B59" s="0" t="n">
        <v>2</v>
      </c>
      <c r="C59" s="26" t="s">
        <v>2362</v>
      </c>
      <c r="D59" s="0" t="n">
        <v>121</v>
      </c>
      <c r="G59" s="87" t="s">
        <v>2363</v>
      </c>
      <c r="H59" s="87" t="s">
        <v>2364</v>
      </c>
      <c r="I59" s="88" t="s">
        <v>2365</v>
      </c>
      <c r="J59" s="87" t="s">
        <v>2366</v>
      </c>
      <c r="K59" s="87" t="s">
        <v>84</v>
      </c>
      <c r="L59" s="115" t="s">
        <v>84</v>
      </c>
      <c r="M59" s="87" t="s">
        <v>2367</v>
      </c>
      <c r="N59" s="87" t="s">
        <v>84</v>
      </c>
      <c r="O59" s="87" t="s">
        <v>84</v>
      </c>
      <c r="P59" s="87" t="s">
        <v>84</v>
      </c>
      <c r="R59" s="72" t="s">
        <v>2368</v>
      </c>
      <c r="S59" s="87" t="s">
        <v>84</v>
      </c>
      <c r="T59" s="87" t="s">
        <v>84</v>
      </c>
      <c r="U59" s="87" t="s">
        <v>84</v>
      </c>
      <c r="V59" s="87" t="s">
        <v>84</v>
      </c>
      <c r="W59" s="87" t="s">
        <v>84</v>
      </c>
      <c r="X59" s="87" t="s">
        <v>84</v>
      </c>
      <c r="Y59" s="87" t="s">
        <v>84</v>
      </c>
      <c r="Z59" s="87" t="s">
        <v>84</v>
      </c>
      <c r="AA59" s="87" t="s">
        <v>2369</v>
      </c>
      <c r="AB59" s="87" t="s">
        <v>84</v>
      </c>
      <c r="AD59" s="87" t="s">
        <v>2370</v>
      </c>
      <c r="AE59" s="87" t="s">
        <v>2371</v>
      </c>
      <c r="AF59" s="87" t="s">
        <v>2372</v>
      </c>
      <c r="AG59" s="87" t="s">
        <v>2373</v>
      </c>
      <c r="AH59" s="87" t="s">
        <v>2374</v>
      </c>
      <c r="AI59" s="87" t="s">
        <v>2375</v>
      </c>
      <c r="AJ59" s="87" t="s">
        <v>2376</v>
      </c>
      <c r="AK59" s="88" t="s">
        <v>2377</v>
      </c>
      <c r="AO59" s="8"/>
      <c r="AP59" s="1"/>
      <c r="AT59" s="26"/>
    </row>
    <row r="60" customFormat="false" ht="16.4" hidden="false" customHeight="false" outlineLevel="0" collapsed="false">
      <c r="A60" s="0" t="s">
        <v>2378</v>
      </c>
      <c r="B60" s="0" t="n">
        <v>2</v>
      </c>
      <c r="C60" s="26" t="n">
        <v>2015</v>
      </c>
      <c r="D60" s="0" t="n">
        <v>2</v>
      </c>
      <c r="G60" s="87" t="s">
        <v>2379</v>
      </c>
      <c r="H60" s="87" t="s">
        <v>2380</v>
      </c>
      <c r="I60" s="88" t="s">
        <v>2381</v>
      </c>
      <c r="J60" s="87" t="s">
        <v>2382</v>
      </c>
      <c r="K60" s="87" t="s">
        <v>84</v>
      </c>
      <c r="L60" s="115" t="s">
        <v>84</v>
      </c>
      <c r="M60" s="87" t="s">
        <v>2383</v>
      </c>
      <c r="N60" s="87" t="s">
        <v>84</v>
      </c>
      <c r="O60" s="87" t="s">
        <v>84</v>
      </c>
      <c r="P60" s="87" t="s">
        <v>84</v>
      </c>
      <c r="R60" s="72" t="s">
        <v>2384</v>
      </c>
      <c r="S60" s="87" t="s">
        <v>84</v>
      </c>
      <c r="T60" s="87" t="s">
        <v>84</v>
      </c>
      <c r="U60" s="87" t="s">
        <v>84</v>
      </c>
      <c r="V60" s="87" t="s">
        <v>84</v>
      </c>
      <c r="W60" s="87" t="s">
        <v>84</v>
      </c>
      <c r="X60" s="87" t="s">
        <v>84</v>
      </c>
      <c r="Y60" s="87" t="s">
        <v>84</v>
      </c>
      <c r="Z60" s="87" t="s">
        <v>84</v>
      </c>
      <c r="AA60" s="87" t="s">
        <v>2385</v>
      </c>
      <c r="AB60" s="87" t="s">
        <v>84</v>
      </c>
      <c r="AD60" s="87" t="s">
        <v>2386</v>
      </c>
      <c r="AE60" s="87" t="s">
        <v>2387</v>
      </c>
      <c r="AF60" s="87" t="s">
        <v>2388</v>
      </c>
      <c r="AG60" s="87" t="s">
        <v>2389</v>
      </c>
      <c r="AH60" s="87" t="s">
        <v>2390</v>
      </c>
      <c r="AI60" s="87" t="s">
        <v>2391</v>
      </c>
      <c r="AJ60" s="87" t="s">
        <v>2392</v>
      </c>
      <c r="AK60" s="88" t="s">
        <v>2393</v>
      </c>
      <c r="AO60" s="8"/>
      <c r="AP60" s="1"/>
      <c r="AS60" s="1"/>
      <c r="AT60" s="26"/>
    </row>
    <row r="61" customFormat="false" ht="14.25" hidden="false" customHeight="false" outlineLevel="0" collapsed="false">
      <c r="AO61" s="8"/>
      <c r="AP61" s="1"/>
      <c r="AS61" s="1"/>
      <c r="AT61" s="26"/>
    </row>
    <row r="62" customFormat="false" ht="14.25" hidden="false" customHeight="false" outlineLevel="0" collapsed="false">
      <c r="N62" s="91"/>
      <c r="O62" s="91"/>
      <c r="P62" s="91"/>
      <c r="Q62" s="91"/>
      <c r="R62" s="91"/>
      <c r="S62" s="91"/>
      <c r="T62" s="91"/>
      <c r="AO62" s="8"/>
      <c r="AP62" s="1"/>
    </row>
    <row r="63" customFormat="false" ht="14.25" hidden="false" customHeight="false" outlineLevel="0" collapsed="false">
      <c r="A63" s="0" t="s">
        <v>2394</v>
      </c>
      <c r="AO63" s="8"/>
      <c r="AP63" s="1"/>
    </row>
    <row r="64" customFormat="false" ht="14.25" hidden="false" customHeight="false" outlineLevel="0" collapsed="false">
      <c r="A64" s="1" t="s">
        <v>2395</v>
      </c>
      <c r="B64" s="1"/>
      <c r="AO64" s="8"/>
      <c r="AP64" s="1"/>
    </row>
    <row r="65" customFormat="false" ht="14.25" hidden="false" customHeight="false" outlineLevel="0" collapsed="false">
      <c r="AO65" s="8"/>
      <c r="AP65" s="1"/>
    </row>
    <row r="66" customFormat="false" ht="14.25" hidden="false" customHeight="false" outlineLevel="0" collapsed="false">
      <c r="AO66" s="8"/>
      <c r="AP66" s="1"/>
    </row>
    <row r="67" customFormat="false" ht="14.25" hidden="false" customHeight="false" outlineLevel="0" collapsed="false">
      <c r="AO67" s="8"/>
      <c r="AP67" s="1"/>
    </row>
    <row r="68" customFormat="false" ht="14.25" hidden="false" customHeight="false" outlineLevel="0" collapsed="false">
      <c r="G68" s="91" t="s">
        <v>2396</v>
      </c>
      <c r="H68" s="0"/>
      <c r="AP68" s="1"/>
    </row>
    <row r="69" customFormat="false" ht="14.25" hidden="false" customHeight="false" outlineLevel="0" collapsed="false">
      <c r="E69" s="87"/>
      <c r="G69" s="91" t="s">
        <v>2397</v>
      </c>
      <c r="H69" s="91" t="s">
        <v>1692</v>
      </c>
      <c r="I69" s="92" t="s">
        <v>2398</v>
      </c>
      <c r="J69" s="91" t="s">
        <v>2399</v>
      </c>
      <c r="K69" s="91" t="s">
        <v>2400</v>
      </c>
      <c r="AO69" s="8"/>
      <c r="AP69" s="1"/>
    </row>
    <row r="70" customFormat="false" ht="14.25" hidden="false" customHeight="false" outlineLevel="0" collapsed="false">
      <c r="D70" s="87"/>
      <c r="E70" s="87"/>
      <c r="G70" s="116" t="n">
        <v>5307</v>
      </c>
      <c r="H70" s="116" t="n">
        <v>53.3</v>
      </c>
      <c r="I70" s="117" t="n">
        <v>8.2</v>
      </c>
      <c r="J70" s="116" t="n">
        <f aca="false">SUMPRODUCT(G70:G82,H70:H82) / SUM(G70:G82)</f>
        <v>53.7762359359018</v>
      </c>
      <c r="K70" s="116" t="n">
        <f aca="false">SQRT(SUMPRODUCT((G70:G82&gt;0),(I70:I82^2*G70:G82)+G70:G82*(H70:H82-SUMPRODUCT(G70:G82,H70:H82)/SUM(G70:G82))^2)/SUM(G70:G82))</f>
        <v>8.10356914047342</v>
      </c>
      <c r="AO70" s="8"/>
      <c r="AP70" s="1"/>
    </row>
    <row r="71" customFormat="false" ht="14.25" hidden="false" customHeight="false" outlineLevel="0" collapsed="false">
      <c r="D71" s="87"/>
      <c r="E71" s="87"/>
      <c r="G71" s="116" t="n">
        <v>3492</v>
      </c>
      <c r="H71" s="116" t="n">
        <v>54.5</v>
      </c>
      <c r="I71" s="117" t="n">
        <v>7.9</v>
      </c>
      <c r="J71" s="116"/>
      <c r="L71" s="2"/>
      <c r="AO71" s="8"/>
      <c r="AP71" s="20"/>
    </row>
    <row r="72" customFormat="false" ht="14.25" hidden="false" customHeight="false" outlineLevel="0" collapsed="false">
      <c r="D72" s="87"/>
      <c r="E72" s="87"/>
      <c r="G72" s="116"/>
      <c r="H72" s="116"/>
      <c r="I72" s="117"/>
      <c r="L72" s="2"/>
    </row>
    <row r="73" customFormat="false" ht="14.25" hidden="false" customHeight="false" outlineLevel="0" collapsed="false">
      <c r="D73" s="87"/>
      <c r="G73" s="116"/>
      <c r="H73" s="116"/>
      <c r="I73" s="117"/>
      <c r="J73" s="116"/>
      <c r="L73" s="2"/>
    </row>
    <row r="74" customFormat="false" ht="14.25" hidden="false" customHeight="false" outlineLevel="0" collapsed="false">
      <c r="D74" s="87"/>
      <c r="E74" s="87"/>
      <c r="G74" s="116"/>
      <c r="H74" s="116"/>
      <c r="I74" s="117"/>
      <c r="L74" s="2"/>
    </row>
    <row r="75" customFormat="false" ht="14.25" hidden="false" customHeight="false" outlineLevel="0" collapsed="false">
      <c r="D75" s="87"/>
      <c r="E75" s="87"/>
      <c r="G75" s="116"/>
      <c r="H75" s="116"/>
      <c r="I75" s="117"/>
    </row>
    <row r="76" customFormat="false" ht="14.25" hidden="false" customHeight="false" outlineLevel="0" collapsed="false">
      <c r="D76" s="87"/>
      <c r="E76" s="87"/>
      <c r="G76" s="116"/>
      <c r="H76" s="116"/>
      <c r="I76" s="117"/>
    </row>
    <row r="77" customFormat="false" ht="14.25" hidden="false" customHeight="false" outlineLevel="0" collapsed="false">
      <c r="D77" s="87"/>
      <c r="E77" s="116"/>
      <c r="G77" s="116"/>
      <c r="H77" s="116"/>
      <c r="I77" s="117"/>
    </row>
    <row r="78" customFormat="false" ht="14.25" hidden="false" customHeight="false" outlineLevel="0" collapsed="false">
      <c r="D78" s="87"/>
      <c r="G78" s="116"/>
      <c r="H78" s="116"/>
      <c r="I78" s="117"/>
    </row>
    <row r="79" customFormat="false" ht="14.25" hidden="false" customHeight="false" outlineLevel="0" collapsed="false">
      <c r="G79" s="116"/>
      <c r="H79" s="116"/>
      <c r="I79" s="117"/>
    </row>
    <row r="80" customFormat="false" ht="14.25" hidden="false" customHeight="false" outlineLevel="0" collapsed="false">
      <c r="G80" s="116"/>
      <c r="H80" s="116"/>
      <c r="I80" s="117"/>
    </row>
    <row r="81" customFormat="false" ht="14.25" hidden="false" customHeight="false" outlineLevel="0" collapsed="false">
      <c r="G81" s="116"/>
      <c r="H81" s="116"/>
      <c r="I81" s="117"/>
    </row>
    <row r="82" customFormat="false" ht="14.25" hidden="false" customHeight="false" outlineLevel="0" collapsed="false">
      <c r="G82" s="116"/>
      <c r="H82" s="116"/>
      <c r="I82" s="117"/>
    </row>
    <row r="83" customFormat="false" ht="14.25" hidden="false" customHeight="false" outlineLevel="0" collapsed="false">
      <c r="G83" s="116"/>
      <c r="H83" s="116"/>
      <c r="I83" s="117"/>
    </row>
    <row r="84" customFormat="false" ht="14.25" hidden="false" customHeight="false" outlineLevel="0" collapsed="false">
      <c r="G84" s="116"/>
      <c r="H84" s="116"/>
      <c r="I84" s="117"/>
    </row>
    <row r="85" customFormat="false" ht="14.25" hidden="false" customHeight="false" outlineLevel="0" collapsed="false">
      <c r="G85" s="116"/>
      <c r="H85" s="116"/>
      <c r="I85" s="117"/>
    </row>
    <row r="86" customFormat="false" ht="14.25" hidden="false" customHeight="false" outlineLevel="0" collapsed="false">
      <c r="G86" s="116"/>
      <c r="H86" s="116"/>
      <c r="I86" s="117"/>
    </row>
  </sheetData>
  <hyperlinks>
    <hyperlink ref="AN16" r:id="rId1" display="mikkelsenAutomaticSleepStaging2017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3" activeCellId="0" sqref="A3"/>
    </sheetView>
  </sheetViews>
  <sheetFormatPr defaultColWidth="10.90625" defaultRowHeight="14.25" customHeight="false" zeroHeight="false" outlineLevelRow="0" outlineLevelCol="0"/>
  <cols>
    <col collapsed="false" customWidth="false" hidden="false" outlineLevel="0" max="1" min="1" style="87" width="10.91"/>
    <col collapsed="false" customWidth="true" hidden="false" outlineLevel="0" max="2" min="2" style="87" width="6.45"/>
    <col collapsed="false" customWidth="true" hidden="false" outlineLevel="0" max="3" min="3" style="87" width="4.45"/>
    <col collapsed="false" customWidth="true" hidden="false" outlineLevel="0" max="4" min="4" style="88" width="8.36"/>
    <col collapsed="false" customWidth="true" hidden="false" outlineLevel="0" max="5" min="5" style="87" width="4.36"/>
    <col collapsed="false" customWidth="true" hidden="false" outlineLevel="0" max="6" min="6" style="87" width="17.73"/>
    <col collapsed="false" customWidth="true" hidden="false" outlineLevel="0" max="7" min="7" style="87" width="3.18"/>
    <col collapsed="false" customWidth="true" hidden="false" outlineLevel="0" max="8" min="8" style="88" width="12.73"/>
    <col collapsed="false" customWidth="true" hidden="false" outlineLevel="0" max="9" min="9" style="87" width="12.9"/>
    <col collapsed="false" customWidth="true" hidden="false" outlineLevel="0" max="10" min="10" style="87" width="15.54"/>
    <col collapsed="false" customWidth="true" hidden="false" outlineLevel="0" max="11" min="11" style="87" width="15.73"/>
    <col collapsed="false" customWidth="true" hidden="false" outlineLevel="0" max="12" min="12" style="87" width="17.45"/>
    <col collapsed="false" customWidth="true" hidden="false" outlineLevel="0" max="13" min="13" style="88" width="19.45"/>
    <col collapsed="false" customWidth="true" hidden="false" outlineLevel="0" max="14" min="14" style="87" width="5.18"/>
    <col collapsed="false" customWidth="true" hidden="false" outlineLevel="0" max="15" min="15" style="87" width="12.27"/>
    <col collapsed="false" customWidth="true" hidden="false" outlineLevel="0" max="16" min="16" style="88" width="21"/>
    <col collapsed="false" customWidth="true" hidden="false" outlineLevel="0" max="17" min="17" style="87" width="12"/>
    <col collapsed="false" customWidth="true" hidden="false" outlineLevel="0" max="18" min="18" style="87" width="19.18"/>
    <col collapsed="false" customWidth="false" hidden="false" outlineLevel="0" max="19" min="19" style="87" width="10.91"/>
    <col collapsed="false" customWidth="true" hidden="false" outlineLevel="0" max="20" min="20" style="87" width="13.63"/>
    <col collapsed="false" customWidth="false" hidden="false" outlineLevel="0" max="21" min="21" style="88" width="10.91"/>
    <col collapsed="false" customWidth="false" hidden="false" outlineLevel="0" max="22" min="22" style="87" width="10.91"/>
    <col collapsed="false" customWidth="false" hidden="false" outlineLevel="0" max="23" min="23" style="88" width="10.91"/>
    <col collapsed="false" customWidth="true" hidden="false" outlineLevel="0" max="24" min="24" style="87" width="11.54"/>
    <col collapsed="false" customWidth="true" hidden="false" outlineLevel="0" max="25" min="25" style="87" width="4.63"/>
    <col collapsed="false" customWidth="true" hidden="false" outlineLevel="0" max="26" min="26" style="87" width="14.27"/>
    <col collapsed="false" customWidth="false" hidden="false" outlineLevel="0" max="16384" min="27" style="87" width="10.91"/>
  </cols>
  <sheetData>
    <row r="1" s="118" customFormat="true" ht="14.25" hidden="false" customHeight="false" outlineLevel="0" collapsed="false">
      <c r="B1" s="119" t="s">
        <v>2401</v>
      </c>
      <c r="C1" s="119"/>
      <c r="D1" s="119"/>
      <c r="E1" s="119" t="s">
        <v>2402</v>
      </c>
      <c r="F1" s="119"/>
      <c r="G1" s="119"/>
      <c r="H1" s="119"/>
      <c r="I1" s="119" t="s">
        <v>2403</v>
      </c>
      <c r="J1" s="119"/>
      <c r="K1" s="119"/>
      <c r="L1" s="119"/>
      <c r="M1" s="119"/>
      <c r="N1" s="119" t="s">
        <v>2404</v>
      </c>
      <c r="O1" s="119"/>
      <c r="P1" s="119"/>
      <c r="Q1" s="119" t="s">
        <v>1154</v>
      </c>
      <c r="R1" s="119"/>
      <c r="S1" s="119"/>
      <c r="T1" s="119"/>
      <c r="U1" s="119"/>
      <c r="V1" s="119" t="s">
        <v>2405</v>
      </c>
      <c r="W1" s="119"/>
      <c r="X1" s="119" t="s">
        <v>2406</v>
      </c>
      <c r="Y1" s="119"/>
      <c r="Z1" s="119"/>
    </row>
    <row r="2" customFormat="false" ht="14.25" hidden="false" customHeight="false" outlineLevel="0" collapsed="false">
      <c r="A2" s="91" t="s">
        <v>1720</v>
      </c>
      <c r="B2" s="87" t="s">
        <v>1560</v>
      </c>
      <c r="C2" s="87" t="s">
        <v>2407</v>
      </c>
      <c r="D2" s="88" t="s">
        <v>2408</v>
      </c>
      <c r="E2" s="87" t="s">
        <v>134</v>
      </c>
      <c r="F2" s="87" t="s">
        <v>2409</v>
      </c>
      <c r="G2" s="87" t="s">
        <v>361</v>
      </c>
      <c r="H2" s="88" t="s">
        <v>1064</v>
      </c>
      <c r="I2" s="87" t="s">
        <v>2410</v>
      </c>
      <c r="J2" s="87" t="s">
        <v>2411</v>
      </c>
      <c r="K2" s="87" t="s">
        <v>2412</v>
      </c>
      <c r="L2" s="72" t="s">
        <v>2413</v>
      </c>
      <c r="M2" s="88" t="s">
        <v>2414</v>
      </c>
      <c r="N2" s="87" t="s">
        <v>61</v>
      </c>
      <c r="O2" s="87" t="s">
        <v>2415</v>
      </c>
      <c r="P2" s="88" t="s">
        <v>2416</v>
      </c>
      <c r="Q2" s="87" t="s">
        <v>2417</v>
      </c>
      <c r="R2" s="87" t="s">
        <v>2418</v>
      </c>
      <c r="S2" s="87" t="s">
        <v>2419</v>
      </c>
      <c r="T2" s="87" t="s">
        <v>2420</v>
      </c>
      <c r="U2" s="88" t="s">
        <v>892</v>
      </c>
      <c r="V2" s="87" t="s">
        <v>2421</v>
      </c>
      <c r="W2" s="88" t="s">
        <v>52</v>
      </c>
      <c r="X2" s="87" t="s">
        <v>2422</v>
      </c>
      <c r="Y2" s="87" t="s">
        <v>1189</v>
      </c>
      <c r="Z2" s="87" t="s">
        <v>2423</v>
      </c>
    </row>
    <row r="3" customFormat="false" ht="14.25" hidden="false" customHeight="false" outlineLevel="0" collapsed="false">
      <c r="A3" s="98" t="s">
        <v>1758</v>
      </c>
      <c r="B3" s="87" t="n">
        <v>6</v>
      </c>
      <c r="C3" s="87" t="n">
        <v>2</v>
      </c>
      <c r="D3" s="88" t="s">
        <v>2424</v>
      </c>
      <c r="E3" s="87" t="s">
        <v>2425</v>
      </c>
      <c r="F3" s="87" t="s">
        <v>2424</v>
      </c>
      <c r="G3" s="87" t="s">
        <v>2425</v>
      </c>
      <c r="I3" s="87" t="n">
        <v>1</v>
      </c>
      <c r="J3" s="87" t="n">
        <v>1</v>
      </c>
      <c r="K3" s="87" t="s">
        <v>2426</v>
      </c>
      <c r="M3" s="88" t="n">
        <v>1</v>
      </c>
      <c r="N3" s="87" t="n">
        <v>1</v>
      </c>
      <c r="P3" s="88" t="s">
        <v>2425</v>
      </c>
      <c r="Q3" s="87" t="s">
        <v>2424</v>
      </c>
      <c r="U3" s="88" t="n">
        <v>2</v>
      </c>
      <c r="W3" s="88" t="n">
        <v>1</v>
      </c>
      <c r="X3" s="87" t="n">
        <v>1</v>
      </c>
      <c r="Z3" s="87" t="n">
        <v>1</v>
      </c>
    </row>
    <row r="4" customFormat="false" ht="14.25" hidden="false" customHeight="false" outlineLevel="0" collapsed="false">
      <c r="A4" s="98" t="s">
        <v>81</v>
      </c>
      <c r="B4" s="87" t="n">
        <v>83</v>
      </c>
      <c r="C4" s="87" t="n">
        <v>4</v>
      </c>
      <c r="D4" s="88" t="s">
        <v>2425</v>
      </c>
      <c r="E4" s="87" t="n">
        <v>1</v>
      </c>
      <c r="Q4" s="87" t="n">
        <v>2</v>
      </c>
      <c r="W4" s="88" t="s">
        <v>2425</v>
      </c>
    </row>
    <row r="5" customFormat="false" ht="14.25" hidden="false" customHeight="false" outlineLevel="0" collapsed="false">
      <c r="A5" s="98" t="s">
        <v>1793</v>
      </c>
      <c r="B5" s="87" t="s">
        <v>2427</v>
      </c>
      <c r="C5" s="87" t="n">
        <v>2</v>
      </c>
      <c r="D5" s="88" t="n">
        <v>1</v>
      </c>
      <c r="E5" s="87" t="n">
        <v>1</v>
      </c>
      <c r="G5" s="87" t="s">
        <v>2425</v>
      </c>
      <c r="I5" s="87" t="s">
        <v>2428</v>
      </c>
      <c r="J5" s="87" t="s">
        <v>2428</v>
      </c>
      <c r="K5" s="87" t="s">
        <v>2424</v>
      </c>
      <c r="L5" s="87" t="s">
        <v>2425</v>
      </c>
      <c r="M5" s="88" t="s">
        <v>2425</v>
      </c>
      <c r="N5" s="87" t="s">
        <v>2425</v>
      </c>
      <c r="O5" s="87" t="s">
        <v>2425</v>
      </c>
      <c r="Q5" s="87" t="s">
        <v>2424</v>
      </c>
      <c r="U5" s="88" t="s">
        <v>2425</v>
      </c>
      <c r="V5" s="87" t="s">
        <v>2425</v>
      </c>
      <c r="W5" s="88" t="s">
        <v>2425</v>
      </c>
      <c r="X5" s="87" t="s">
        <v>2425</v>
      </c>
      <c r="Y5" s="87" t="s">
        <v>2428</v>
      </c>
      <c r="Z5" s="87" t="s">
        <v>2428</v>
      </c>
    </row>
    <row r="6" customFormat="false" ht="14.25" hidden="false" customHeight="false" outlineLevel="0" collapsed="false">
      <c r="A6" s="98" t="s">
        <v>1808</v>
      </c>
      <c r="B6" s="87" t="s">
        <v>2429</v>
      </c>
      <c r="C6" s="87" t="s">
        <v>2424</v>
      </c>
      <c r="D6" s="88" t="s">
        <v>2425</v>
      </c>
      <c r="E6" s="87" t="s">
        <v>2425</v>
      </c>
      <c r="G6" s="87" t="s">
        <v>2425</v>
      </c>
      <c r="I6" s="87" t="s">
        <v>2425</v>
      </c>
      <c r="J6" s="87" t="s">
        <v>2425</v>
      </c>
      <c r="K6" s="87" t="s">
        <v>2424</v>
      </c>
      <c r="M6" s="88" t="s">
        <v>2425</v>
      </c>
      <c r="N6" s="87" t="s">
        <v>2425</v>
      </c>
      <c r="Q6" s="87" t="s">
        <v>2425</v>
      </c>
    </row>
    <row r="7" customFormat="false" ht="14.25" hidden="false" customHeight="false" outlineLevel="0" collapsed="false">
      <c r="A7" s="98" t="s">
        <v>1829</v>
      </c>
      <c r="E7" s="87" t="s">
        <v>2425</v>
      </c>
      <c r="F7" s="87" t="s">
        <v>2424</v>
      </c>
      <c r="I7" s="87" t="s">
        <v>2425</v>
      </c>
      <c r="J7" s="87" t="s">
        <v>2425</v>
      </c>
      <c r="K7" s="87" t="s">
        <v>2429</v>
      </c>
      <c r="M7" s="88" t="s">
        <v>2425</v>
      </c>
      <c r="N7" s="87" t="s">
        <v>2425</v>
      </c>
      <c r="S7" s="87" t="s">
        <v>2425</v>
      </c>
      <c r="U7" s="88" t="s">
        <v>2428</v>
      </c>
      <c r="Z7" s="87" t="s">
        <v>2428</v>
      </c>
    </row>
    <row r="8" customFormat="false" ht="14.25" hidden="false" customHeight="false" outlineLevel="0" collapsed="false">
      <c r="A8" s="97" t="s">
        <v>1677</v>
      </c>
      <c r="B8" s="87" t="n">
        <v>5</v>
      </c>
      <c r="C8" s="87" t="n">
        <v>1</v>
      </c>
      <c r="D8" s="88" t="n">
        <v>1</v>
      </c>
      <c r="E8" s="87" t="n">
        <v>1</v>
      </c>
      <c r="F8" s="87" t="n">
        <v>1</v>
      </c>
      <c r="G8" s="87" t="n">
        <v>1</v>
      </c>
      <c r="I8" s="87" t="n">
        <v>1</v>
      </c>
      <c r="K8" s="87" t="s">
        <v>2430</v>
      </c>
      <c r="N8" s="87" t="n">
        <v>1</v>
      </c>
      <c r="Q8" s="87" t="n">
        <v>2</v>
      </c>
      <c r="U8" s="88" t="s">
        <v>2428</v>
      </c>
      <c r="V8" s="87" t="s">
        <v>2428</v>
      </c>
    </row>
    <row r="9" customFormat="false" ht="14.25" hidden="false" customHeight="false" outlineLevel="0" collapsed="false">
      <c r="A9" s="98" t="s">
        <v>1857</v>
      </c>
      <c r="B9" s="87" t="s">
        <v>2424</v>
      </c>
      <c r="C9" s="87" t="s">
        <v>2424</v>
      </c>
      <c r="D9" s="88" t="s">
        <v>2424</v>
      </c>
      <c r="E9" s="87" t="s">
        <v>2424</v>
      </c>
      <c r="F9" s="87" t="s">
        <v>2425</v>
      </c>
      <c r="G9" s="87" t="s">
        <v>2424</v>
      </c>
      <c r="I9" s="87" t="s">
        <v>2425</v>
      </c>
      <c r="J9" s="87" t="s">
        <v>2425</v>
      </c>
      <c r="K9" s="87" t="s">
        <v>2426</v>
      </c>
      <c r="M9" s="88" t="s">
        <v>2425</v>
      </c>
      <c r="N9" s="87" t="s">
        <v>2425</v>
      </c>
      <c r="P9" s="88" t="s">
        <v>2425</v>
      </c>
      <c r="Q9" s="87" t="s">
        <v>2424</v>
      </c>
      <c r="U9" s="88" t="s">
        <v>2425</v>
      </c>
      <c r="W9" s="88" t="s">
        <v>2425</v>
      </c>
    </row>
    <row r="10" customFormat="false" ht="14.25" hidden="false" customHeight="false" outlineLevel="0" collapsed="false">
      <c r="A10" s="98" t="s">
        <v>1878</v>
      </c>
      <c r="B10" s="87" t="s">
        <v>2424</v>
      </c>
      <c r="C10" s="87" t="s">
        <v>2424</v>
      </c>
      <c r="D10" s="88" t="s">
        <v>2424</v>
      </c>
      <c r="E10" s="87" t="s">
        <v>2425</v>
      </c>
      <c r="F10" s="87" t="s">
        <v>2428</v>
      </c>
      <c r="G10" s="87" t="s">
        <v>2425</v>
      </c>
      <c r="I10" s="87" t="s">
        <v>2425</v>
      </c>
      <c r="J10" s="87" t="s">
        <v>2425</v>
      </c>
      <c r="K10" s="87" t="s">
        <v>2424</v>
      </c>
      <c r="M10" s="88" t="s">
        <v>2425</v>
      </c>
      <c r="N10" s="87" t="s">
        <v>2425</v>
      </c>
      <c r="P10" s="88" t="s">
        <v>2425</v>
      </c>
      <c r="Q10" s="87" t="s">
        <v>2424</v>
      </c>
      <c r="U10" s="88" t="s">
        <v>2425</v>
      </c>
      <c r="W10" s="88" t="s">
        <v>2428</v>
      </c>
    </row>
    <row r="11" customFormat="false" ht="14.25" hidden="false" customHeight="false" outlineLevel="0" collapsed="false">
      <c r="A11" s="87" t="s">
        <v>1899</v>
      </c>
    </row>
    <row r="12" customFormat="false" ht="14.25" hidden="false" customHeight="false" outlineLevel="0" collapsed="false">
      <c r="A12" s="98" t="s">
        <v>1919</v>
      </c>
      <c r="B12" s="87" t="s">
        <v>2429</v>
      </c>
      <c r="C12" s="87" t="s">
        <v>2424</v>
      </c>
      <c r="D12" s="88" t="s">
        <v>2424</v>
      </c>
      <c r="E12" s="87" t="s">
        <v>2425</v>
      </c>
      <c r="F12" s="87" t="s">
        <v>2425</v>
      </c>
      <c r="G12" s="87" t="s">
        <v>2425</v>
      </c>
      <c r="I12" s="87" t="s">
        <v>2425</v>
      </c>
      <c r="J12" s="87" t="s">
        <v>2425</v>
      </c>
      <c r="K12" s="87" t="s">
        <v>2426</v>
      </c>
      <c r="M12" s="88" t="s">
        <v>2424</v>
      </c>
      <c r="N12" s="87" t="s">
        <v>2425</v>
      </c>
      <c r="Q12" s="87" t="s">
        <v>2424</v>
      </c>
      <c r="S12" s="87" t="s">
        <v>2425</v>
      </c>
      <c r="U12" s="88" t="s">
        <v>2425</v>
      </c>
      <c r="W12" s="88" t="s">
        <v>2425</v>
      </c>
    </row>
    <row r="13" customFormat="false" ht="14.25" hidden="false" customHeight="false" outlineLevel="0" collapsed="false">
      <c r="A13" s="87" t="s">
        <v>1938</v>
      </c>
    </row>
    <row r="14" customFormat="false" ht="14.25" hidden="false" customHeight="false" outlineLevel="0" collapsed="false">
      <c r="A14" s="98" t="s">
        <v>1947</v>
      </c>
      <c r="B14" s="87" t="s">
        <v>2431</v>
      </c>
      <c r="C14" s="87" t="s">
        <v>2424</v>
      </c>
      <c r="D14" s="88" t="s">
        <v>2425</v>
      </c>
      <c r="E14" s="87" t="s">
        <v>2425</v>
      </c>
    </row>
    <row r="15" customFormat="false" ht="14.25" hidden="false" customHeight="false" outlineLevel="0" collapsed="false">
      <c r="A15" s="98" t="s">
        <v>1963</v>
      </c>
      <c r="B15" s="87" t="s">
        <v>2432</v>
      </c>
      <c r="C15" s="87" t="s">
        <v>2424</v>
      </c>
      <c r="D15" s="88" t="s">
        <v>2425</v>
      </c>
      <c r="E15" s="87" t="s">
        <v>2425</v>
      </c>
    </row>
    <row r="16" customFormat="false" ht="14.25" hidden="false" customHeight="false" outlineLevel="0" collapsed="false">
      <c r="A16" s="87" t="s">
        <v>1977</v>
      </c>
    </row>
    <row r="17" customFormat="false" ht="14.25" hidden="false" customHeight="false" outlineLevel="0" collapsed="false">
      <c r="A17" s="98" t="s">
        <v>1985</v>
      </c>
      <c r="B17" s="87" t="s">
        <v>2433</v>
      </c>
      <c r="C17" s="87" t="s">
        <v>2424</v>
      </c>
      <c r="D17" s="88" t="s">
        <v>2425</v>
      </c>
      <c r="W17" s="88" t="s">
        <v>2425</v>
      </c>
    </row>
    <row r="18" customFormat="false" ht="14.25" hidden="false" customHeight="false" outlineLevel="0" collapsed="false">
      <c r="A18" s="98" t="s">
        <v>2002</v>
      </c>
      <c r="B18" s="87" t="s">
        <v>2434</v>
      </c>
      <c r="C18" s="87" t="s">
        <v>2435</v>
      </c>
      <c r="D18" s="88" t="s">
        <v>2430</v>
      </c>
      <c r="W18" s="88" t="s">
        <v>2425</v>
      </c>
    </row>
    <row r="19" customFormat="false" ht="14.25" hidden="false" customHeight="false" outlineLevel="0" collapsed="false">
      <c r="A19" s="98" t="s">
        <v>2018</v>
      </c>
      <c r="B19" s="87" t="s">
        <v>2436</v>
      </c>
      <c r="C19" s="87" t="s">
        <v>2430</v>
      </c>
      <c r="D19" s="88" t="s">
        <v>2430</v>
      </c>
      <c r="W19" s="88" t="s">
        <v>2425</v>
      </c>
    </row>
    <row r="20" customFormat="false" ht="14.25" hidden="false" customHeight="false" outlineLevel="0" collapsed="false">
      <c r="A20" s="98" t="s">
        <v>2437</v>
      </c>
      <c r="B20" s="87" t="s">
        <v>2438</v>
      </c>
      <c r="C20" s="87" t="s">
        <v>2424</v>
      </c>
      <c r="D20" s="88" t="s">
        <v>2425</v>
      </c>
      <c r="E20" s="87" t="s">
        <v>2425</v>
      </c>
      <c r="W20" s="88" t="s">
        <v>2425</v>
      </c>
    </row>
    <row r="21" customFormat="false" ht="14.25" hidden="false" customHeight="false" outlineLevel="0" collapsed="false">
      <c r="A21" s="98" t="s">
        <v>2046</v>
      </c>
      <c r="E21" s="87" t="s">
        <v>2425</v>
      </c>
      <c r="F21" s="87" t="s">
        <v>2424</v>
      </c>
      <c r="G21" s="87" t="s">
        <v>2425</v>
      </c>
      <c r="I21" s="87" t="s">
        <v>2428</v>
      </c>
      <c r="J21" s="87" t="s">
        <v>2428</v>
      </c>
      <c r="K21" s="87" t="s">
        <v>2430</v>
      </c>
      <c r="M21" s="88" t="s">
        <v>2425</v>
      </c>
      <c r="N21" s="87" t="s">
        <v>2424</v>
      </c>
      <c r="P21" s="88" t="s">
        <v>2425</v>
      </c>
      <c r="S21" s="87" t="s">
        <v>2425</v>
      </c>
      <c r="T21" s="87" t="s">
        <v>2426</v>
      </c>
      <c r="U21" s="88" t="s">
        <v>2425</v>
      </c>
    </row>
    <row r="22" customFormat="false" ht="14.25" hidden="false" customHeight="false" outlineLevel="0" collapsed="false">
      <c r="A22" s="98" t="s">
        <v>2058</v>
      </c>
      <c r="B22" s="87" t="s">
        <v>2429</v>
      </c>
      <c r="C22" s="87" t="s">
        <v>2424</v>
      </c>
      <c r="D22" s="88" t="s">
        <v>2425</v>
      </c>
      <c r="E22" s="87" t="s">
        <v>2425</v>
      </c>
      <c r="W22" s="88" t="s">
        <v>2425</v>
      </c>
    </row>
    <row r="23" customFormat="false" ht="14.25" hidden="false" customHeight="false" outlineLevel="0" collapsed="false">
      <c r="A23" s="98" t="s">
        <v>2068</v>
      </c>
      <c r="B23" s="87" t="s">
        <v>2439</v>
      </c>
      <c r="C23" s="87" t="s">
        <v>2424</v>
      </c>
      <c r="D23" s="88" t="s">
        <v>2430</v>
      </c>
      <c r="E23" s="87" t="s">
        <v>2440</v>
      </c>
      <c r="F23" s="87" t="s">
        <v>2425</v>
      </c>
      <c r="G23" s="87" t="s">
        <v>2424</v>
      </c>
      <c r="I23" s="87" t="s">
        <v>2425</v>
      </c>
      <c r="J23" s="87" t="s">
        <v>2425</v>
      </c>
      <c r="K23" s="87" t="s">
        <v>2424</v>
      </c>
      <c r="M23" s="88" t="s">
        <v>2425</v>
      </c>
      <c r="N23" s="87" t="s">
        <v>2425</v>
      </c>
      <c r="O23" s="87" t="s">
        <v>2428</v>
      </c>
      <c r="P23" s="88" t="s">
        <v>2441</v>
      </c>
      <c r="Q23" s="87" t="s">
        <v>2424</v>
      </c>
      <c r="S23" s="87" t="s">
        <v>2428</v>
      </c>
      <c r="T23" s="87" t="s">
        <v>2441</v>
      </c>
      <c r="U23" s="88" t="s">
        <v>2425</v>
      </c>
      <c r="X23" s="87" t="s">
        <v>2428</v>
      </c>
      <c r="Y23" s="87" t="s">
        <v>2428</v>
      </c>
      <c r="Z23" s="87" t="s">
        <v>2425</v>
      </c>
    </row>
    <row r="24" customFormat="false" ht="14.25" hidden="false" customHeight="false" outlineLevel="0" collapsed="false">
      <c r="A24" s="98" t="s">
        <v>481</v>
      </c>
      <c r="B24" s="87" t="s">
        <v>2427</v>
      </c>
      <c r="C24" s="87" t="s">
        <v>2424</v>
      </c>
      <c r="D24" s="88" t="s">
        <v>2425</v>
      </c>
      <c r="E24" s="87" t="s">
        <v>2424</v>
      </c>
      <c r="J24" s="87" t="s">
        <v>2424</v>
      </c>
      <c r="K24" s="87" t="s">
        <v>2424</v>
      </c>
      <c r="M24" s="88" t="s">
        <v>2425</v>
      </c>
      <c r="N24" s="87" t="s">
        <v>2425</v>
      </c>
      <c r="Q24" s="87" t="s">
        <v>2424</v>
      </c>
      <c r="U24" s="88" t="s">
        <v>2425</v>
      </c>
      <c r="W24" s="88" t="s">
        <v>2425</v>
      </c>
    </row>
    <row r="25" customFormat="false" ht="14.25" hidden="false" customHeight="false" outlineLevel="0" collapsed="false">
      <c r="A25" s="98" t="s">
        <v>2100</v>
      </c>
      <c r="B25" s="87" t="s">
        <v>2426</v>
      </c>
      <c r="C25" s="87" t="s">
        <v>2424</v>
      </c>
      <c r="D25" s="88" t="s">
        <v>2425</v>
      </c>
      <c r="E25" s="87" t="s">
        <v>2425</v>
      </c>
      <c r="F25" s="87" t="s">
        <v>2425</v>
      </c>
      <c r="G25" s="87" t="s">
        <v>2424</v>
      </c>
      <c r="I25" s="87" t="s">
        <v>2425</v>
      </c>
      <c r="J25" s="87" t="s">
        <v>2425</v>
      </c>
      <c r="K25" s="87" t="s">
        <v>2424</v>
      </c>
      <c r="M25" s="88" t="s">
        <v>2425</v>
      </c>
      <c r="N25" s="87" t="s">
        <v>2425</v>
      </c>
      <c r="P25" s="88" t="s">
        <v>2425</v>
      </c>
      <c r="Q25" s="87" t="s">
        <v>2425</v>
      </c>
      <c r="U25" s="88" t="s">
        <v>2425</v>
      </c>
    </row>
    <row r="26" customFormat="false" ht="14.25" hidden="false" customHeight="false" outlineLevel="0" collapsed="false">
      <c r="A26" s="98" t="s">
        <v>2121</v>
      </c>
      <c r="B26" s="87" t="s">
        <v>2440</v>
      </c>
      <c r="C26" s="87" t="s">
        <v>2428</v>
      </c>
      <c r="D26" s="88" t="s">
        <v>2428</v>
      </c>
      <c r="E26" s="87" t="s">
        <v>2425</v>
      </c>
      <c r="H26" s="88" t="s">
        <v>2425</v>
      </c>
      <c r="J26" s="87" t="s">
        <v>2425</v>
      </c>
      <c r="K26" s="87" t="s">
        <v>2430</v>
      </c>
      <c r="N26" s="87" t="s">
        <v>2428</v>
      </c>
    </row>
    <row r="27" customFormat="false" ht="14.25" hidden="false" customHeight="false" outlineLevel="0" collapsed="false">
      <c r="A27" s="98" t="s">
        <v>2138</v>
      </c>
      <c r="B27" s="87" t="s">
        <v>2442</v>
      </c>
      <c r="C27" s="87" t="s">
        <v>2424</v>
      </c>
      <c r="D27" s="88" t="s">
        <v>2425</v>
      </c>
      <c r="E27" s="87" t="s">
        <v>2425</v>
      </c>
      <c r="G27" s="87" t="s">
        <v>2425</v>
      </c>
      <c r="I27" s="87" t="s">
        <v>2425</v>
      </c>
      <c r="J27" s="87" t="s">
        <v>2425</v>
      </c>
      <c r="K27" s="87" t="s">
        <v>2424</v>
      </c>
      <c r="M27" s="88" t="s">
        <v>2425</v>
      </c>
      <c r="N27" s="87" t="s">
        <v>2425</v>
      </c>
      <c r="O27" s="87" t="s">
        <v>2428</v>
      </c>
      <c r="Q27" s="87" t="s">
        <v>2425</v>
      </c>
      <c r="U27" s="88" t="s">
        <v>2425</v>
      </c>
      <c r="X27" s="87" t="s">
        <v>2425</v>
      </c>
      <c r="Y27" s="87" t="s">
        <v>2428</v>
      </c>
      <c r="Z27" s="87" t="s">
        <v>2425</v>
      </c>
    </row>
    <row r="28" customFormat="false" ht="14.25" hidden="false" customHeight="false" outlineLevel="0" collapsed="false">
      <c r="A28" s="98" t="s">
        <v>2157</v>
      </c>
      <c r="B28" s="87" t="s">
        <v>2424</v>
      </c>
      <c r="C28" s="87" t="s">
        <v>2424</v>
      </c>
      <c r="D28" s="88" t="s">
        <v>2424</v>
      </c>
      <c r="E28" s="87" t="s">
        <v>2424</v>
      </c>
      <c r="G28" s="87" t="s">
        <v>2424</v>
      </c>
      <c r="I28" s="87" t="s">
        <v>2425</v>
      </c>
      <c r="J28" s="87" t="s">
        <v>2425</v>
      </c>
      <c r="K28" s="87" t="s">
        <v>2426</v>
      </c>
      <c r="N28" s="87" t="s">
        <v>2425</v>
      </c>
      <c r="Q28" s="87" t="s">
        <v>2424</v>
      </c>
      <c r="U28" s="88" t="s">
        <v>2425</v>
      </c>
    </row>
    <row r="29" customFormat="false" ht="14.25" hidden="false" customHeight="false" outlineLevel="0" collapsed="false">
      <c r="A29" s="98" t="s">
        <v>2177</v>
      </c>
      <c r="B29" s="87" t="s">
        <v>2427</v>
      </c>
      <c r="C29" s="87" t="s">
        <v>2424</v>
      </c>
      <c r="D29" s="88" t="s">
        <v>2424</v>
      </c>
      <c r="E29" s="87" t="s">
        <v>2425</v>
      </c>
      <c r="F29" s="87" t="s">
        <v>2425</v>
      </c>
      <c r="G29" s="87" t="s">
        <v>2425</v>
      </c>
      <c r="I29" s="87" t="s">
        <v>2425</v>
      </c>
      <c r="J29" s="87" t="s">
        <v>2428</v>
      </c>
      <c r="K29" s="87" t="s">
        <v>2424</v>
      </c>
      <c r="N29" s="87" t="s">
        <v>2425</v>
      </c>
      <c r="Q29" s="87" t="s">
        <v>2424</v>
      </c>
      <c r="W29" s="88" t="s">
        <v>2425</v>
      </c>
    </row>
    <row r="30" customFormat="false" ht="14.25" hidden="false" customHeight="false" outlineLevel="0" collapsed="false">
      <c r="A30" s="98" t="s">
        <v>1679</v>
      </c>
      <c r="B30" s="87" t="s">
        <v>2424</v>
      </c>
      <c r="C30" s="87" t="s">
        <v>2424</v>
      </c>
    </row>
    <row r="31" customFormat="false" ht="14.25" hidden="false" customHeight="false" outlineLevel="0" collapsed="false">
      <c r="A31" s="98" t="s">
        <v>1680</v>
      </c>
      <c r="B31" s="87" t="s">
        <v>2443</v>
      </c>
      <c r="C31" s="87" t="s">
        <v>2424</v>
      </c>
      <c r="D31" s="88" t="s">
        <v>2425</v>
      </c>
      <c r="E31" s="87" t="s">
        <v>2425</v>
      </c>
      <c r="F31" s="87" t="s">
        <v>2425</v>
      </c>
      <c r="I31" s="87" t="s">
        <v>2425</v>
      </c>
      <c r="J31" s="87" t="s">
        <v>2444</v>
      </c>
      <c r="K31" s="87" t="s">
        <v>2424</v>
      </c>
      <c r="M31" s="88" t="s">
        <v>2435</v>
      </c>
      <c r="N31" s="87" t="s">
        <v>2425</v>
      </c>
      <c r="O31" s="87" t="s">
        <v>2445</v>
      </c>
      <c r="P31" s="88" t="s">
        <v>2425</v>
      </c>
      <c r="Q31" s="87" t="s">
        <v>2435</v>
      </c>
      <c r="U31" s="88" t="s">
        <v>2425</v>
      </c>
      <c r="W31" s="88" t="s">
        <v>2425</v>
      </c>
      <c r="X31" s="87" t="s">
        <v>2425</v>
      </c>
      <c r="Z31" s="87" t="s">
        <v>2424</v>
      </c>
    </row>
    <row r="32" customFormat="false" ht="14.25" hidden="false" customHeight="false" outlineLevel="0" collapsed="false">
      <c r="A32" s="98" t="s">
        <v>1681</v>
      </c>
      <c r="B32" s="87" t="s">
        <v>2427</v>
      </c>
      <c r="C32" s="87" t="s">
        <v>2425</v>
      </c>
      <c r="D32" s="88" t="s">
        <v>2425</v>
      </c>
      <c r="E32" s="87" t="s">
        <v>2425</v>
      </c>
      <c r="J32" s="87" t="s">
        <v>2425</v>
      </c>
      <c r="K32" s="87" t="s">
        <v>2424</v>
      </c>
      <c r="N32" s="87" t="s">
        <v>2425</v>
      </c>
    </row>
    <row r="33" customFormat="false" ht="14.25" hidden="false" customHeight="false" outlineLevel="0" collapsed="false">
      <c r="A33" s="98" t="s">
        <v>1683</v>
      </c>
    </row>
    <row r="34" customFormat="false" ht="14.25" hidden="false" customHeight="false" outlineLevel="0" collapsed="false">
      <c r="A34" s="98" t="s">
        <v>1682</v>
      </c>
      <c r="B34" s="87" t="s">
        <v>2424</v>
      </c>
      <c r="C34" s="87" t="s">
        <v>2424</v>
      </c>
      <c r="D34" s="88" t="s">
        <v>2425</v>
      </c>
      <c r="E34" s="87" t="s">
        <v>2425</v>
      </c>
      <c r="G34" s="87" t="s">
        <v>2425</v>
      </c>
      <c r="I34" s="87" t="s">
        <v>2425</v>
      </c>
      <c r="J34" s="87" t="s">
        <v>2425</v>
      </c>
      <c r="K34" s="87" t="s">
        <v>2424</v>
      </c>
      <c r="N34" s="87" t="s">
        <v>2425</v>
      </c>
      <c r="P34" s="88" t="s">
        <v>2425</v>
      </c>
      <c r="U34" s="88" t="s">
        <v>2425</v>
      </c>
      <c r="V34" s="87" t="s">
        <v>2425</v>
      </c>
      <c r="W34" s="88" t="s">
        <v>2425</v>
      </c>
    </row>
    <row r="35" customFormat="false" ht="14.25" hidden="false" customHeight="false" outlineLevel="0" collapsed="false">
      <c r="A35" s="98" t="s">
        <v>2254</v>
      </c>
      <c r="B35" s="87" t="s">
        <v>2424</v>
      </c>
      <c r="C35" s="87" t="s">
        <v>2425</v>
      </c>
      <c r="D35" s="88" t="s">
        <v>2425</v>
      </c>
      <c r="J35" s="87" t="s">
        <v>2425</v>
      </c>
      <c r="R35" s="87" t="s">
        <v>2425</v>
      </c>
      <c r="W35" s="88" t="s">
        <v>2425</v>
      </c>
    </row>
    <row r="36" customFormat="false" ht="14.25" hidden="false" customHeight="false" outlineLevel="0" collapsed="false">
      <c r="A36" s="98" t="s">
        <v>2263</v>
      </c>
      <c r="B36" s="87" t="s">
        <v>2424</v>
      </c>
      <c r="C36" s="87" t="s">
        <v>2424</v>
      </c>
      <c r="D36" s="88" t="s">
        <v>2424</v>
      </c>
      <c r="E36" s="87" t="s">
        <v>2425</v>
      </c>
      <c r="G36" s="87" t="s">
        <v>2425</v>
      </c>
      <c r="I36" s="87" t="s">
        <v>2425</v>
      </c>
      <c r="J36" s="87" t="s">
        <v>2425</v>
      </c>
      <c r="K36" s="87" t="s">
        <v>2424</v>
      </c>
      <c r="N36" s="87" t="s">
        <v>2425</v>
      </c>
      <c r="Q36" s="87" t="s">
        <v>2424</v>
      </c>
      <c r="U36" s="88" t="s">
        <v>2425</v>
      </c>
    </row>
    <row r="37" customFormat="false" ht="14.25" hidden="false" customHeight="false" outlineLevel="0" collapsed="false">
      <c r="A37" s="98" t="s">
        <v>1684</v>
      </c>
      <c r="B37" s="87" t="s">
        <v>2446</v>
      </c>
      <c r="C37" s="87" t="s">
        <v>2424</v>
      </c>
      <c r="D37" s="88" t="s">
        <v>2425</v>
      </c>
      <c r="E37" s="87" t="s">
        <v>2425</v>
      </c>
      <c r="F37" s="87" t="s">
        <v>2424</v>
      </c>
      <c r="G37" s="87" t="s">
        <v>2425</v>
      </c>
      <c r="I37" s="87" t="s">
        <v>2425</v>
      </c>
      <c r="J37" s="87" t="s">
        <v>2441</v>
      </c>
      <c r="K37" s="87" t="s">
        <v>2424</v>
      </c>
      <c r="M37" s="88" t="s">
        <v>2425</v>
      </c>
      <c r="N37" s="87" t="s">
        <v>2425</v>
      </c>
      <c r="O37" s="87" t="s">
        <v>2428</v>
      </c>
      <c r="P37" s="88" t="s">
        <v>2428</v>
      </c>
      <c r="Q37" s="87" t="s">
        <v>2424</v>
      </c>
      <c r="T37" s="87" t="s">
        <v>2428</v>
      </c>
      <c r="U37" s="88" t="s">
        <v>2425</v>
      </c>
      <c r="W37" s="88" t="s">
        <v>2425</v>
      </c>
      <c r="X37" s="87" t="s">
        <v>2447</v>
      </c>
      <c r="Y37" s="87" t="s">
        <v>2425</v>
      </c>
      <c r="Z37" s="87" t="s">
        <v>2428</v>
      </c>
    </row>
    <row r="38" customFormat="false" ht="14.25" hidden="false" customHeight="false" outlineLevel="0" collapsed="false">
      <c r="A38" s="98" t="s">
        <v>1685</v>
      </c>
      <c r="B38" s="87" t="s">
        <v>2424</v>
      </c>
      <c r="C38" s="87" t="s">
        <v>2424</v>
      </c>
      <c r="D38" s="88" t="s">
        <v>2425</v>
      </c>
      <c r="E38" s="87" t="s">
        <v>2425</v>
      </c>
      <c r="G38" s="87" t="s">
        <v>2425</v>
      </c>
      <c r="J38" s="87" t="s">
        <v>2425</v>
      </c>
      <c r="K38" s="87" t="s">
        <v>2426</v>
      </c>
      <c r="N38" s="87" t="s">
        <v>2425</v>
      </c>
      <c r="U38" s="88" t="s">
        <v>2425</v>
      </c>
      <c r="V38" s="87" t="s">
        <v>2425</v>
      </c>
    </row>
    <row r="39" customFormat="false" ht="14.25" hidden="false" customHeight="false" outlineLevel="0" collapsed="false">
      <c r="A39" s="98" t="s">
        <v>1676</v>
      </c>
      <c r="B39" s="87" t="s">
        <v>2445</v>
      </c>
      <c r="C39" s="87" t="s">
        <v>2424</v>
      </c>
      <c r="D39" s="88" t="s">
        <v>2425</v>
      </c>
      <c r="E39" s="87" t="s">
        <v>2425</v>
      </c>
      <c r="I39" s="87" t="s">
        <v>2425</v>
      </c>
      <c r="J39" s="87" t="s">
        <v>2424</v>
      </c>
      <c r="K39" s="87" t="s">
        <v>2426</v>
      </c>
      <c r="M39" s="88" t="s">
        <v>2425</v>
      </c>
      <c r="N39" s="87" t="s">
        <v>2425</v>
      </c>
      <c r="Q39" s="87" t="s">
        <v>2425</v>
      </c>
      <c r="U39" s="88" t="s">
        <v>2425</v>
      </c>
      <c r="W39" s="88" t="s">
        <v>2425</v>
      </c>
    </row>
    <row r="49" customFormat="false" ht="14.25" hidden="false" customHeight="false" outlineLevel="0" collapsed="false">
      <c r="A49" s="120" t="s">
        <v>2448</v>
      </c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</row>
    <row r="50" customFormat="false" ht="14.25" hidden="false" customHeight="false" outlineLevel="0" collapsed="false">
      <c r="A50" s="120" t="s">
        <v>2449</v>
      </c>
      <c r="B50" s="120"/>
      <c r="C50" s="120"/>
      <c r="D50" s="120"/>
      <c r="E50" s="120"/>
      <c r="F50" s="120"/>
      <c r="G50" s="120"/>
      <c r="H50" s="120"/>
      <c r="I50" s="120"/>
      <c r="J50" s="120"/>
      <c r="K50" s="120"/>
    </row>
    <row r="51" customFormat="false" ht="14.25" hidden="false" customHeight="false" outlineLevel="0" collapsed="false">
      <c r="A51" s="120" t="s">
        <v>2450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</row>
    <row r="52" customFormat="false" ht="14.25" hidden="false" customHeight="false" outlineLevel="0" collapsed="false">
      <c r="A52" s="120" t="s">
        <v>2451</v>
      </c>
      <c r="B52" s="120"/>
      <c r="C52" s="120"/>
      <c r="D52" s="120"/>
      <c r="E52" s="120"/>
      <c r="F52" s="120"/>
      <c r="G52" s="120"/>
      <c r="H52" s="120"/>
      <c r="I52" s="120"/>
      <c r="J52" s="120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49:L49"/>
    <mergeCell ref="A50:K50"/>
    <mergeCell ref="A51:K51"/>
    <mergeCell ref="A52:J52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2026-05-26T17:21:14Z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